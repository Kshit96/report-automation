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0" codeName="{B1BEFC71-4687-E4F5-767E-874F2C426654}"/>
  <workbookPr codeName="ThisWorkbook"/>
  <mc:AlternateContent xmlns:mc="http://schemas.openxmlformats.org/markup-compatibility/2006">
    <mc:Choice Requires="x15">
      <x15ac:absPath xmlns:x15ac="http://schemas.microsoft.com/office/spreadsheetml/2010/11/ac" url="/Users/kshitizkashyap/Desktop/"/>
    </mc:Choice>
  </mc:AlternateContent>
  <xr:revisionPtr revIDLastSave="0" documentId="13_ncr:1_{49946ABD-C4B8-DC41-AAA5-8D493AD13B63}" xr6:coauthVersionLast="45" xr6:coauthVersionMax="45" xr10:uidLastSave="{00000000-0000-0000-0000-000000000000}"/>
  <bookViews>
    <workbookView xWindow="20" yWindow="460" windowWidth="33600" windowHeight="19520" activeTab="8" xr2:uid="{00000000-000D-0000-FFFF-FFFF00000000}"/>
  </bookViews>
  <sheets>
    <sheet name="Parameter Legend" sheetId="1" r:id="rId1"/>
    <sheet name="Sheet8" sheetId="2" r:id="rId2"/>
    <sheet name="Week 0" sheetId="3" r:id="rId3"/>
    <sheet name="Week 1" sheetId="4" r:id="rId4"/>
    <sheet name="Week 2" sheetId="5" r:id="rId5"/>
    <sheet name="Week 3" sheetId="6" r:id="rId6"/>
    <sheet name="Week 4" sheetId="7" r:id="rId7"/>
    <sheet name="Week 5" sheetId="8" r:id="rId8"/>
    <sheet name="Week 6" sheetId="9" r:id="rId9"/>
    <sheet name="All Week" sheetId="10" r:id="rId10"/>
    <sheet name="Final Project Tasks" sheetId="11" r:id="rId11"/>
    <sheet name="Trainer - trainee split" sheetId="12" r:id="rId12"/>
    <sheet name="TicTacToe checking pair" sheetId="13" r:id="rId13"/>
  </sheets>
  <externalReferences>
    <externalReference r:id="rId14"/>
  </externalReferences>
  <definedNames>
    <definedName name="_xlnm._FilterDatabase" localSheetId="9" hidden="1">'All Week'!$I$1:$K$27</definedName>
    <definedName name="_xlnm._FilterDatabase" localSheetId="3" hidden="1">'Week 1'!$A$1:$L$27</definedName>
    <definedName name="_xlnm._FilterDatabase" localSheetId="4" hidden="1">'Week 2'!$A$1:$M$1000</definedName>
    <definedName name="_xlnm._FilterDatabase" localSheetId="5" hidden="1">'Week 3'!$A$1:$N$27</definedName>
    <definedName name="_xlnm._FilterDatabase" localSheetId="6" hidden="1">'Week 4'!$A$1:$M$1000</definedName>
    <definedName name="_xlnm._FilterDatabase" localSheetId="7" hidden="1">'Week 5'!$A$1:$M$1000</definedName>
    <definedName name="Z_77FDD5E9_7DAF_40B0_B3B1_F8362FD3445E_.wvu.FilterData" localSheetId="5" hidden="1">'Week 3'!$A$1:$M$27</definedName>
    <definedName name="Z_B8519574_77FB_49A0_940D_FDADA7009AF9_.wvu.FilterData" localSheetId="2" hidden="1">'Week 0'!$A$1:$K$27</definedName>
    <definedName name="Z_B8519574_77FB_49A0_940D_FDADA7009AF9_.wvu.FilterData" localSheetId="3" hidden="1">'Week 1'!$A$1:$L$27</definedName>
    <definedName name="Z_B8519574_77FB_49A0_940D_FDADA7009AF9_.wvu.FilterData" localSheetId="4" hidden="1">'Week 2'!$A$1:$L$27</definedName>
    <definedName name="Z_B8519574_77FB_49A0_940D_FDADA7009AF9_.wvu.FilterData" localSheetId="6" hidden="1">'Week 4'!$A$1:$L$27</definedName>
    <definedName name="Z_B8519574_77FB_49A0_940D_FDADA7009AF9_.wvu.FilterData" localSheetId="7" hidden="1">'Week 5'!$A$1:$L$27</definedName>
    <definedName name="Z_B8519574_77FB_49A0_940D_FDADA7009AF9_.wvu.FilterData" localSheetId="8" hidden="1">'Week 6'!$A$1:$L$27</definedName>
  </definedNames>
  <calcPr calcId="191029"/>
  <customWorkbookViews>
    <customWorkbookView name="Filter 1" guid="{B8519574-77FB-49A0-940D-FDADA7009AF9}" maximized="1" windowWidth="0" windowHeight="0" activeSheetId="0"/>
    <customWorkbookView name="Filter 2" guid="{77FDD5E9-7DAF-40B0-B3B1-F8362FD3445E}" max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3" i="9" l="1"/>
  <c r="I33" i="9"/>
  <c r="H33" i="9"/>
  <c r="G33" i="9"/>
  <c r="F33" i="9"/>
  <c r="F28" i="9"/>
  <c r="G28" i="9"/>
  <c r="H28" i="9"/>
  <c r="I28" i="9"/>
  <c r="E28" i="9"/>
  <c r="J9" i="12" l="1"/>
  <c r="H9" i="12"/>
  <c r="F9" i="12"/>
  <c r="D9" i="12"/>
  <c r="B9" i="12"/>
  <c r="I27" i="10"/>
  <c r="J27" i="10" s="1"/>
  <c r="I26" i="10"/>
  <c r="J26" i="10" s="1"/>
  <c r="I25" i="10"/>
  <c r="J25" i="10" s="1"/>
  <c r="J24" i="10"/>
  <c r="I24" i="10"/>
  <c r="J23" i="10"/>
  <c r="I23" i="10"/>
  <c r="D22" i="10"/>
  <c r="I22" i="10" s="1"/>
  <c r="J22" i="10" s="1"/>
  <c r="I21" i="10"/>
  <c r="J21" i="10" s="1"/>
  <c r="J20" i="10"/>
  <c r="I20" i="10"/>
  <c r="I19" i="10"/>
  <c r="J19" i="10" s="1"/>
  <c r="J18" i="10"/>
  <c r="I18" i="10"/>
  <c r="I17" i="10"/>
  <c r="J17" i="10" s="1"/>
  <c r="I16" i="10"/>
  <c r="J16" i="10" s="1"/>
  <c r="I15" i="10"/>
  <c r="J15" i="10" s="1"/>
  <c r="J14" i="10"/>
  <c r="I14" i="10"/>
  <c r="I13" i="10"/>
  <c r="J13" i="10" s="1"/>
  <c r="J12" i="10"/>
  <c r="I12" i="10"/>
  <c r="I11" i="10"/>
  <c r="J11" i="10" s="1"/>
  <c r="I10" i="10"/>
  <c r="J10" i="10" s="1"/>
  <c r="U9" i="10"/>
  <c r="S9" i="10"/>
  <c r="J9" i="10"/>
  <c r="I9" i="10"/>
  <c r="Y8" i="10"/>
  <c r="W8" i="10"/>
  <c r="J8" i="10"/>
  <c r="I8" i="10"/>
  <c r="I7" i="10"/>
  <c r="J7" i="10" s="1"/>
  <c r="I6" i="10"/>
  <c r="J6" i="10" s="1"/>
  <c r="I5" i="10"/>
  <c r="J5" i="10" s="1"/>
  <c r="J4" i="10"/>
  <c r="I4" i="10"/>
  <c r="I3" i="10"/>
  <c r="J3" i="10" s="1"/>
  <c r="J2" i="10"/>
  <c r="I2" i="10"/>
  <c r="J27" i="9"/>
  <c r="J26" i="9"/>
  <c r="J25" i="9"/>
  <c r="J24" i="9"/>
  <c r="J23" i="9"/>
  <c r="I22" i="9"/>
  <c r="J22" i="9" s="1"/>
  <c r="J21" i="9"/>
  <c r="J20" i="9"/>
  <c r="J19" i="9"/>
  <c r="J18" i="9"/>
  <c r="J17" i="9"/>
  <c r="J16" i="9"/>
  <c r="J15" i="9"/>
  <c r="J14" i="9"/>
  <c r="J13" i="9"/>
  <c r="J12" i="9"/>
  <c r="J11" i="9"/>
  <c r="J10" i="9"/>
  <c r="J9" i="9"/>
  <c r="J8" i="9"/>
  <c r="J7" i="9"/>
  <c r="J6" i="9"/>
  <c r="J5" i="9"/>
  <c r="J4" i="9"/>
  <c r="J3" i="9"/>
  <c r="J2" i="9"/>
  <c r="J27" i="8"/>
  <c r="J26" i="8"/>
  <c r="J25" i="8"/>
  <c r="J24" i="8"/>
  <c r="J23" i="8"/>
  <c r="J22" i="8"/>
  <c r="J21" i="8"/>
  <c r="J20" i="8"/>
  <c r="J19" i="8"/>
  <c r="J18" i="8"/>
  <c r="J17" i="8"/>
  <c r="J16" i="8"/>
  <c r="J15" i="8"/>
  <c r="J14" i="8"/>
  <c r="J13" i="8"/>
  <c r="J12" i="8"/>
  <c r="J11" i="8"/>
  <c r="J10" i="8"/>
  <c r="J9" i="8"/>
  <c r="J8" i="8"/>
  <c r="J7" i="8"/>
  <c r="J6" i="8"/>
  <c r="J5" i="8"/>
  <c r="J4" i="8"/>
  <c r="J3" i="8"/>
  <c r="J2" i="8"/>
  <c r="J27" i="7"/>
  <c r="J26" i="7"/>
  <c r="J25" i="7"/>
  <c r="J24" i="7"/>
  <c r="J23" i="7"/>
  <c r="J22" i="7"/>
  <c r="J21" i="7"/>
  <c r="J20" i="7"/>
  <c r="J19" i="7"/>
  <c r="J18" i="7"/>
  <c r="J17" i="7"/>
  <c r="J16" i="7"/>
  <c r="J15" i="7"/>
  <c r="J14" i="7"/>
  <c r="J13" i="7"/>
  <c r="J12" i="7"/>
  <c r="J11" i="7"/>
  <c r="J10" i="7"/>
  <c r="J9" i="7"/>
  <c r="J8" i="7"/>
  <c r="J7" i="7"/>
  <c r="J6" i="7"/>
  <c r="J5" i="7"/>
  <c r="J4" i="7"/>
  <c r="J3" i="7"/>
  <c r="J2" i="7"/>
  <c r="J27" i="6"/>
  <c r="J26" i="6"/>
  <c r="J25" i="6"/>
  <c r="J24" i="6"/>
  <c r="J23" i="6"/>
  <c r="J22" i="6"/>
  <c r="J21" i="6"/>
  <c r="J20" i="6"/>
  <c r="J19" i="6"/>
  <c r="J18" i="6"/>
  <c r="J17" i="6"/>
  <c r="J16" i="6"/>
  <c r="J15" i="6"/>
  <c r="J14" i="6"/>
  <c r="J13" i="6"/>
  <c r="J12" i="6"/>
  <c r="J11" i="6"/>
  <c r="J10" i="6"/>
  <c r="J9" i="6"/>
  <c r="J8" i="6"/>
  <c r="J7" i="6"/>
  <c r="J6" i="6"/>
  <c r="J5" i="6"/>
  <c r="J4" i="6"/>
  <c r="J3" i="6"/>
  <c r="J2" i="6"/>
  <c r="J27" i="5"/>
  <c r="J26" i="5"/>
  <c r="J25" i="5"/>
  <c r="J24" i="5"/>
  <c r="J23" i="5"/>
  <c r="J22" i="5"/>
  <c r="J21" i="5"/>
  <c r="J20" i="5"/>
  <c r="J19" i="5"/>
  <c r="J18" i="5"/>
  <c r="J17" i="5"/>
  <c r="J16" i="5"/>
  <c r="J15" i="5"/>
  <c r="J14" i="5"/>
  <c r="J13" i="5"/>
  <c r="J12" i="5"/>
  <c r="J11" i="5"/>
  <c r="J10" i="5"/>
  <c r="J9" i="5"/>
  <c r="J8" i="5"/>
  <c r="J7" i="5"/>
  <c r="J6" i="5"/>
  <c r="J5" i="5"/>
  <c r="J4" i="5"/>
  <c r="J3" i="5"/>
  <c r="J2" i="5"/>
  <c r="J27" i="4"/>
  <c r="J26" i="4"/>
  <c r="J25" i="4"/>
  <c r="J24" i="4"/>
  <c r="J23" i="4"/>
  <c r="J22" i="4"/>
  <c r="J21" i="4"/>
  <c r="J20" i="4"/>
  <c r="J19" i="4"/>
  <c r="J18" i="4"/>
  <c r="J17" i="4"/>
  <c r="J16" i="4"/>
  <c r="J15" i="4"/>
  <c r="J14" i="4"/>
  <c r="J13" i="4"/>
  <c r="J12" i="4"/>
  <c r="J11" i="4"/>
  <c r="J10" i="4"/>
  <c r="J9" i="4"/>
  <c r="J8" i="4"/>
  <c r="J7" i="4"/>
  <c r="J6" i="4"/>
  <c r="J5" i="4"/>
  <c r="J4" i="4"/>
  <c r="J3" i="4"/>
  <c r="J2" i="4"/>
  <c r="I27" i="3"/>
  <c r="I26" i="3"/>
  <c r="I25" i="3"/>
  <c r="I24" i="3"/>
  <c r="I23" i="3"/>
  <c r="I22" i="3"/>
  <c r="I21" i="3"/>
  <c r="I20" i="3"/>
  <c r="I19" i="3"/>
  <c r="I18" i="3"/>
  <c r="I17" i="3"/>
  <c r="I16" i="3"/>
  <c r="I15" i="3"/>
  <c r="I14" i="3"/>
  <c r="I13" i="3"/>
  <c r="I12" i="3"/>
  <c r="I11" i="3"/>
  <c r="I10" i="3"/>
  <c r="I9" i="3"/>
  <c r="I8" i="3"/>
  <c r="I7" i="3"/>
  <c r="I6" i="3"/>
  <c r="I5" i="3"/>
  <c r="I3" i="3"/>
  <c r="I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I2" authorId="0" shapeId="0" xr:uid="{00000000-0006-0000-0400-000002000000}">
      <text>
        <r>
          <rPr>
            <sz val="10"/>
            <color rgb="FF000000"/>
            <rFont val="Arial"/>
          </rPr>
          <t>2-1=1
	-Awidiya Dewa</t>
        </r>
      </text>
    </comment>
    <comment ref="K2" authorId="0" shapeId="0" xr:uid="{00000000-0006-0000-0400-000004000000}">
      <text>
        <r>
          <rPr>
            <sz val="10"/>
            <color rgb="FF000000"/>
            <rFont val="Arial"/>
          </rPr>
          <t>above 50%
	-Awidiya Dewa</t>
        </r>
      </text>
    </comment>
    <comment ref="I17" authorId="0" shapeId="0" xr:uid="{00000000-0006-0000-0400-000003000000}">
      <text>
        <r>
          <rPr>
            <sz val="10"/>
            <color rgb="FF000000"/>
            <rFont val="Arial"/>
          </rPr>
          <t>Failed some some pattern 3-1=2
	-Awidiya Dewa</t>
        </r>
      </text>
    </comment>
    <comment ref="J19" authorId="0" shapeId="0" xr:uid="{00000000-0006-0000-0400-000001000000}">
      <text>
        <r>
          <rPr>
            <sz val="10"/>
            <color rgb="FF000000"/>
            <rFont val="Arial"/>
          </rPr>
          <t>2 -1= 1
	-Indra Charisma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J12" authorId="0" shapeId="0" xr:uid="{00000000-0006-0000-0500-000001000000}">
      <text>
        <r>
          <rPr>
            <sz val="10"/>
            <color rgb="FF000000"/>
            <rFont val="Arial"/>
          </rPr>
          <t xml:space="preserve">deduct -1 as he didn't finish it &lt;50% ( No App , no parsing logic, only half the logic for output)
</t>
        </r>
      </text>
    </comment>
    <comment ref="I16" authorId="0" shapeId="0" xr:uid="{00000000-0006-0000-0500-000003000000}">
      <text>
        <r>
          <rPr>
            <sz val="10"/>
            <color rgb="FF000000"/>
            <rFont val="Arial"/>
          </rPr>
          <t>already decreased by 1
	-Anneke Dwi</t>
        </r>
      </text>
    </comment>
    <comment ref="J23" authorId="0" shapeId="0" xr:uid="{00000000-0006-0000-0500-000002000000}">
      <text>
        <r>
          <rPr>
            <sz val="10"/>
            <color rgb="FF000000"/>
            <rFont val="Arial"/>
          </rPr>
          <t xml:space="preserve">Has been -1 because didn't finish the assignment criteria
</t>
        </r>
      </text>
    </comment>
  </commentList>
</comments>
</file>

<file path=xl/sharedStrings.xml><?xml version="1.0" encoding="utf-8"?>
<sst xmlns="http://schemas.openxmlformats.org/spreadsheetml/2006/main" count="1327" uniqueCount="535">
  <si>
    <t>OO Concepts [SRP, Small class, Primitive obssession &amp; other OO concepts] :</t>
  </si>
  <si>
    <t>1: Has at least one relevant class.</t>
  </si>
  <si>
    <t>2: Has some relevant classes, with significant irrelevant behaviour.</t>
  </si>
  <si>
    <t>3: Has most of the relevant classes with mostly relevant behaviour. Maybe some irrelevant behaviour.</t>
  </si>
  <si>
    <t>4: Has most of the relevant classes. Some irrelevant classes. Most classes have relevant behaviours. Insignificantly minor irrelevant behaviour. Maybe broken encapsulation in places.</t>
  </si>
  <si>
    <t>5: Has most of the relevant classes. Most classes have relevant behaviours, and are encapsulated well.</t>
  </si>
  <si>
    <t>Unit testing &amp; TDD:</t>
  </si>
  <si>
    <t>1: Has some relevant unit tests.</t>
  </si>
  <si>
    <t>2: Has enough unit tests covering about 50% public methods of the objects. Or evidence of having test driven some parts of the logic.</t>
  </si>
  <si>
    <t>3: Has enough unit tests covering about 50% public methods of the objects. Evidence of having test driven some parts of the logic.</t>
  </si>
  <si>
    <t>4: Has enough unit tests covering most of the public contracts of the objects. Evidence of having test driven some parts of the logic.</t>
  </si>
  <si>
    <t>5: Evidence of having test driven a significant portion of the logic with appropriate unit tests.</t>
  </si>
  <si>
    <t>Clean Code:</t>
  </si>
  <si>
    <t>Parameters to evaluate across:</t>
  </si>
  <si>
    <t>- No formatting issues</t>
  </si>
  <si>
    <t>- No linter errors</t>
  </si>
  <si>
    <t>- Readable code</t>
  </si>
  <si>
    <t>- No magic literals</t>
  </si>
  <si>
    <t>- LOC for methods &lt;= 10-15</t>
  </si>
  <si>
    <t>- No duplication</t>
  </si>
  <si>
    <t>1: [Any 1 or 2 satisfied]</t>
  </si>
  <si>
    <t>2: [Any 3 satisfied]</t>
  </si>
  <si>
    <t>3: [Any 4 satisfied]</t>
  </si>
  <si>
    <t>4: [Any 5 satisfied]</t>
  </si>
  <si>
    <t>5: [All 6 satisfied]</t>
  </si>
  <si>
    <t>Naming [ Git message, Testcase name, Class names, Method names, variable names ] :</t>
  </si>
  <si>
    <t>- Descriptive names</t>
  </si>
  <si>
    <t>- No Abbreviations</t>
  </si>
  <si>
    <t>- Following language conventions</t>
  </si>
  <si>
    <t>- Consistent naming</t>
  </si>
  <si>
    <t>- No ambiguity in naming</t>
  </si>
  <si>
    <t>1: [Any 1 satisfied]</t>
  </si>
  <si>
    <t>2: [Any 2 satisfied]</t>
  </si>
  <si>
    <t>3: [Any 3 satisfied]</t>
  </si>
  <si>
    <t>4: [Any 4 satisfied]</t>
  </si>
  <si>
    <t>5: [All 5 satisfied]</t>
  </si>
  <si>
    <t>Application of Concepts (Subjective Evaluation, Frequent commits, working solution, Job of class, getters/setters):</t>
  </si>
  <si>
    <t>1: Attempted application of a few concepts, but got them wrong. Significant misunderstandings.</t>
  </si>
  <si>
    <t>2: Partially correct application of attempted concepts, with obvious misunderstandings.</t>
  </si>
  <si>
    <t>3: Partially correct application of attempted concepts, with minor misunderstandings.</t>
  </si>
  <si>
    <t>4: Partially correct application of attempted concepts, without any obvious misunderstandings.</t>
  </si>
  <si>
    <t>5: Correct application of relevant concepts. No obvious misunderstandings</t>
  </si>
  <si>
    <t>Solution Completeness:</t>
  </si>
  <si>
    <t>Remove 1 point from average(final) score: Complete less than 50% (&lt; 50%)</t>
  </si>
  <si>
    <t>Remove 1 point from Application of Concepts: Complete greater / equal to 50% (&gt;=50%)</t>
  </si>
  <si>
    <t xml:space="preserve"> Name</t>
  </si>
  <si>
    <t>Day</t>
  </si>
  <si>
    <t>Bank Mentor</t>
  </si>
  <si>
    <t>OO Concepts</t>
  </si>
  <si>
    <t>Unit Testing &amp; TDD</t>
  </si>
  <si>
    <t>Clean Code</t>
  </si>
  <si>
    <t>Naming</t>
  </si>
  <si>
    <t>Application of Concepts</t>
  </si>
  <si>
    <t>Average</t>
  </si>
  <si>
    <t>Solution Completeness</t>
  </si>
  <si>
    <t>Observations</t>
  </si>
  <si>
    <t>Ilham Akbar AL- Asy'ari</t>
  </si>
  <si>
    <t>Y</t>
  </si>
  <si>
    <t>One class, no test, long function, abbrev naming, magic literal</t>
  </si>
  <si>
    <t>Eka Winata</t>
  </si>
  <si>
    <t>Good method and test case, good naming</t>
  </si>
  <si>
    <t>Juan Antonio Nainggolan</t>
  </si>
  <si>
    <t>Good naming but still ambigu, one requirement not met</t>
  </si>
  <si>
    <t>Aland Samuel Tiwa</t>
  </si>
  <si>
    <t>- Able to separate logic to some class
- Implement ENUM
- Have a basic of unit test
- Has unit test, but most of it's break
- There's some logic in unit test
- Some duplication
- Class naming can be better
- Not readable
- Not using equals method when comparing string</t>
  </si>
  <si>
    <t>Mohammed Hilman Trihatmojo</t>
  </si>
  <si>
    <t>* Only some relevant OO concept is correct
* Have a basic unit testing knowledge but still irrelevant
* Need sharpened on naming and clean code</t>
  </si>
  <si>
    <t>Zulvan Firdaus Imanullah</t>
  </si>
  <si>
    <t>There is still abbreviations in naming</t>
  </si>
  <si>
    <t>Panji Satria Nugraha</t>
  </si>
  <si>
    <t>* Basic understanding of Java Language (I think he is new to this Language)
* Need baby step to follow naming convention on language convention</t>
  </si>
  <si>
    <t>Kevin Joshua Adithia Pratama Ginting</t>
  </si>
  <si>
    <t>relevant behaviour, long function, magic literal, abbrev naming</t>
  </si>
  <si>
    <t>Luthfi Azhari</t>
  </si>
  <si>
    <t>* Need more deep dive to OO concept
* Have a unit test, but no assertion{inrelevant}
* Have irrelevant class name and unecessary game result due to requirement</t>
  </si>
  <si>
    <t>Satria Nugraha</t>
  </si>
  <si>
    <t>- Have knowledge of test and implement AAA
- Unreadable code
- Formatting issues</t>
  </si>
  <si>
    <t>Septian Solihin</t>
  </si>
  <si>
    <t>all method is public, abbrev naming, unrelevant behoviour</t>
  </si>
  <si>
    <t>I Gede Bagus Artha Suryawan</t>
  </si>
  <si>
    <t>- has main &amp; TicTacToe class
- unit test coverage is above 90%, most public function tested
- LOC for each method &lt; 15</t>
  </si>
  <si>
    <t>Melati Ayuning Lestari</t>
  </si>
  <si>
    <t>one class, no test, long function, commented code</t>
  </si>
  <si>
    <t>Rifqi Yunus Trisna Pratama</t>
  </si>
  <si>
    <t>- Naming can be better
- Lot of abbreviation
- Long method implementation
- Duplication
- Not following java convention (camelCase)</t>
  </si>
  <si>
    <t>Alcredo Simanjuntak</t>
  </si>
  <si>
    <t>- Simple solution
- Class with relevant behavior
- Easy to understand (readable) with extracted function 
- Can be more readable if some checking extracted to variable
- LOC &lt; 15</t>
  </si>
  <si>
    <t>Nabil Haidarrahman Pribadi</t>
  </si>
  <si>
    <t>Good test case, good naming</t>
  </si>
  <si>
    <t>Jackson Fernando</t>
  </si>
  <si>
    <t>- has try to do unit testing, but need more guidance
- has nested loops
- naming still has abbreviation and ambigous meaning</t>
  </si>
  <si>
    <t>Andhika Akbar Saputra</t>
  </si>
  <si>
    <t>- Create two class inside one file
- Application not reading input from console
- Not readable code
- Too many comment in code
- Writing only one big test with many case</t>
  </si>
  <si>
    <t>Arief Nur Prakoso</t>
  </si>
  <si>
    <t>- create whole test in one test case
- many commented code</t>
  </si>
  <si>
    <t>Sylvia Juliana</t>
  </si>
  <si>
    <t>Abbreviations in naming, hardcoded -99, good function separation</t>
  </si>
  <si>
    <t>Muhammad Rayyan Abhad</t>
  </si>
  <si>
    <t>- put all logic in 1 file
- has try to add unit test even only for 1 function
- not too readable</t>
  </si>
  <si>
    <t>Muchamad Fuad</t>
  </si>
  <si>
    <t>- has try to add unit test, some unused test
- still has misunderstanding about dividing class</t>
  </si>
  <si>
    <t>Erikson Marbun</t>
  </si>
  <si>
    <t>* Need more deep dive to OO concept
* No unit testing
* No separation of concern etc.
* God Class</t>
  </si>
  <si>
    <t>Crisandolin Desman Rumahorbo</t>
  </si>
  <si>
    <t>one class relevant behaviour, long function,abbrev naming</t>
  </si>
  <si>
    <t>Edwardo Barlian</t>
  </si>
  <si>
    <t>- Has enough unit test with junit 4
- Has 2 class
- Able to test main class with the stdout output
- Not following language convention
- Play method is too big and some nested logic
- Putting lot of comment to explain his code 
rather than make a meaningful variable</t>
  </si>
  <si>
    <t>Nuzha Musyafira</t>
  </si>
  <si>
    <t>* Good start to have basic concept of OO, just need to be sharpened
* method splitted by its class job
* Some class not Single Responsibility Prinsiple</t>
  </si>
  <si>
    <t>Trainer</t>
  </si>
  <si>
    <r>
      <rPr>
        <b/>
        <sz val="10"/>
        <rFont val="Arial"/>
      </rPr>
      <t>Mentoring FeedBac</t>
    </r>
    <r>
      <rPr>
        <sz val="10"/>
        <color rgb="FF000000"/>
        <rFont val="Arial"/>
      </rPr>
      <t>k</t>
    </r>
  </si>
  <si>
    <t>Dewa, Monica, Radha</t>
  </si>
  <si>
    <t>Fauzan</t>
  </si>
  <si>
    <t>- Has UserInput and Movement class (Movement act like robot)
- Override equals but not following the equals rule
- className is Movement (act like a robot)?
- has UserInput class for parsing and call the class static method in main. (not too good IMO)
- Not doing TDD, there's one commit with all test and implementations
- no baby step, already has 7 test case in second commit
- using primitive for looping
- also doing test the userInput in UserInput class with simulate command line
- Lint error for naming Enum
- already use enum but only to compare enum value with string</t>
  </si>
  <si>
    <t xml:space="preserve">- asked to continue the Robot and do better for doing baby steps
- has no problem on the class
- still not too assertive in the class, asked to be more active
- have some problem on abstracting a class, have be given some tips like read all noun from the assignment
</t>
  </si>
  <si>
    <t>- Robot and App class
- Less unit test, need to improve on starting from baby step
- not using equals
- no baby step
- test only 3 test case
- primitive obsession
- move method return String
- using primitive for looping
- "heading" is ambigu name"
- LOC &gt; 15
- Some formatting issue on app class and test</t>
  </si>
  <si>
    <t>- Has 2 years working experience
- He like to demo but sometime his pair doesn't want to
- Has some experience in Springboot
- Able to adabt in java quickly cz he's have experience in C#</t>
  </si>
  <si>
    <t>- Only make main and robot class
- override equals but not following the equals rule
- Giving number to orientation totally make the code hard to understand
- primitive obsession
- no baby step thinking
- ambigu name when splitting instructions (movements -&gt; movement -&gt; move)
- also variable orientation a little bit ambigu
- too much to do in a commit, also commit message too abstract (git message too long)
- switch case without default case
- Some duplication for orientation value
- Need improvement on TDD, having problem to find small step 
to solve big problem step
- naming is already good, need to be better to avoid ambigou
- already use looping foreach style</t>
  </si>
  <si>
    <t>- Kerja vendor iForce, FWD, experience spring boot, .net
- Kendala dengan online, buffering / lag.
- Eager to discuss when pairing
- Have a problem when baby stepping and modelling
- learn a lot on class
- Spring Boot, Robotic, Ionic
- class not interactive because of online class
- can give pair discussion.</t>
  </si>
  <si>
    <t>Davidsen &amp; Indra</t>
  </si>
  <si>
    <t xml:space="preserve">OO
* only has Robot class, should splitted further
UT
* do baby steps, test coverage 100%
CC
* has linter warning(should directly return instead of save it into a variable)
* has function that &gt; 15 LOC
N
* has ambiguos naming (bearing)
* not too descriptive( fromWest, fromEast, etc)
* not following language convention( constant still not using final)
AOC
* good README
* consistency in commit message can be improved, always start with capitalize word
* method name and test name is different (forgot to refactor)
* can override toString() method instead
* not having equals method &amp; ValueObject concept
</t>
  </si>
  <si>
    <t>- Had to explain about SRP
- Entity vs Value Object
- Needs help in desgning classes 
- putting effort in learning</t>
  </si>
  <si>
    <t>Nofanto &amp; Kz</t>
  </si>
  <si>
    <t>Giz</t>
  </si>
  <si>
    <t>one class, un-relevant behaviour, magic literal, not descriptive naming</t>
  </si>
  <si>
    <t>- Had to explain about SRP
- Entity vs Value Object
- Needs help in desgning classes 
- putting effort in learning
- when discussion in class get too long, tend to lose in the middle
- have a hard time in come up with naming
- have problem with english, so in english class hard to catch and understand
- still hard to ask, already tell to ask and discuss with other trainee or ask trainers immediately when having doubts and don't keep it inside</t>
  </si>
  <si>
    <t>- Only make main and robot class
- override equals but not following the equals rule
- primitive obsession
- no baby step thinking
- too much to do in a commit (git message too long)
- Not doing baby step, first and second test force him 
to make almost complicate solution
- Some ambiguity in variable naming
- clean code is good enough, if only the OOP concept is good so the method logic can be better
- naming also good, only a few language conventions miss
- Code is simple and easy to understand
- LOC below 15 lines</t>
  </si>
  <si>
    <t>- Sometime have difficulty understanding material in class, prefer discussion with pair
- Feel that pair programming really helps, able to discuss with pair.
- Need more time discussion, when first time to join a new pair
- Refactored well after feedback
- Good in class</t>
  </si>
  <si>
    <t>ROBOT SIMULATOR 
OO Concepts [SRP, Small class, Primitive obsession &amp; other OO concepts] [3]
-Enum should be extracted from the Robot [reusability, not the job of the robot class]
-Coordinate class, should implement behaviour of coordinate, coordinate is just to add/subtract to coordinates
-Robot class’ behaviour is to move by one step
-Coordinate should give method to increase decrease xy, but robot should say +1 in x, -1 in x etc
-job of class not mentioned
Unit testing [3]
-50%+ coverage
-Evidence TDD, but understanding needs to improve about TDD
-When testing do not assert on the equality of robot, it is an entity object, you have to assert on the direction/position of the object
Clean Code [3]
Parameters to evaluate across:
● No formatting issues -none
● No linter errors -yes
● Readable code - yes
● No magic literals - none
● LOC for methods - okay, some places 20, but okay
● No duplication - yes
Naming [ Git message, Testcase name, Class names, Method names, variable names ] [4]
Parameters to evaluate across:
● Descriptive names - yes
● No Abbreviations - abbreviations in Robot
● Following language conventions - yes
● Consistent naming - yes
● No ambiguity in naming -no
Application of Concepts (Subjective Evaluation, Frequent commits, working solution,Job of class, getters/setters) [4]
● Calithenics - good
● Equals and HashCode - is good
● Value and Entity Objects - needs clarifications</t>
  </si>
  <si>
    <t>- fresh grad ITS from networking
- he sometimes forget to TDD but already think about impmentation
- internet issue when pair programming</t>
  </si>
  <si>
    <t>* Keep all the logic on Robot, is change direction and update the coordinate 
is part of the Robot behavior?
* Miss behavior on Robot
* Don't name First TDD lifecycle with test case on git commit, we know it. But, what what exactly you do?
* Coverage not 100% (turnLeft not fully tested)</t>
  </si>
  <si>
    <t>- Feel exercise is too short, too much goes in the discussion
- Challenge with pair programming, different approach of switching navigator/driver in each pair
- Feel not proactive enough because lacking in english
- Merging his merge request
- Ask him to be more proactive even without speaking english</t>
  </si>
  <si>
    <t>Kevin</t>
  </si>
  <si>
    <t xml:space="preserve">OO
* has create three class(Position, Robot, Simulator), but Simulator is a little bit ambiguous
UT
* Not sure whether he do TDD or not because of big commit , should ask more frequent smaller commit
* toString method on Position &amp; Robot is not tested
* equals method only for test? —&gt; need to clarify about this
* coverage around 80% or more
CC
* has magic literal (1,0,-1), can be more readable ( &gt; 50 lines of code in a class)
N
* not too descriptive(newWest, newEast, etc)
AOC
* Good ReadMe
* Not fully putting equals contract 
* Putting good effort on refactor
* has apply Value Object </t>
  </si>
  <si>
    <t>- Basic Bio Technology, Node JS, React, React Native, Vue, MongoDB
- Hard on Online Class
- A bit hard to understand to modeling object
- Need jam terbang untuk terbiasa dengan new programming language</t>
  </si>
  <si>
    <t>Ranu &amp; Wira</t>
  </si>
  <si>
    <t>* One class un-relevant behaviour, long method, formatting issue, abbrev naming
* Irrelevant method getLastPosition, it shouldn't have logic on it. 
* Baby step problem, ilham need to think as simple as possible (evidence on git log)</t>
  </si>
  <si>
    <t>- seems like a yes man(don't know it is good or bad) when we give feedback
- given some tips on how to extract to multiple class, and asked not to merge tests into a big chunk of test
- has give good question sometimes in the class when he doesn't understand</t>
  </si>
  <si>
    <t xml:space="preserve">OO
* only has 1class(Robot), can be splitted further
UT
* coverage above 90% 
* have some evidence of TDD, but commit many logic on one test
* equals method only for test
* not covering all logic for equals
CC
* not too readable( &gt; 50 lines of code in one class,can directly pass instructions[index] as one parameter but make it as two parameters instructions &amp; index)
* has magic literal(E,N, W, S, A, R, L)
* has some duplication( moveNorth, moveWest, moveSouth, etc)
N
* not following language convention ( ADVANCE as a variable)
* not too descriptive (execute, moveWest, etc)
AOC
* think Robot as a ValueObject, but have try to create equals method)
* app is working
* commit message better to start with Capital
* README is good, can add the instruction to run via `java -cp` instead of using IntelliJ IDE
* can override toString() method instead
</t>
  </si>
  <si>
    <t>- he said he didn't have specific interest in technology
- he needs many practice to find baby step to solve big problem
- he is not confident enough to influence his pair (to sound his aspiration)
- he got many knowledge about java (deep down about hashmap, hashcode, equals, etc)</t>
  </si>
  <si>
    <t>Anneke &amp; ak</t>
  </si>
  <si>
    <t>ROBOT SIMULATOR
OO Concepts [SRP, Small class, Primitive obsession &amp;amp; other OO concepts] [1]
-logic in App, it should only take input and give output
-job of class not mentioned
-identify and move behaviour to direction and coordinate classes
Unit testing [3]
-50%+ coverage
-TDD drive yes
-assert on robot
Clean Code [2]
Parameters to evaluate across:
● No formatting issues - no
● No linter errors- no
● Readable code - yes
● No magic literals - no
● LOC for methods - can be better in app
● No duplication - in turnLeft and turnRight
Naming [ Git message, Testcase name, Class names, Method names, variable names ] [4]
Parameters to evaluate across:
● Descriptive names - commit messages can be more descriptive
● No Abbreviations - only 1 ‘I’ in for loop
● Following language conventions - yes
● Consistent naming - yes
● No ambiguity in naming - no 
-capitalize commit messages first letter
Application of Concepts (Subjective Evaluation, Frequent commits, working solution,Job of class, getters/setters) [2]
● Calithenics - good
● Equals and HashCode - good 
● Value and Entity Objects - can be better with the classes</t>
  </si>
  <si>
    <t>-Not familiar with java that much, but have improved a lot
-Pair programming is a challenge because we have to combine two ideas into once, but still good experience
- Feels that sometimes class is too fast, need more time to understand
- Refactoring well after feedback</t>
  </si>
  <si>
    <t>Anne</t>
  </si>
  <si>
    <t>relevant classes un-relevant behaviour(robot as value object), formatting issue, some duplication</t>
  </si>
  <si>
    <t>Issues
- other trainee dominantly ask question and its disturbing, hesitant to ask question
- Trainer not giving the clear answer (no repeat answer in class just yes or no question), usually just tell to remember what already learnt in class before --&gt; already mention about trainers as facilitator</t>
  </si>
  <si>
    <t>* Keep all the logic on Robot, is change direction and update the coordinate 
is part of the Robot behavior?
* Unnecessary input on Main Class
* Missconception how commit + TDD cycle actually works. 
Should affirm to luthfi that only green test should be commited. In progress code prefix it with WIP
* Commit SHA d7f3bdc4, 583fb731, a9eb8182 should be descriptive.
* Coverage not 100% (equals contract not tested)</t>
  </si>
  <si>
    <t xml:space="preserve">- he interested with backend and CI/CD
- he already learn about DDD in laravel
</t>
  </si>
  <si>
    <t>Anneke &amp; Ak</t>
  </si>
  <si>
    <t>relevant classes un-relevant behaviour, low coverage, long method, magic literal, abbrev naming</t>
  </si>
  <si>
    <t>WFH make lack of proactiveness
- like how the trainer do the train.
- Aland, Alcreado proactive while on pairing but not too much in Main room. Rayyan internet a bit problem some times not communication well while pairing.
- Confidence.
- 2016 already works fullstack programmer.
- already has experience on React JS.
- Willing to help each other</t>
  </si>
  <si>
    <t>* Keep all the logic on Robot, is change direction and update the coordinate 
is part of the Robot behavior?
* Irrelevant behavior like (returning new Robot when simulate is invoked)</t>
  </si>
  <si>
    <t>- internet problem, sometimes need to reconnect several times a day, but still can follow the class just fine till now
- ask about why we are not giving the outcomes of the class each week for them to learn --&gt; already explain the reason
- confused with enum implementation 
- need to learn about entity-value objects design</t>
  </si>
  <si>
    <t>Citra</t>
  </si>
  <si>
    <t>OO
* has only 1 class ( Robot) but has enum for Direction &amp; Task inside of Robot
UT
* good coverage, but wrong concept by merging multiple test cases into one big test case to cover many logic
* only has 3 test case
* not showing too much TDD, because of commit with only adding test case
CC
*app class still has 1 format issue
* not too readable ( &gt; 50 lines in one class)
* has magic literal(0, 1)
N
* not following language convention( controller function), 
* not descriptive( facing )
* has abbreviation ( what is i?)
* not consistent( variable name facing but is being check with CardinalDirection)
AOC
* not implement all equality contract
* not clear enough ValueObject concept
* not descriptive commit message( only "refactor")
* still using else keyword, more than 1 identation on method
* still have unused getter ( getCharacter on enum)</t>
  </si>
  <si>
    <t>- asked to choose time to ask when he think he really need help as he seems too active on the class and drive the discussion too many times
- give good question and able to speak what he thinks
- retaught again about ValueObject &amp; Entity object
- sometimes he feels that when do pair programming but given homework,  he doesn't like to be too dominant, and choose other solution instead of his. Asked to give more discussion, so he can be more comfortable on pair
- he feel that he is a "text book" guy who like solving issue by whats written in a text not by his instinct. we encourage him that its good because you relate to a dependable source and the instinct will come when his flying time already long
- he a little bit concern that he will not meet the expectation when deploy to a project because of online class (missing some material because of online)</t>
  </si>
  <si>
    <t>OO
* has only 1 class, and keep all logic on Robot
UT
* 100% coverage, show frequent commit &amp; TDD
* testing toString &amp; the logic on first test case directly
CC
* has magic literal (R,L,0, N, E, W, S)
* not too readable (not putting this. in front of class properties call, &gt; 50 lines in class)
* has linter error ( should declare yCoordinate on new line, using continue; on looping)
N
* some ambiguos naming( robotPosition but is RobotSimulator instance)
AOC
* using toString
* not implementing equals or ValueObject concept
* using too many return this; and continue for early return concept
* should remove numbering from commit message</t>
  </si>
  <si>
    <t>- Asked to be more active on class, bcs he looks a little bit shy (introverts)
- We give tips to do baby steps by choose what class can be created and ask him not jumping directly to input &amp; output example on the assignment
- Says he feels sometimes bored because of the long time of the class, sitting in front of the laptop, and sometimes feels too tired to do homework with pair also</t>
  </si>
  <si>
    <t>ROBOT SIMULATOR
OO Concepts [SRP, Small class, Primitive obsession &amp;amp; other OO concepts] [1]
-2 classes
-can separate coordinates and directions out of robot class
-job of class not mentioned
Unit testing [4]
-50%+ coverage
-TDD very well
-good assert
Clean Code [3]
Parameters to evaluate across:
● No formatting issues - no
● No linter errors - no
● Readable code - yes
● No magic literals - yes | good thing to add advance move value
● LOC for methods - okay
● No duplication - yes
Naming [ Git message, Testcase name, Class names, Method names, variable names ] [4]
Parameters to evaluate across:
● Descriptive names - yes
● No Abbreviations - no
● Following language conventions - yes
● Consistent naming - yes
● No ambiguity in naming - no
Application of Concepts (Subjective Evaluation, Frequent commits, working solution,Job of class, getters/setters) [1/2] 
● Calithenics 
● Equals and HashCode - not implemented
● Value and Entity Objects - not implemented</t>
  </si>
  <si>
    <t xml:space="preserve">- Interest in data science
- CPC expertise
- Need attention logic but not readable vs readable
- Basic Python, but move to Fullstack
- Still want to be Data Science
- Ragu saat ngasih ide, </t>
  </si>
  <si>
    <t>* Really well README for instruction the program.
* 100% works
* Have 2 class which is relevant.
* there are other method in App.java instead of main. can be split into another class for that responsibility
* use enum for Direction but can be move into another file
* has 100% coverage for class Robot, Point, but some logic in App still not tested, for equals should be test independent. evidence doing TDD
* implement all equals rules
* doing baby step for commiting
* naming for commit doesn't need `test case` sentence, should be directly what it does
* [Clean Code] no lint error, consistent code, readable code, LOC for methods &lt;= 15, no duplication
* [Naming] no abbreviations, following language conventions, consistent naming, no ambiguity in naming</t>
  </si>
  <si>
    <t>1. Challenging but good
2. Do not know java, know very basics, so more challenging for me
3. Able to follow concepts
4. Class is detailed
5. Pair programming is to combine two logics, into the same perspective, but overall PP has taught him so many things
6. Time consumed in naming convention: helped with a suggestion
7. Never done online class with so many people, not even high school and college
8. They discuss post class, good communications</t>
  </si>
  <si>
    <t>* 100% works
* spend until saturday only{should be have refactoring time then}
* has Robot class only
* Coordinate can be extract to another Class
* Direction still using primitive obsesion String{can be use another class}
* testing coverage 100%
* Testing the scenario of robot movement, similar to integration test but works
* Doing refactoring after passing the test with dummy logic first
* make getPosition for printing instead use toString()
* need more careful about code warning
* line of code for move 48 line
* [clean code] no formatting issue
* [naming] descriptive, following language convention, consistent naming</t>
  </si>
  <si>
    <t xml:space="preserve">- Experience in C#
- Not confidence to showcase
- Need more active on class </t>
  </si>
  <si>
    <t>Meita</t>
  </si>
  <si>
    <t>- Robot and App class
- only have 2 test case
- Can't find simple test to drive the code
- no frequent commit
- Many magic literals
- ambigu, abbreviation, and not readable name parameter function "c"
- switch case without default case
- using primitive for looping
- has sout on test
- LOC &gt; 15
- Not following test function naming convention
- already follow equals rule only 1 rule not provide (null return false)
- override toString also</t>
  </si>
  <si>
    <t>- He want to be a Project Manager/PO
- Need more active in class
- He is freshgraduated
- Sometimes he is have argumentation with his pair</t>
  </si>
  <si>
    <t>- App and RobotSimulator class
- primitive obsession
- create method "status" instead of using toString
- magic literals
- className RobotSimulator
- naming sometimes not consistent
- a little duplication
- switch case without default case
- Not following language convention for naming variable
- Tyring to implement static factory method,  
but it might be not suitable for his case
- Good TDD, start with simple test/movement</t>
  </si>
  <si>
    <t>-Pairing and discussions take time, difficult to communicate and talk to pair to exchange ideas
-Other wise all good
-Had a clarification on interface segregation: explained
-Refactored well after feedback
-good in class, do well, helping pair, so its all good</t>
  </si>
  <si>
    <t>relevant class, some un-revelant behaviour, magic literal</t>
  </si>
  <si>
    <t>Is a javascript guy, who have familiar with React
- asked to be more active by asking questions, because he seems want to give other chance to ask question
- join chip because he know from chip 4 its using javascript but no problem of learning java</t>
  </si>
  <si>
    <t>ROBOT SIMULATOR
OO Concepts [SRP, Small class, Primitive obsession &amp;amp; other OO concepts] [3/4]
-Lots of good classes and behaviours
-Direction could be moved out of robot
-turn Left turnRight are interesting and good implementations, can be easier and reusable using ENUMS
-job of class not mentioned
Unit testing [4]
-50%+coverage
-Do not assert on robot
-followed TDD
Clean Code [4/5]
Parameters to evaluate across:
● No formatting issues - no
● No linter errors - no
● Readable code - yes
● No magic literals - no
● LOC for methods - good
● No duplication - no
Naming [ Git message, Testcase name, Class names, Method names, variable names ] [4/5]
Parameters to evaluate across:
● Descriptive names - yes
● No Abbreviations - no
● Following language conventions - yes
● Consistent naming - yes
● No ambiguity in naming - yes
Application of Concepts (Subjective Evaluation, Frequent commits, working solution,Job of class, getters/setters) [4]
● Calithenics - good
● Equals and HashCode - yes
● Value and Entity Objects - yes/ unlear though</t>
  </si>
  <si>
    <t>- From the class good. because start from phython. and can’t imagine that she still can follow it.
- Let others to tell first.
- a bit shy to ask but wanna try.
- pair programming, if different opinion. not confidence with her best opinion.
- Fresh Graduate -&gt; Computasi Cerdas, but after join CHIP interest in full stack
- Satria: when he as driver, he is not push, gak teliti. kurang disiplin
    - Panji: sering YAGNI. mikirnya kejauhan.
- Rajin after comment MR directly to solve</t>
  </si>
  <si>
    <t>ROBOT SIMULATOR
OO Concepts [SRP, Small class, Primitive obsession &amp;amp; other OO concepts] [1]
-Not enough classes, misplaced behaviour
-enum should be outside
-job of class not mentioned
Unit testing [2] 
-50%+coverage
-not assert on robot, but on position
-TDD not followed
-testing needs to improve
Clean Code [2]
Parameters to evaluate across:
● No formatting issues- no 
● No linter errors - no
● Readable code - no Main Class, move function in robot class: for and if used nested
● No magic literals - no
● LOC for methods - too big in main
● No duplication - yes
Naming [ Git message, Testcase name, Class names, Method names, variable names ] [3]
Parameters to evaluate across:
● Descriptive names - need to look into frequent commits and commit messages also, and count variable name
● No Abbreviations - no 
● Following language conventions - yes
● Consistent naming - yes
● No ambiguity in naming - no
Application of Concepts (Subjective Evaluation, Frequent commits, working solution,Job of class, getters/setters) [2]
● Calithenics - nested ifs used
● Equals and HashCode- yes 
● Value and Entity Objects - no</t>
  </si>
  <si>
    <t>- shy to talk in front of many people, but want to learn to be more proactive in the class
- feel the burden of having the title "class leader"
- still adapting to working with other people, with many different characteristic
- feels tired to sit and face the laptop screen the whole day
- no issue in technical things so far</t>
  </si>
  <si>
    <t>Name</t>
  </si>
  <si>
    <r>
      <rPr>
        <b/>
        <sz val="10"/>
        <rFont val="Arial"/>
      </rPr>
      <t>Mentoring FeedBac</t>
    </r>
    <r>
      <rPr>
        <sz val="10"/>
        <color rgb="FF000000"/>
        <rFont val="Arial"/>
      </rPr>
      <t>k</t>
    </r>
  </si>
  <si>
    <t>&gt;50%</t>
  </si>
  <si>
    <t>- Only work for 1 pattern (Block)
- Many incorrect access modifier, some function should be private but exposed
- Good trying to test stdin but the assertion only assert not throw
- Ignoring IDE warning
- Lot of ambiguity in naming variable and method
- Naming not descriptive
- Some magic literal
- Enum state always converted to boolean, became useless
- 2 tests is break
- Test not covering all possibility 
- Good already separate some job to small function</t>
  </si>
  <si>
    <t>- Enjoy pairing
- Able to understand material of this week (parking lot)
- More active in class compare to previous week
- Using whole saturday to design the code, but implement it on sunday (time management problem)</t>
  </si>
  <si>
    <t>- Improve on TDD and start doing baby step
- Too frequent commit (only test with no implementation)
- 4 classes, related behaviour
- many duplication, long lines</t>
  </si>
  <si>
    <t>- A lot improvement for TDD to finding small step
- sometimes feel a bit slow when discussion in pair
- the assignment is harder than before
- hard to follow rules
- confuse for naming</t>
  </si>
  <si>
    <t>- 6 classes with aliveCells and reviveCells
- tests already good and simple step
- little to no duplication
- loc &lt;= 15, good formatting, minor lint issue
- code is readable</t>
  </si>
  <si>
    <t>- Having problem when many concept introduced at one time
- Having good discussion when pairing with Artha
- Prepare a very good design note before working on assignment</t>
  </si>
  <si>
    <t>OO
-has Cell, Coordinate, Game, Grid, Universe ( Grid &amp; Universe has a little bit same behavior, should choose either one)
UT
-has do baby steps, coverage is 100%, and have evidence of doing TDD
CC
- has linter error(not having hashCode, should do iteration from entrySet not keyset, some unused import)
- can be more readable(removing if, and by directly return it, need to put this. should remove continue )
- has magic literal ( 2, 3, 1)
N
- has Abbreviation(o, x,y,in)
- has not following language convention( noun as function name)
- has ambiguity (calledCoordinates)
AOC
still not sure about ValueObject
has some issue on too obsess with HashMap
no primitve obsession</t>
  </si>
  <si>
    <t>- feel 15 minutes itteration is not enough
- class sometimes so silent so want to speak.
- can improve when try to help other trainees in class, because he's type of person who actively speaking in class
- ask him to separate class better, choose better naming as his low point is on naming class &amp; variables
- has improvement from Robot assignment
- say that he love the review because in his previous 1 year work experience, he doesn’t get the correction from his senior, and now he can more understand what can make better code
- he feels like there’s something missing from the online way of the academy
- pairing is good</t>
  </si>
  <si>
    <t>Nofanto &amp; Kshitiz</t>
  </si>
  <si>
    <t>- some magic literal
- some long function
- not all file have test
- naming can be better
- moderate coverage</t>
  </si>
  <si>
    <t>- Feel have learned a lot this week, more difficult for him so he’s do more learning after class
- No issue with pairing, feel homework really help, because have pair to learn together
- Still confuse about strategy pattern
- Still confuse about observer pattern</t>
  </si>
  <si>
    <t>- Using good data type for Cell (Set)
- Has Game, Cell, and Status class
- LOC &lt; 15 lines
- Code is easy to understand
- Some magic number
- method name `resurrectNeighbour` is ambigu 
- Unused constructor param
- Trying todo TDD but still traped with full requirement
- enum only have 'live' value
- duplication, magic literal</t>
  </si>
  <si>
    <t>- He think deadline for assignment is not enough for completing assignment
- Has some experience in design pattern
- Sering mengalah dengan pair ketika terjadi perdebatan</t>
  </si>
  <si>
    <t>- Parsing small logic in main
- Exposed some method 
- unnecessary sort logic
- naming can be more descriptive</t>
  </si>
  <si>
    <t>- Feel this week is more challenging, especially regarding pattern,  but also fun and he can still keep up
- Still unclear about the usage scenario of observer and strategy pattern
- Pairing more smooth compare the previous week, mainly due more comfortable with the activity so he’s able to manage time better
- Focus to achieve the role of full stack programmer at least in 3 years
- Refactoring well after feedback
- Explain to him example scenario for observer and strategy pattern</t>
  </si>
  <si>
    <t>- Not all file have test
- Exposed some method
- moderate coverage</t>
  </si>
  <si>
    <t>- Feel more improvement regarding speaking compare with previous week
- Have trouble with keep it up with class in the last lesson, mainly because the pairing (want to try another approach)
- Still confuse about what to test in the marker interface
- Still confuse about strategy pattern
- Still unclear about no getter setter
- Want to be teach lead
- handling very well regarding the “conflict” with pair
- Explain to him more about marker interface</t>
  </si>
  <si>
    <t>OO
- Board, CellFactory, DeadCell, AliveCell, Game, GameRule, Player, Position, and Cell Interface (too much irrelevant class like Game, GameRule, Player. also not good implementing Interface Cell)
UT
- theres baby step, test case 91% only hashCode not tested, evidence of doing TDD
CC
- No formatting issues ✔ 
- No linter errors
- Readable code 
- No magic literals ✔
- LOC for methods &lt;= 10-15 
- No duplication ✔
N
- Descriptive names ✔
- No Abbreviations ✔
- Following language conventions ✔ 
- Consistent naming ✔
- No ambiguity in naming
AOC
- try to use enum
- try to use Interface
- try to use Comparable, good point on ValueObject</t>
  </si>
  <si>
    <t>- a bit too shy to talk in the class
- need to talk more and be brave because somehow he feel like afraid of wrong answer
- ask him to remove some class, because he is overthink
- ask can he know his evaluation score, and later on we give some input on what can he improve(Naming &amp; Clean Code by Object Calisthenics),
- has getting left on one of the pairing sessions because he got thinking &amp; discuss too much with his pair</t>
  </si>
  <si>
    <t>- working apps
- need to be more careful regarding Intellij warning
- [object oriented] Has most of the relevant classes with mostly relevant behaviour. Maybe some irrelevant
behaviour.
- [unit test &amp; tdd] Has enough unit tests covering about 50% public methods of the objects. but not evidence doing test driven development that some class doesn't have much test that needed
- [clean code] (-) formating issue, (-)linter error, (+) readable code, (-) some magic literals and number, (+) line of code &lt;= 15, (+)no duplication
- [naming] (-) not descriptive name, (-) abbriviation on equals, (+) following language conventions, (+) consistent name, (-) ambiguity on class name
- [application of concept] Partially correct application of attempted concepts, with obvious misunderstandings.</t>
  </si>
  <si>
    <t>- Time management kurang waktu di pairing
- Language Barrier, Need to motivate to try speak in english</t>
  </si>
  <si>
    <t>OO
- has Board, Cell, Position. has some weird behavior on Cell
UT
- &gt; 80% code coverage, but push 6 failing test case, because not doing TDD in last commit
CC
- has formatting issue(need to move { position)
- Not readable(breaking one level indent of Object Calisthenics)
-has magic literal(10, next, \n)
N
- not following language convention( noun as function name, such as lonelyCell)
- has abbreviation(pos)
- has ambiguos name( cellKeySet, getValues)
AOC
- still not sure about ValueObject (on Cell)
- has some issue on too obsess with HashMap</t>
  </si>
  <si>
    <t>- cant do mentoring because of sick</t>
  </si>
  <si>
    <t xml:space="preserve">*[OO Concepts]:
- has 3 class (Board, Cell, Coordinate)
- relevant behavior, some irrelevant
- no primitive obsession
- still has getter that can be improved to be Tell don’t ask
- equals implementation in Cell is not really correct, because the only things checked in there is the coordinate
* [Unit Testing]:
- good coverage, the startGameOfLife is not tested
- has evidence in doing TDD, but some commit only has test in it
* [Clean code]:
    - no formatting issue √
    - no linter errors √
    - readable code x 
        - very long in 1 line, can extract into variable for increase readability
        - too many indentation
    - no magic literal x
    - LOC &lt;= 15 √
    - no duplication √
* [Naming]:
    - descriptive name x (naming in test can be improved)
    - no abbreviations √
    - follow naming convention x 
        - one constanta have 2 underscore (typo i think)
    - consistent naming √
    - no ambiguity in naming √
* [Application of concepts]:
- solution complete 100%
- improved in commit message
- implement equals and hashcode, but equals method has some missing logic
- has try to implement command query
</t>
  </si>
  <si>
    <t>* Technical Notes:
- access modifier, many private method that are still public 
- make sure about job of the class, don’t easily using getter
- magic literal, readable code (too long in one line, indentation), decrease duplication 
* Other Notes:
- have problem with pair that doesn’t listen and try to apply to his approach (Alan)
- doing okay in the class, just need to be more proactive in asking questions
- has asked about the need to apply every principle / pattern that are learn in class —&gt; already mention that is based on the situation, which pattern is the best approach, every scenario can have different pattern</t>
  </si>
  <si>
    <t>- working software
- testing Scanner{really well}
- commit step by step
- [object oriented] really well behaviour of the class, breaking some encapsulation{ for checking cell alive at Board}
- [unit testing &amp; TDD] 100% coverage, Evidence of having
test driven some parts of the logic. {InputHandler can be tested more because `while can be remove`}
- [clean code] no formatting issue, no linter error, readable code, line of code &lt; 15, some duplication.
- [naming] +descriptive name, +no abbriviation, +following language convention, +consistent naming, -some ambiguity in naming{liveNeighbours for counting}
- [application of concept] partially correct application of attempted concepts, with minor misunderstandings.</t>
  </si>
  <si>
    <t>- Discussion terlalu nge dragging, sehingga terlalu lama. Trainer diminta memberi konklusi.
- Language barrier. Need motivate to try speak in english.
- some confusing about getter, but after mentoring already good.
- discussion too long. sometimes on the class.
- English converation problem. Understanding but can’t too much talk using english
- pair still ok.</t>
  </si>
  <si>
    <t>- not working software
- not spend much time, starting saturday night at 10 pm{need to ask why}
- [object oriented] has some relevant classes,  with significant irrelevant behaviour.
- [unit testing &amp; tdd] not doing TDD and much of test is not relevant
- [clean code] duplication, line of code &gt;= 15, magic literals, some linter error
- [naming] (-)not descriptive, (-)abbriviation name, (+)following convention name, (+)consistent naming, (-)ambiguity in naming
- [application of concept] Partially correct application of attempted concepts, with obvious misunderstandings.</t>
  </si>
  <si>
    <t>- active on dicussion on the class
- Karena nemenin tukang indihome dan tidak fit sehingga tidak maksimal ngerjain assignment
- Not have much time, because starting the indihome and need to acompany the technician
- Knowing where he is fault
- Connection Problem
    - Andhika, Ilham: cannot share screen.
- Kshitiz active to discuss. Fun with Kshitiz
- Sometimes the class dicussion without conclusion and the trainee still confuses what should do
- Ok with english, 
- Assignment Good after refactoring.</t>
  </si>
  <si>
    <t xml:space="preserve">* [Clean code]:
    - no formatting issue x
    - no linter errors x —&gt; unused line
    - readable code √
    - no magic literal x
    - LOC &lt;= 15 √
    - no duplication √
* [Naming]:
    - descriptive name x (what is outflank —&gt; better to use word “neighbour”)
    - no abbreviations √
    - follow naming convention √
    - consistent naming x (coordinate but variable name cartesian)
    - no ambiguity in naming √
- solution not complete, below 50%
- stuck at testing equalling 2 different object, should be ask again about equals method (value vs entitiy obj) --&gt; already realize and can move on with the problem, already ask to try finish it and will follow up on thursday
</t>
  </si>
  <si>
    <t>* Technical Notes: (to improve)
- naming convention (using camelCase)
- format code: opt + cmd + L
- the separation of job in each class need to be redefined again (curent: Cell class has cells, Coordinate has coordinates, etc)
- naming should be consistent (class name is Coordinate, but the properties are cartesianX and cartesianY)
* Other Notes:
- when stuck not asking other people, because her curiousity is more dominant, so she tend to just search it by herself
- says that her proficiency in java language is not really good
- confused in TDD —&gt; don’t know what to expect from the method / the result, so it’s hard for her to create the test
- suggestion: do rubber duck debugging, asking and have discussion with others
- enjoying this week class, the most challenging class is on thursday, getting stuck on compare, but already consult with others and understand</t>
  </si>
  <si>
    <t>- Implement feedback from mentoring week 1
- Inconsistent data type sometime using list, arraylist, and collection
- Breaking coordinate encapsulation 
- No abbreviation
- Variable naming can be better (ambigu and not descriptive)
- Minor formatting issue in test
- Frequent commit and Evidence of doing TDD
- LOC more than 15 lines
- Failed in Blinker and Toad pattern</t>
  </si>
  <si>
    <t>- Feeling excited this week to learn strategy pattern
- Need more clarification in interface
- When pairing sometime he think he can't help his pair 
and more driven by his pair
- More active than previous week to showcase in class
- takes time to debug</t>
  </si>
  <si>
    <t>- Not all file have test
- Good coverage
- some magic literal, 
- Abbrev in naming
-commit message capitalize the first letter</t>
  </si>
  <si>
    <t>- Like the homework, because able to discuss more with pair with less time restriction
- Already clear about the concept that been taught this week
- Like to have more discussion with other trainee
- Aspire to expertise in new tech like data science, scrum</t>
  </si>
  <si>
    <t>&lt; 50%</t>
  </si>
  <si>
    <t>OO
- Cell, Coordinate, Grid, Input, GameOfLife, and State Enum (State has unrelated behavior)
UT
- no baby step, theres test error on InputTest, no evidence of doing TDD
CC
- No formatting issues ✔ 
- No linter errors
- Readable code 
- No magic literals
- LOC for methods &lt;= 10-15 
- No duplication ✔
N
- Descriptive names ✔
- No Abbreviations ✔
- Following language conventions ✔ 
- Consistent naming ✔
- No ambiguity in naming
AOC
- already using enum (but not good and not used i think)
- breaking encapsulation (no private attribute in every class)
- not implement about ValueObject and IdentityObject</t>
  </si>
  <si>
    <t xml:space="preserve">- asking another trainee mistake on assignment (dont know why)
-has trouble for logic, ask is completeness is ok with weird behavior of the class
- cant finish the assignment because feel not well on saturday morning and the finished code is not good enough also
- still hard to try TDD, cant thing baby steps eventhough already given clue in the last assignment
- feel hard to have a good naming and not ambiguous
- ask about what rule that we don’t need to focus on Object Calisthenics, ask him to more think of rule &gt;50 lines of a class &amp; &gt; 15 lines of a function
</t>
  </si>
  <si>
    <t>*[OO Concepts]:
- class method can be more descriptive (Game class can become Board, Grid, or GameOfLife class)
- there are some un-needed class (Input, Instruction, Print, Rules)
- good separation of concern / responsibility
* [Unit Testing]:
- implement TDD well, good coverage
- no test for hashCode and some rule in equals method
* [Clean code]:
    - no formatting issue √
    - no linter errors x
    - readable code √
    - no magic literal √
    - LOC &lt;= 15 x
    - no duplication √
* [Naming]:
    - descriptive name 
    - no abbreviations √
    - follow naming convention √
    - consistent naming √
    - no ambiguity in naming √
* [Application of concepts]: 
- good README, can add step by step how to run the app
- please see intellij warning / suggestion, most of the time it helps to make a better code
- add “final” to values that are inside value object
- implement the value object well
- implement Tell don’t ask
- a little misconception about SRP and separating class</t>
  </si>
  <si>
    <t>* Technical Notes:
- LOC can be improved
- see intelliJ warnings, it helps
- naming on the class can be improved
- keep up the good work
- when implementing something from the internet, make sure to understand about it first before implement it
* Other Notes:
- need to catchup in the flow of discussion, sometimes not understand what is the context of the discussion, because there are so many approach and people try to bring the discussion into their approach
- suggestion from ak: God feeling —&gt; you think this is the right solution, stick to it, but still open for improvement
- always open for discussion and improvement, but also learn to list down the pros and cons of some approach
- pair programming —&gt; learn to convince other people to use our approach, learning phase, it’s okay to be wrong, be open and always search for better solution</t>
  </si>
  <si>
    <t xml:space="preserve">solution completeness [100%]
oo concepts [3]
* much method that can be private, but package private them
just to test them and add scenarios for unit test (GameOfLife)
* Input processing can be separate to another class and GameOfLife
can change to World / Universe
* Implement equals and hashCode well
unit testing &amp; tdd [3]
* Doing TDD well and proven by evidence
* much method introduced with package private because
impact of refactoring. If needed Nuzha can refactor the test too.
clean code [4]
* no formatting issues, no magic literals, 
no method LOC &gt; 15, readable code, no duplications
naming [4]
* no abbreviations, follow language conventions, 
no ambiguity in naming, consistent naming
* still unclear on several commit like (refactor variable names), 
we don't know the context of which variable names
application of concepts [4]
</t>
  </si>
  <si>
    <t>- Sudah mulai aktif di kelas dan tidak takut berpendapat di forum.
- class more on control{no overtime}
- more active and start discussion
- more discussion on pair rather than just let the pair be vocal</t>
  </si>
  <si>
    <t xml:space="preserve">solution completeness [100%]
oo concepts [2]
* Meet relevant class, Board and Cell
* Unnecessary maximumHeight and maximumWidth on Board
* Unnecessary status and newStatus on Cell (Can be replace to STATUS enum)
* isDead have irrelevant behavior (isDead should only give newer status, 
not to do command)
* setNewStatus breaking encapsulation, if just want to change from alive to dead
it can just call kill, resurrect, or change status
unit testing &amp; tdd [3]
* Doing TDD and refactor well
clean code [2]
* no formatting issue, no magic literals, no duplication
* not readable well, much complex logic on conditional
* many LOC method &gt; 15
naming [2]
* method naming not descriptive enough, introduce ambiguity when read it
* no abbreviations and following language conventions
application of concepts [2]
* mostly break on OOP concept
* not implement equals contract
</t>
  </si>
  <si>
    <t>- Kadang bingung mau nanya ke siapa kalau bingung
- Merasa terbatasi karena via online (kurang dapet chemistry saat online)
- learn a lot
- confuse when he can discussion about something
- sylvie, erikson still ok</t>
  </si>
  <si>
    <t>OO
- Cell &amp; Coordinate (Cell is a bit ambiguos because it hold set of Coordinates)
UT
- theres baby step, test case 100%
CC
- No formatting issues ✔ 
- No linter errors
- Readable code 
- No magic literals ✔
- LOC for methods &lt;= 10-15 ✔
- No duplication ✔
N
- Descriptive names ✔
- No Abbreviations ✔
- Following language conventions ✔ 
- Consistent naming ✔
- No ambiguity in naming
AOC
- still a bit confuse about IdentityObject and treated it as ValueObject
- use Exception when parsing</t>
  </si>
  <si>
    <t xml:space="preserve">- already talk more in the class session
- try to talk about his idea in the class eventhough sometimes a little bit wrong
- asked that he should always to be more careful on not doing the small mistakes like magic literal, abbreviation
</t>
  </si>
  <si>
    <t>&gt;50%?</t>
  </si>
  <si>
    <t>- not fullfill all the requirement
- some long methods
- some magic literal
- naming is not follow convention
-not frequent commits, one commit had test file and all logic
-not overridden hascode, but equals done
-commit messages need to improve</t>
  </si>
  <si>
    <t>- Feel this week much better than previous regarding pairing
- Still confuse about strategy pattern
- Still confuse about observer pattern
- Afraid to ask for more clarification, afraid to drag the class
- Prefer mentoring session for explanation</t>
  </si>
  <si>
    <t>- Some magic literal
- Some abbreviation
- Many bad naming for variable
- Use many logic in toString method
- Primitive obsession, using string for check neighbours location
- Some typo error
- the class is too big because the logic is too difficult
- cell test is empty
- first test is too big
- duplication
- loc &gt; 15</t>
  </si>
  <si>
    <t xml:space="preserve">- Struggle when session conducted in English
- Struggle when pairing with Ericson cz both of them left behind in parking lot exercise
- Need more focus on session, some info that he know is miss. Need to validate his understanding in some concept
</t>
  </si>
  <si>
    <t>* [OO Concepts]:
- still don’t get the separation between Cell, Grid and Point (it can be just one class altogether)
- have relevant behavior
* [Unit Testing]: doing TDD, good coverage, test description can be improved
* [Clean code]:
    - no formatting issue √
    - no linter errors √
    - readable code √
    - no magic literal √
    - LOC &lt;= 15 x
    - no duplication √
* [Naming]: 
    - descriptive name x
    - no abbreviations x
    - follow naming convention √
    - consistent naming √
    - no ambiguity in naming √
* [Application of concepts]:
- good README, can add step by step how to run the app
- App is working, but not with “next” word
- give “final” to properties in value object, also put the right access modifier in each method</t>
  </si>
  <si>
    <t>* Technical Notes:
- naming can be improved to be more descriptive, no abbreviation
- LOC can be improved
- not having “next” command in the App
* Other Notes:
- internet connection not really good this week, so sometimes robotic sound and blurry share screen
- ask to help other trainee that still struggle (especially imel)</t>
  </si>
  <si>
    <t>complete with bugs</t>
  </si>
  <si>
    <t>*[OO Concepts]:
- has different class for Cell —&gt; Position —&gt; Coordinate
- has some relevant class (Tissue, Coordinate, Cell) but the name could be improved
[Unit Testing]: coverage &gt;80%, also doing TDD and baby step
*[Clean code]:
    - no formatting issue x —&gt; don’t forget opt + cmd + L
    - no linter errors x —&gt; have unused import
    - readable code ?
    - no magic literal x
    - LOC &lt;= 15 √
    - no duplication √
*[Naming]: 
    - descriptive name √
    - no abbreviations x
    - follow naming convention x
    - consistent naming √
    - no ambiguity in naming x
*[Application of concepts]:
- the App showing wrong result for some case (complete, but has bug)
- implement equals but not implement hashcode in Position
- not having curly braces on single if
- commit message --&gt; be consistent</t>
  </si>
  <si>
    <t>* Technical Notes: (to improve)
- make sure about the separation of class
- clean code —&gt; formatting issue, frequent opt + cmd + L, delete unused import
- naming —&gt; no abbreviation, following convention (both method and commit msg)
* Other Notes:
- beberapa kali ketinggalan di kelas, setelah liat contoh yg lain baru ngerti
- time management —&gt; gmn biar bisa bagi waktu kalo bingung pas assignment
- susah buat fokus di kelas karena internet connection udh mulai nge-lag, jadi suka disable video, dan itu bikin tambah susah fokus karna bosen yang di lihat cuman layar biru doang
- kalo udh bosen suka nebeng di kosan Fuad
- on pairing, like to asking even when navigating
+ start to open up and ask many questions in mentoring session
+ suggestion: be more active in class, it will also help to stay focus and can help to make sure about your understanding</t>
  </si>
  <si>
    <t>Mentoring FeedBack</t>
  </si>
  <si>
    <t>- Using forbidden 'else' keyword
- Incorrect case of mock and spy
- Some bug on when displaying activity
- Action logger class has no special behavior
- Irrelevant, low quality test using spy for the class that being tested
- A lot of code deleted but all test passed</t>
  </si>
  <si>
    <t>- exception taught in class so did that
- active in pair, can give suggestion
- but in class is sometimes missing when we called him 
- better tell when going
- can more active in discussion in class as well</t>
  </si>
  <si>
    <t>- Done, 100% fullfil the requirement
- Good object OOP modelling
- Implement observer pattern like without interface
- No abbreviation
- Good formatted code
- Good git commit history (prequent commit)
- Baby step, good TDD
- Start from friday to sunday</t>
  </si>
  <si>
    <t>- springboot bisa ikutin cuma kurang dalem
- udah pernah springboot di kuliah buat bikin web jadi time live
- makenya ngerti annotation
- mockmvc bisa 
- rest api bingung pengertiannya apa
- database mysql bisa postgre
- soalnya ngerti lebih mudah dari game of life udah terapin observer pattern</t>
  </si>
  <si>
    <t>- Implement marker interface
- Good OOP modelling and relevant behavior
- Good test and relevant schenario but in some test there's incorrect usage of spy
- Naming can be improved
- Trying to initiate interface
- Start using string formatter and string builder
- Not following package naming convention</t>
  </si>
  <si>
    <t>- Has no experience in building rest api
- Need more discussion about restful api convention
- Have to learn many things in springboot</t>
  </si>
  <si>
    <t>OO
can have more class by extracting using strategy pattern &amp; SRP concept
UT
frequent commit &amp; cover all the test (coverage 100%) with some evidence of doing TDD
CC
* has formatting issues 
* has linter errors ( can do early return and not putting hashCode ) 
* LOC for methods &gt; 15 
* has some duplication (on test file/not putting it on beforeEach)
N
* Not Following language conventions ( targetUserIsNotFollowers) 
* Not Consistent naming ( someplace using show, some place using loop)
AOC
not implementing strategy pattern, but already implementing observer subscriber</t>
  </si>
  <si>
    <t xml:space="preserve">still confuse how to extract and use the mode, and like/upload for strategy pattern
we ask him to properly check his Clean Code
Give hint also on how to do dependency injection (Scanner &amp; PrintStream)
</t>
  </si>
  <si>
    <t>Not Working (&gt;50%?)</t>
  </si>
  <si>
    <t>- not all file have test
- some relevant classes
- some magic literal
- confusing name
OO Concepts [SRP, Small class, Primitive obsession &amp; other OO concepts] [2]
-Hard coded initial input
-Few relevant classes, significantly misplaced behaviour
-creating new user for ‘you’ in notifications in activity class
Unit testing [2]
-3/5 files covered
-evidence of some TDD
Clean Code [2]
Parameters to evaluate across:
● No formatting issues - no/in test cases yes, arrange action assert to be changed
● No linter errors - no
● Readable code  -Commented File [inputHandler]
● No magic literals - no
● LOC for methods - good
● No duplication - yes
Naming [ Git message, Testcase name, Class names, Method names, variable names ] [2]
Parameters to evaluate across:
● Descriptive names - no
● No Abbreviations - no
● Following language conventions - yes
● Consistent naming - not enough code to comment on this
● No ambiguity in naming - yes
-Commit messages formatting, not descriptive enough names
Application of Concepts (Subjective Evaluation, Frequent commits, working solution,Job of class, getters/setters) [1] 
-Observer Pattern [not used]
-Strategy Pattern [not used]
-Exceptions [used only once]
-Enum [not used]
-Equals and Hashcode - good
-No way to input, cannot give marks for complete code</t>
  </si>
  <si>
    <t xml:space="preserve">- Feel this week is good, many new concept
- Still confuse ioc and dependency injection
- Feel really helped with pairing, especially for database
- Often thinking too much on design, instead just code, so he'll lack of time to complete/refactor assignment
-------------------------------------------
-Not do programming because new to java
-Likes to think before doing, thought on Friday, only started on Saturday
-He tried to do baby step, but less time to do the refactoring
-Does not have enough time to do the input
-Suggested to start early, avoid overthinking
-Commented file because not enough time
-Naming of the class and method is an issue, because of name confused
</t>
  </si>
  <si>
    <t>Working</t>
  </si>
  <si>
    <t>- 3 class, using println instead of exception (there was exception but removed), no interface
- UserActivity is more like utils with static method
- no dependency injection
- only 2 class tested, no dependency injection
- tests are failed, TDD but some step are too big, sometimes no test which caused failed
- need to make sure when to use spy and mock (like other trainee that foced to use both of them)
- line formatted, still lint warning
- LOC &gt; 15, logic can be simplified 
- magic literal
- computeIfAbsent, action, display
- ambigous
- abbreviations</t>
  </si>
  <si>
    <t>- dia udah coba desain dan lumayan membantu
- belum tahu kalau harus terapin apa yang udah diajarin di kelas dalam 1 minggu terakhir
- bisa mengikuti kelas dan pairing oke</t>
  </si>
  <si>
    <t>- some un-relevant behaviour,
- not implementing equal contract hashcode
- not all file have test
- some line not covered
- ambiguity in naming
- some duplication
OO Concepts [SRP, Small class, Primitive obsession &amp; other OO concepts] [3/4]
-Platform class should contain the parser and the implementations
-passing a platform to a parser does not make sense, instead can use composition to have parser inside the platform
Unit testing [3]
-50%+ coverage
-Evidence TDD
Clean Code [3]
Parameters to evaluate across:
● No formatting issues - social graph setter formatting can be improved
● No linter errors - no
● Readable code - mostly [parser class readability can be improved]
● No magic literals - some literals in the setter classes
● LOC for methods - good
● No duplication - did not see 
Naming [ Git message, Testcase name, Class names, Method names, variable names ] [3]
Parameters to evaluate across:
● Descriptive names - not in some places
● No Abbreviations - no
● Following language conventions - yes 
● Consistent naming - yes
● No ambiguity in naming - yes
-parser name is too generic
-inputtable is confusing
Application of Concepts (Subjective Evaluation, Frequent commits, working solution,Job of class, getters/setters) [4]
-Observer Pattern [implemented well]
-Strategy Pattern [not implemented in action class, used in input, Factory method used in the class action, since the action class is not taking 2 forms, but the type is taking multiple forms, good use case for strategy pattern]
-Exceptions [should be used to handle situations which are outside the system’s capability to handle, not always, otherwise try boolean, or enum with status codes]
-Enum [used enum in class Action, can be removed out, not required] [but implementation is fine]
-Equals and Hashcode [both should be defined]</t>
  </si>
  <si>
    <t>- Have hard time understand spring boot, because its new for him
- Have hard time to do database in command line, prefer GUI
- Clear about the concept for this week
- Problem finding pair that not have been pair with him
- Ask him to be more proactive in discussion
---------------------------------
-Overwhlemed by Spring because never tried before
-Tried after class, got a better understanding
-Need to refresh memory regarding commands from database
-Took several online courses on udemy for JS
-Pairing he has already made all possible pair apart from 6-5 people
-Help others as much as you can</t>
  </si>
  <si>
    <t>Not Working</t>
  </si>
  <si>
    <t xml:space="preserve">- Not all file have test
- low coverage
- some relevant classes 
- linter error 
- magic literal
OO Concepts [SRP, Small class, Primitive obsession &amp; other OO concepts] [2]
-exiting from social graph is not correct in input class
-what is the purpose of followUser function, seems to be doing redundant acitvities [input class]
-like and upload actions not there in code
-user class structure is fine
Unit testing [1]
-&lt;50% coverage
-4th commit adding methods without test
-input file before test
Clean Code [1]
Parameters to evaluate across:
● No formatting issues - no, still talk about cmd+option+L 
● No linter errors - no
● Readable code  - low readability
● No magic literals - yes, notification is a string
● LOC for methods - not good, in input class
● No duplication - yes, in input class
-commit messages capitalisation
Naming [ Git message, Testcase name, Class names, Method names, variable names ] [2]
Parameters to evaluate across:
● Descriptive names - not in test, and git log commit messages also need to improve
● No Abbreviations - no
● Following language conventions - yes
● Consistent naming - no enough code to check this
● No ambiguity in naming - yes, social graph method [actions, listofnames, messages to input next action]
-Subject interface, what is the use
Application of Concepts (Subjective Evaluation, Frequent commits, working solution,Job of class, getters/setters) [2]
-Observer Pattern [yes]
-Interface [yes]
-Strategy Pattern [no]
-Exceptions [no]
-Enum [no]
-Equals and Hash Code [no]
</t>
  </si>
  <si>
    <t>- Feel this week challenging, never been use spring boot before, also learn new thing in database
- Still unclear about dependency injection
- Still unclear about autowired
- No issue with pairing, but often lack behind little bit
--------------------------------------------------
-Confused with approach, started thinking about patterns in the beginning
-Try to redo the exercise over the weekend and see if we can catchup with you
-Explained the assignment approach the solution</t>
  </si>
  <si>
    <t>OO
- CommandNotFoundException, HasFollowedException, HasUploadedException, UserIsNotAFollower, UserPhotoNotFoundException, ActivityReporter, InputAble, InputShowActivity, InputSocialGraph, InputUserAction, LikedReport, Reportable, UploadedReport, User
UT
- theres baby step, coverage 100%, evidence of doing TDD
CC
- No formatting issues 
- No linter errors
- Readable code 
- No magic literals
- LOC for methods &lt;= 10-15 
- No duplication
N
- Descriptive names ✔
- No Abbreviations ✔
- Following language conventions ✔ 
- Consistent naming ✔
- No ambiguity in naming
AOC
- try to use Interface to implement Strategic Pattern
- understood about observer pattern
- understood ValueObject and EntityObject
- implement custom exception</t>
  </si>
  <si>
    <t xml:space="preserve">we ask him to properly check his Clean Code, when we do mentoring, he already extract to some class, but still don’t know how to use it properly, so we tell him
Give hint also on how to do dependency injection (Scanner &amp; PrintStream)
</t>
  </si>
  <si>
    <t>solution completeness [80%]
* Cannot display activity on committed code before sunday 12pm
* Error and exit program when try to put activity or display massage
before setting up social graph.
oo concepts [4]
* Good idea, separate Action, Setup, and Display
* Breaking encapsulation on User class. Ilham can change to command
if want to show timeline
* Photo is like a dummy class, Ilham can move behavior into this class
like notify, like, and tag the owner
* Unnecessary enum Mode, only used on Home
unit testing &amp; tdd [3]
* coverage below 100, above 90 (DisplayMode)
* Doing baby step when TDD, at the end not doing TDD because
loc not fully tested on DisplayMode
* Still commit red code
* Still have error unit test
clean code [2]
* no duplication, no magic literals, readable code
* Still have formatting issues, LOC &gt; 15
* Still have commented code, unused class
* Need to slightly improve, this is downgrade from last assignment
naming [4]
* Following language conventions, no abbreviations
* Git commit already descriptive, some point still need to improve
and descriptive
* Ambiguity on class naming (Modable)
application of concepts [3]
* Try to implement observer pattern
* Breaking encapsulation on User class</t>
  </si>
  <si>
    <t>- Have some issue on internet
- Still can following the class
- on Pair, some pair keras kepala Rayyan.</t>
  </si>
  <si>
    <t>OO
 Has most of the relevant classes with mostly relevant behaviour. Maybe some irrelevant behaviour. (haven’t finished yet)
UT
Coverage 98%, Evidence of having test driven some parts of the logic. (some still two test case in one commit)
CC
* has formatting issues 
* has linter errors (didn’t override hashCode eventhough have override equals)
N
* Not Descriptive names (that) 
* not Following language conventions ( boolean upload )
AOC
Didn’t fully implemented strategy pattern yet</t>
  </si>
  <si>
    <t xml:space="preserve">
can’t finish the assignment because he got sick (diarrhea &amp; go to doctor)
say that he still don’t understand how to use strategy pattern
think that he has no problem with Spring Boot, Bean &amp; Database( he said that he has ever used the postgres before via GUI), we ask him to finish his Activity Reporter as he didn’t do it</t>
  </si>
  <si>
    <t>- improvement for clean code, but for testing is still fake test
- no issue for following class
- activeness is still quite passive, harus ditunjuk baru ngomong padahal pas springboot sebenernya dia pernah pake</t>
  </si>
  <si>
    <t>Solution Completeness: 100% app works properly
OO Concepts: 2
- have relevant main classes
- not implementing observer pattern
Unit Testing: 4
- still has commit that only has test
- evidence of doing TDD
- coverage &gt; 80%
- can use beforeEach on test file to reduce redundancy
Clean code: 2
- no formatting issue, no linter errors, readable code √
- no magic literal, LOC &lt;= 15, no duplication x
Naming: 4
- descriptive name x
- no abbreviations, follow naming convention, consistent naming, no ambiguity in naming √
Application of concepts: 2
- not implementing Interface, observer pattern
- no Exception handling</t>
  </si>
  <si>
    <t>- new to spring boot, can follow the class
- become better in pair programming, he start to actively building the discussion with his pair and find better solution together
- not implementing the pattern that already introduced in the class, but already aware of it when doing the mentoring and know how to refactor it better</t>
  </si>
  <si>
    <t xml:space="preserve">
</t>
  </si>
  <si>
    <t>solution completeness [70% (completed with bug)]
* Need to catch the exception if don't want to terminate the app
* On Bob, it should see the Alice uploaded photo activity
* On John, it should see Bob activity
* On Alice, it should see Bob activity
* On Bill, it should see Bill liked your activity
oo concepts [4]
* Mostly have relevant class
* Database can separate into 2 class, for Person and Photo / UploadAble
* Implements observer pattern
* Implements singleton pattern on Database
unit testing &amp; tdd [4]
* Doing TDD well and frequent commits
* BeforeEach method name can rename to setUp / tearUp.
clean code [3]
* still have 1 unused import, have 1 method LOC &gt;= 15
* readable, no magic literal, no duplication
naming [4]
* no abbreviation, descriptive names, following language conventions,
consistent naming.
* Still have ambiguity in Database naming. can be extract into 2 class.
application of concepts [3]
* No misunderstanding on implementing observer pattern</t>
  </si>
  <si>
    <t>- Aman, belum ada kebingungan masalah materi
- Kadang suka bingung membedakan mana yang rumit, dan mana yang memang seharusnya rumit
- More discussion on the class</t>
  </si>
  <si>
    <t>100% (with bug)</t>
  </si>
  <si>
    <t>solution completeness [100%]
* working software
* input can be free string on social graph (between 1st user and 2nd)
oo concepts [4]
* Activity is different things, need to separate photo responsibility 
from Activity (remember open close principle)
* SocialMedia is bloated, can be separated into 3 different class
(Setup, Action, Display)
* findUser can be moved into Repository, it's not SocialMedia
responsibility
unit testing &amp; tdd [3]
* Show improvement evidence on TDD and baby stepping 
* Have some commit with big changes.
* No test on ActionDictionary, LikesPhoto, UploadsPhoto
clean code [3]
* Still readable, LOC of methods &lt;= 15, no formatting issues,
no magic literals
* Have unoptimized import on UserTest (linter)
naming [3]
* Descriptive names, no abbreviations
* not following convention on some part (bracket and class name)
* class name can leads to ambiguity.
application of concepts [4]
* Still need to improve on open close principle</t>
  </si>
  <si>
    <t>- More proactive with others
- Still ok with pair
- Can following the class</t>
  </si>
  <si>
    <t>&gt; 50% (can't run display mode)</t>
  </si>
  <si>
    <t>Solution Completeness:  &gt; 50%, can’t run the display mode
OO Concepts:
- UploadPhoto and LikePhoto can be one class that notify user everytime photo being uploaded or liked
Unit Testing:
- no test for inputParser class
- coverage 50%++ 
- many method no tested
- have some evidence of TDD
Clean code: 
- no formatting issue, readable code, LOC &lt;= 15 x
- no linter errors, no magic literal, no duplication √
Naming: 
- follow naming convention, consistent naming, no ambiguity in naming √
- descriptive name, no abbreviations x
Application of concepts:
- README can be improved to be more informative
- try to implement observer and using interface though not complete
- masih ada commented code, codingan ga kepake dari App class, still has sysout for debugging
- commit message is not descriptive</t>
  </si>
  <si>
    <t>- like to read first to understand the concept, then go to trial and error
- the fear of breaking things, spending time on thinking, affraid of making mistakes, so need to get rid of the over thinking, start code something, get your hands dirty
- already tell her to ask one of the trainer to be a discuss budy with her when she want to exercise to implement the material into her code, so it can lessen her fear to break her code</t>
  </si>
  <si>
    <t>No input output</t>
  </si>
  <si>
    <t>- -1 AOC because no input parser
- 10 class (have user repository?) but only one exception, behaviour good
- encapsulation still broken in some place
- use interface and good implementation, but no observer pattern on user
- coverage good
- some wrong assertion like in command interpreter, 
- AAA is forgotten or still confuse how to split
- formatting already good, lint error is minimal but still exist
- unused variable and parameter
- typo and broken english
- some ambigous like execute
- still no observer pattern</t>
  </si>
  <si>
    <t xml:space="preserve">- Not so familiar with Rest API
- Learn some basic concept in springboot after class
- Making a better refactor for his assignment after the deadline
- Not really think about the full requirement, in the middle of saturday he think he is in wrong direction and finally not finish the full requirement
- API pernahnya ngotak ngatik logic yang udah ada di .net 
</t>
  </si>
  <si>
    <t>Working &gt; 50%</t>
  </si>
  <si>
    <t>- good coverage
- magic literal
- not follow convention in naming
- some linter error
- expose some method
OO Concepts [SRP, Small class, Primitive obsession &amp; other OO concepts] [4]
-Social media class can be improved a little, can use ENUMs (likes uploaded)
-Well made classes and functions
Unit testing [4]
-&gt;90% test coverage
-good TDD
-All files covered
Clean Code [4]
Parameters to evaluate across:
● No formatting issues - no
● No linter errors - no
● Readable code  - very readable code
● No magic literals - yes
● LOC for methods - some places big, like parser in social media
● No duplication - yes
Naming [ Git message, Testcase name, Class names, Method names, variable names ] [3]
Parameters to evaluate across:
● Descriptive names - good descriptive test names
● No Abbreviations - no
● Following language conventions - no
● Consistent naming - yes
● No ambiguity in naming - no
-isFollowed to isFollowedBy?, minor suggestion
-PersonTest line 48, forgot to change method name
Application of Concepts (Subjective Evaluation, Frequent commits, working solution,Job of class, getters/setters) [3]
-Observer Pattern [yes]
-Interface [yes]
-Strategy Pattern [yes]
-Exceptions [yes]
-Enum [no]
-Equals and Hash Code [yes]
-Person line 48 clarify the purpose [is it to segregate the person in another list of uploaded photo users?]
-Person clarify line 91, why !isFollower
-display not allowing to choose user</t>
  </si>
  <si>
    <t>- Have hard time for understand material for this week, need more practice for spring boot and command line postgres
- Already clear with material for this week
- Problem with his network often disconnect</t>
  </si>
  <si>
    <t>OO
- Action, ActivityReporter, Display, Followable, Inputable, Mode, ModeFactory, Setup, User
UT
- Has enough unit tests covering about 50% public methods of the objects. Evidence of having test driven some parts of the logic.
CC
- No formatting issues 
- No linter errors
- Readable code 
- No magic literals
- LOC for methods &lt;= 10-15 ✔ 
- No duplication ✔
N
- Descriptive names ✔
- No Abbreviations ✔
- Following language conventions 
- Consistent naming ✔
- No ambiguity in naming
AOC
- already try to implement strategy pattern with interface 'Inputable'
- already try to implement observer pattern with 'Followable'
- try to use spy but i think still confused how to use it properly</t>
  </si>
  <si>
    <t>has try to fix his activity reporter
we ask him again wether user is valueobject or not
Give hint also on how to do dependency injection (Scanner &amp; PrintStream)</t>
  </si>
  <si>
    <t>Solution completeness: 100% app working
OO Concepts: 2
- misconception in designing the class
Unit Testing: 3
- no test for input class
- coverage around 75%
- do TDD but the unit test is a big chunck
Clean code: 3
- no formatting issue, readable code, no magic literal, no duplication √
- no linter errors, LOC &lt;= 15 x
* Naming: 3
- descriptive name, follow naming convention x (class name should be singular)
- no abbreviation, consistent naming, no ambiguity in naming √
* Application of concepts: 2
- not implementing interface or any pattern learnt last week in the class</t>
  </si>
  <si>
    <t xml:space="preserve">- realize only on Sunday afternoon that he apply wrong approach for the assignment, but waiting the mentoring time to make sure about it
- remind him that it's better to get early feedback when he need something, quickly ask or discuss with others so it won't hold himself that long, because the mentoring can only be done in the end of the week
- new to spring boot but he like the class and can follow the class
- has some problem with pairing because on of the pair got sudden blackout, so he need to call the pair via WA call
</t>
  </si>
  <si>
    <t xml:space="preserve">- Application Working well
- some unconsistent used of `this`
- Action class not represented as it is.
- some primitive obsesion for mode
- some getter [break encapsulation]
- [object oriented] Has most of the relevant classes. Some irrelevant classes. Most classes have relevant behaviours. Insignificantly minor irrelevant behaviour. Maybe broken encapsulation in places.
- [unit testing &amp; tdd] Has enough unit tests covering most of the public contracts of the objects. Evidence of having
test driven some parts of the logic.
- [clean code] (+)no formating issue, (+)no linter error, (+)no magic literal, (-) some unreadable code, (-)line of code&gt;=15, (-) duplication code
- [naming] (-)some undescriptive name, (+)no abbriviation, (+) following language convention, (+)consistent name, (-)some ambiguity name
- [application of concept] Partially correct application of attempted concepts, without any obvious misunderstandings.
</t>
  </si>
  <si>
    <t>- Following the class
- No issue with pair
- Make more discussion on the class
- Finishing refactor after given</t>
  </si>
  <si>
    <t>- Application Running with crash
- class can be more structured
- [object oriented] some irrelevant behaviour
- [unit test &amp; tdd] 100% coverage, evidence doing TDD
- [clean code] (-) some formatting issue, (+) no linter error, (+) no magic literal, (-) line of code &gt; 15, (-) duplication
- [naming] (-) some undescriptive, (+) no abbriviation, (+) following language convention, (+) consistent naming, (-) some ambiguity
- [application of concept] not implement observer pattern. partially correct application of attempted concepts, with obvious misunderstandings.</t>
  </si>
  <si>
    <t>- Fever on sunday
- sadar bad time management untuk minggu ini.
- Sadar belum memahami sesuatu tetapi malu untuk menanyakannya.
- merasa insecure karena merasa tidak bisa
- banyak kekhawatiran karena learning curve yang tidak bisa mengikuti
- Butuh motivasi yang intense</t>
  </si>
  <si>
    <t xml:space="preserve">&lt; 50% </t>
  </si>
  <si>
    <t xml:space="preserve">OO
Has most of the relevant classes with mostly relevant behaviour (Activiity, GraphSetup, User). Maybe some irrelevant behaviour (Intializer, Parser, Platform)
UT
Has enough unit tests covering about 50% public methods of the objects. but big commit, so we can’t track wether he do TDD or not,  has some function that didn’t has any test at all
CC
* Has formatting issues 
* Has linter errors (doesn’t override hashCode) 
* Can be more Readable (object creation inside another object creation parameter) 
* Has magic literals ( \\s) 
* Has duplication ( because unfinished assignment)
N
* Not Descriptive names (followed, user1) 
* Not Following language conventions (user as function name) 
AOC
Didn’t have strategy pattern 
</t>
  </si>
  <si>
    <t>Ask to continue his assignment, because he didn’t finish(because of his sickness)
Give hint also on how to do dependency injection (Scanner &amp; PrintStream)</t>
  </si>
  <si>
    <t xml:space="preserve">- Have some issue on internet
- Still can following the class
- on Pair, some pair keras kepala Rayyan. </t>
  </si>
  <si>
    <t>- some relevant classes
- breaking test
- not implementing equal contract hashcode
- some magic literal
OO Concepts [SRP, Small class, Primitive obsession &amp; other OO concepts] [1]
-Not enough classes with right behaviours
Unit testing [1]
-Some tests, but no real TDD
Clean Code [1/2]
Parameters to evaluate across:
● No formatting issues - no
● No linter errors - no
● Readable code - not really
● No magic literals - yes
● LOC for methods - no
● No duplication - no
Naming [ Git message, Testcase name, Class names, Method names, variable names ] [2]
Parameters to evaluate across:
● Descriptive names - no
● No Abbreviations - no
● Following language conventions - yes
● Consistent naming - no comment, not enough code written for this
● No ambiguity in naming - yes
Application of Concepts (Subjective Evaluation, Frequent commits, working solution,Job of class, getters/setters) [1]
-No concepts applied</t>
  </si>
  <si>
    <t xml:space="preserve">- Still not getting used to syntax, new to spring boot
- Still silent in the class, need to process the material that being teach
- Often assume that he's already understand something, but actually isn't, ex there’s relation toString with equal
-No issues with material and pairing
-But silent in class, says cause takes time to process material
-Redo the assignment over the weekend
-Own way of understanding, had to redo Equality again, concerting his way of learning
-Thinks he understands, but his understand is not accurate always
-Maybe we can ask him to showcase a lot?
</t>
  </si>
  <si>
    <t>- Fever on sunday - sadar bad time management untuk minggu ini. - Sadar belum memahami sesuatu tetapi malu untuk menanyakannya. - merasa insecure karena merasa tidak bisa - banyak kekhawatiran karena learning curve yang tidak bisa mengikuti - Butuh motivasi yang intense</t>
  </si>
  <si>
    <t>YES</t>
  </si>
  <si>
    <t>- at first try to have small class for each functionality and already test drive it. He also handle some negative cases. But in the middle he decides to remove it and replace with simpler implementation.
- no interface
- class is too big
- formatting issue and linter error
- little duplication
- some abbreviation
- somewhat ambigu like addMode, addActions, checkInputSetup</t>
  </si>
  <si>
    <t xml:space="preserve">- Have experience in Rest API with Laravel
- Not so comportable when class start earlier at 8AM
- Trying to follow suggestion for making design before start coding, but feeling not confidence with the solution and finally remove some class to make it simpler but it's not that good compare to previous solution
</t>
  </si>
  <si>
    <t>OOP
- has relevant classes
- interfaces &amp; observer pattern
- can modularize code
- good design
- seperate class for input processing
- not used enums
TDD &amp; unit testing
- 87% coverage
- small tests
- good commit messages
- can reduce LOC in tests (make func for repititive stuff)
Clean Code
- no linter &amp; format errors
- ActionMode -&gt; execute (catch statement &amp; LOC == 16)
- ActivityReporter -&gt; ChangeMode LOC ==16
- can format system.out strings
Naming
- some method naming is inconsistant
Completeness Of Solution</t>
  </si>
  <si>
    <t>- Aman, belum ada kebingungan masalah materi
- Kadang suka bingung membedakan mana yang rumit, dan mana yang memang seharusnya rumit</t>
  </si>
  <si>
    <t>- up-to date in class (implements all concepts)
- few negligible inconsistencies (wrapping up code before final commit)
- good attitude till now
- not proactive in class (introvert)</t>
  </si>
  <si>
    <t>OOP
- implemented interfaces 
- has relevant classes
- implemented exceptions
- Observer pattern 
TDD &amp; Unit testing
- 80% test coverage
- has some logic in main - not tested
- small steps
- good refactoring (few places big chunk of code - enum, main)
Clean Code
- main method LOC &gt; 15
- World redundant code
- world some unreadable code
- 
Naming
- some naming inconsistency
- method names can be better
- 
Application Of Concepts
- unable to switch between modes ()</t>
  </si>
  <si>
    <t>- good job this week (implemented concepts minor glitch)
- can improve, solution is not complete according to standards. Still code works
- improved in TDD 
- linting issues in code. no sonar lint</t>
  </si>
  <si>
    <r>
      <rPr>
        <b/>
        <sz val="10"/>
        <rFont val="Arial"/>
      </rPr>
      <t>Mentoring FeedBac</t>
    </r>
    <r>
      <rPr>
        <sz val="10"/>
        <color rgb="FF000000"/>
        <rFont val="Arial"/>
      </rPr>
      <t>k</t>
    </r>
  </si>
  <si>
    <t>- Object separation alreay good, there is address class that actually unecessary but still okay
- use some exception but not for all case
- formatted well
- LOC good, no major issue
- some tests are failing while runned together (consider before to clean up tests)
- only test positive cases even when the code is handling negative case (TDD and unit test), but sometimes only negative case is tested
- there is some underscore for naming (customer_id, address_id, etc)
- book keeping is ambiguous, wallet transaction can shorten to transaction but still okay
- wallets followed by customer id</t>
  </si>
  <si>
    <t>- Score is slightly better
- Not afraid to showcase
- More active in morning recap
- Can follow class but for implementation in assignment can be improved
- Maybe remind him to be more serious with assignment since he is still below average</t>
  </si>
  <si>
    <t>- customer, transaction, wallet. Good
- use exception
- tests are good and small
- naming is good and understandable
- no lint error, no issue, wow
- just for model and test there is no enter
- have swagger</t>
  </si>
  <si>
    <t>- Score increased every week
- Able to ask in class if has question
- Understand the concept better and implement it
- Can be encouraged to help other too and answer question</t>
  </si>
  <si>
    <t>- transaction, user account, wallet, type
- creating seed, good
- using DTO
- have swagger
- code are properly formatted
- no lint error
- just no enter on model
- all tests are passing
- repo ar mocked so not directly touch db</t>
  </si>
  <si>
    <t>- Score is increased every week
- Actually become one of the best score in mentee, even class
- He can ask if have question in small group
- Interest in learning and like to read articles, can have argument with trainer also
- Sometimes not confident with himself, can be encouraged to be more confident and help others</t>
  </si>
  <si>
    <t>OO
all Entity has proper connection with each other
add like minimum for transaction amount
UT
Evidence of having test driven a significant portion of the logic with appropriate unit tests.
has 100% coverage, do frequent commit even in refactoring phase
CC
* No formatting issues   ✔
* No linter errors   ✔
* Readable - can be more readable(breaking only-one-level-of-indentation-per-method of object calisthenic)
* No magic literals   ✔
* LOC for methods &lt;= 10-15  ✔
* No duplication  ✔
N
* Descriptive names  ✔ 
* No Abbreviations ✔ 
* Following language conventions - not following language convention (transactionAction as function name) 
* Consistent naming ✔ 
* No ambiguity in naming - has ambiguos naming (idUser)
AOC
Well written readme
has missing concept about relation of user, transaction, and wallet in restful convention ( /users/userId/transactions)
has create wallet together when creating user(can be better if in the api, we can put our initial balance)</t>
  </si>
  <si>
    <t>- Has a big curiosity, ask so many question
- Asking if he’s save but we answered it doesn’t matter if he’s save or not
- ask about GenerationType.SEQUENCE and GenerationType.ENTITY
- ask about wether interface for DTO should be tested or not
- ask how to test @NotNull error message
- We encourage him that he's capable to help other, and ask to help other instead of asking so many question in class</t>
  </si>
  <si>
    <t>100% with some edge cases not working</t>
  </si>
  <si>
    <r>
      <t xml:space="preserve">WALLET TRANSACTION BACKEND:
</t>
    </r>
    <r>
      <rPr>
        <b/>
        <sz val="10"/>
        <rFont val="Arial"/>
      </rPr>
      <t>OO Concepts [SRP, Small class, Primitive obsession &amp; other OO concepts] [3]</t>
    </r>
    <r>
      <rPr>
        <sz val="10"/>
        <color rgb="FF000000"/>
        <rFont val="Arial"/>
      </rPr>
      <t xml:space="preserve">
-Why would balance,amountTransaction be string?
-Why should wallet transaction service talk directly to both repositories? Service to service talks should happen
-Create POJOS
-add getters setters use those to update values
</t>
    </r>
    <r>
      <rPr>
        <b/>
        <sz val="10"/>
        <rFont val="Arial"/>
      </rPr>
      <t>Unit testing [4]</t>
    </r>
    <r>
      <rPr>
        <sz val="10"/>
        <color rgb="FF000000"/>
        <rFont val="Arial"/>
      </rPr>
      <t xml:space="preserve">
-90% coverage
-Great TDD
</t>
    </r>
    <r>
      <rPr>
        <b/>
        <sz val="10"/>
        <rFont val="Arial"/>
      </rPr>
      <t>Clean Code [4]</t>
    </r>
    <r>
      <rPr>
        <sz val="10"/>
        <color rgb="FF000000"/>
        <rFont val="Arial"/>
      </rPr>
      <t xml:space="preserve">
Parameters to evaluate across:
● No formatting issues - yes 
● No linter errors - no
● Readable code  - yes
● No magic literals - no
● LOC for methods - good
● No duplication - none
</t>
    </r>
    <r>
      <rPr>
        <b/>
        <sz val="10"/>
        <rFont val="Arial"/>
      </rPr>
      <t>Naming [ Git message, Testcase name, Class names, Method names, variable names ] [4]</t>
    </r>
    <r>
      <rPr>
        <sz val="10"/>
        <color rgb="FF000000"/>
        <rFont val="Arial"/>
      </rPr>
      <t xml:space="preserve">
Parameters to evaluate across:
● Descriptive names - yes
● No Abbreviations - no
● Following language conventions - yes 
● Consistent naming - yes
● No ambiguity in naming - no 
</t>
    </r>
    <r>
      <rPr>
        <b/>
        <sz val="10"/>
        <rFont val="Arial"/>
      </rPr>
      <t>Application of Concepts (Subjective Evaluation, Frequent commits, working solution,Job of class, getters/setters) [3]</t>
    </r>
    <r>
      <rPr>
        <sz val="10"/>
        <color rgb="FF000000"/>
        <rFont val="Arial"/>
      </rPr>
      <t xml:space="preserve">
-Need to understand the separation of controller, service and model a little better
-communication between services need to be understood
-dependency injection done well
-tests written well
-over all good mvc design and database design
-wallet can be added multiple times for the same user, and can be also added with a negative balance
-return object in post for wallet transactions does not show updated balance
-manual creation of wallet
-Deposit with negative amount does nothing, but does not return an error message either [ideally is taken care by frontend, but still should have validation for the same]
-api: user/id/wallet/transactions</t>
    </r>
  </si>
  <si>
    <t>- Has implement DTO
- Has implement request validation
- Following Restful convention correctly
- Able to put method on proper entity/class
- Using snack_case in entity property
- Ambiguity in variable naming
- Using wallet-transactions instead of `transactions` only
- Using else keyword</t>
  </si>
  <si>
    <t>- Actually he understand but need more active in class discussion and morning recap
- react masih bingung untuk testing apa yg harus di tes, flownya gimana
- front end yang belum pake react bisa
- pas belom tau apa yang jadi komponen atau container
- ga pernah pake react
- mau coba pake hook
- lupa http pas kerjain jadi lumayan lama kena error cors</t>
  </si>
  <si>
    <r>
      <rPr>
        <b/>
        <sz val="10"/>
        <rFont val="Arial"/>
      </rPr>
      <t>OO Concepts [SRP, Small class, Primitive obsession &amp; other OO concepts] [3]</t>
    </r>
    <r>
      <rPr>
        <sz val="10"/>
        <color rgb="FF000000"/>
        <rFont val="Arial"/>
      </rPr>
      <t xml:space="preserve">
-Wallet should have list of transactions
-user should have wallet
-addbalance should be in service
-can change name of client to user [keep in mind client is usually reserved for client-server relation]
-use equals/hashcode exclude
</t>
    </r>
    <r>
      <rPr>
        <b/>
        <sz val="10"/>
        <rFont val="Arial"/>
      </rPr>
      <t>Unit testing [4]</t>
    </r>
    <r>
      <rPr>
        <sz val="10"/>
        <color rgb="FF000000"/>
        <rFont val="Arial"/>
      </rPr>
      <t xml:space="preserve">
-100% coverage
-Good number of tests
</t>
    </r>
    <r>
      <rPr>
        <b/>
        <sz val="10"/>
        <rFont val="Arial"/>
      </rPr>
      <t>Clean Code [4]</t>
    </r>
    <r>
      <rPr>
        <sz val="10"/>
        <color rgb="FF000000"/>
        <rFont val="Arial"/>
      </rPr>
      <t xml:space="preserve">
Parameters to evaluate across:
● No formatting issues -  some issues found, can be ignored, should just do cmd+opt+l
● No linter errors - yes
● Readable code  - yes
● No magic literals - in wallet
● LOC for methods - good
● No duplication - no
</t>
    </r>
    <r>
      <rPr>
        <b/>
        <sz val="10"/>
        <rFont val="Arial"/>
      </rPr>
      <t>Naming [ Git message, Testcase name, Class names, Method names, variable names ] [4]</t>
    </r>
    <r>
      <rPr>
        <sz val="10"/>
        <color rgb="FF000000"/>
        <rFont val="Arial"/>
      </rPr>
      <t xml:space="preserve">
Parameters to evaluate across:
● Descriptive names - yes
● No Abbreviations - no
● Following language conventions - yes
● Consistent naming - yes
● No ambiguity in naming - resource naming is a bit off
</t>
    </r>
    <r>
      <rPr>
        <b/>
        <sz val="10"/>
        <rFont val="Arial"/>
      </rPr>
      <t>Application of Concepts (Subjective Evaluation, Frequent commits, working solution,Job of class, getters/setters) [3]</t>
    </r>
    <r>
      <rPr>
        <sz val="10"/>
        <color rgb="FF000000"/>
        <rFont val="Arial"/>
      </rPr>
      <t xml:space="preserve">
-Can put exceptions in exceptions folder if they keep on growing
-Do not need to auto wire repository in controller of client and other controllers as well
-manual creation of wallet
-client apis work
-transaction does not allow negative numbers
-updated values returned in return object
- relation not defined properly
- http status can be more proper
- naming resource is not proper
- some magic literal</t>
    </r>
  </si>
  <si>
    <t>OO Concepts [SRP, Small class, Primitive obsession &amp; other OO concepts] [3]
-constructors in all 3 classes, is it required? You have the annotations already
-why use exclude for id in all classes
-wallet doesn't have list of transactions
-user does not have wallet
Unit testing [4]
-90+% coverage
-good TDD
Clean Code [4]
Parameters to evaluate across:
● No formatting issues -  yes
● No linter errors - yes
● Readable code  - yes
● No magic literals - no
● LOC for methods - not good in transaction service
● No duplication - yes
Naming [ Git message, Testcase name, Class names, Method names, variable names ] [4]
Parameters to evaluate across:
● Descriptive names - yes
● No Abbreviations - no
● Following language conventions - yes
● Consistent naming - yes
● No ambiguity in naming - client should be renamed to customer or user
Application of Concepts (Subjective Evaluation, Frequent commits, working solution,Job of class, getters/setters) [3]
-endpoints for transactions should have user also
-get wallet should be user/wallet
-negative positive values can be sent in the transactions
-create wallet implementation can be improved
-repository autowired not needed in controller
- relation not defined properly
- no validation
- http status can be more proper</t>
  </si>
  <si>
    <t>OO
- user, wallet, transaction resource
UT
- baby step, coverage 100%, evidence of doing TDD
CC
- No formatting issues ✔ 
- No linter errors ✔
- Readable code ✔
- No magic literals ✔
- LOC for methods &lt;= 10-15 ✔ 
- No duplication
N
- Descriptive names ✔
- No Abbreviations ✔
- Following language conventions 
- Consistent naming ✔
- No ambiguity in naming ✔
AOC
- Understood the separation of presentation, business, and data layer
- Understood to response with HttpStatus Not 2xx
- Try to use logger but only on startup
- Understand mostly about Restful API (only a little misunderstood in transaction)</t>
  </si>
  <si>
    <t>- Asked to be more speak up and helpful to the other trainee because he had experience on javascript
-asked more about view and controller</t>
  </si>
  <si>
    <t>- application work well, just need add validation for deposit - funds
- need more care about sonarlint 
- implement DTO
- need more care about unused annotation
- h2 is not working
- some unused empty newline
- [object oriented] really good class, but some minor breaking encapsulation
- [unit test &amp; tdd] evidence doing unit test but need more care about unused code that no test
- [clean code] (-) some formatting issues, (-) minor linter erros, (+) readable code, (+) no magic literals, (+) loc for methods &lt;=15, (+) no duplication
- [naming] (+) descriptive names, (+) no abbreviations, (+) following language conventions, (-) unconsistent naming, (-) minor ambiguity on the variable name
- [application of concept] partially correct application of concept and add DTO</t>
  </si>
  <si>
    <t>- Keteteran di javascipt
- do effort on night with others to relearn and refactor assignment
- have married but just know it. married after first week of chip</t>
  </si>
  <si>
    <t>OO
has missing validation like amount on transaction can be 0 or minus
UT
Has enough unit tests covering most of the public contracts of the objects. Evidence of having test driven some parts of the logic.
but big commit in some commit, so can't make sure it's TDD or not ( the reason not got full 5 point)
CC
- has linter errror "@RequestMapping" methods should be "public", some unused import
N
Not too descriptive names (fetchTransactionByUserId)
AOC
descriptive readme
has create wallet when create user by persist
has some wrong concept about the connection between user, wallet, and transaction ( /users/userId/transactions but in transaction, it doesn't have userId)
can be better if do request body validation</t>
  </si>
  <si>
    <t>- Already give refactor time when do assignment, and asked to keep that also in the future
- Give a reminder that he should keep the performance on the next assignment
- ask about relation between transaction, user, wallet, he only need to change the endpoint properly based on the relation</t>
  </si>
  <si>
    <t>OOP
- has necessary entities
- exception classes included
- used name as identifier in user entity
- wallet to user mapping missing
- 
Testing &amp; TDD
- large chunks of code at places
- tried tdd
- descent tests
- negative scenarios not tested
Clean Code
- NA
Naming
- descent naming
- api naming mismatch
Application of concepts
*********************
- readme can be better
- wallet transaction throwing generic exception</t>
  </si>
  <si>
    <t>- good improvement in score
- has given attention to improve code
- still need clarity on TDD
- apart from some shortcomings, had working solution
- had to explain about solution ecxpectation and to think about real world scenario</t>
  </si>
  <si>
    <t>- apps working well
- implement DTO
- forgot to put application.properties for test
- [object oriented] really good class, but some minor breaking encapsulation
- [unit test &amp; tdd] Good test coverage but some test file only have 1 unit test
- [clean code] (+) no formatting issues, (-) minor linter erros, (+) readable code, (+) no magic literals, (+) loc for methods &lt;=15, (+) no duplication
- [naming] (+) descriptive names, (+) no abbreviations, (+) following language conventions, (+) consistent naming, (-) minor ambiguity on the variable name
- [application of concept] correct application concept and add DTO</t>
  </si>
  <si>
    <t>- a bit stress, cause javascript not tell to much error</t>
  </si>
  <si>
    <t>- when create users, need manual create the wallet
- need to care about sonarlint
- [object oriented] good structure. just minor breaking encapsulation
- [unit test &amp; TDD] cover all code, and evidence doing tdd on some part
- [clean code] (+) no formatting issue, (-) some linter error, (+) readable code, (+) no magic literal, (+) loc &lt;= 15, (+) no duplication
- [naming] (-) some undescriptive name, (+) no abbriviation, (+) following language convention, (+) consisten name, (+) no ambiguity in name.
- [application of concepts] try to implement almost all concept, exclude validation</t>
  </si>
  <si>
    <t>- this week challanging
- a bit tired of doing home work</t>
  </si>
  <si>
    <t>OOP
- has neccessary entities
- customer entity no unique entry
- no fetch a wallet with balance
- 
Testing &amp; TDD
- failing test
- 84+ % test coverage
- average TDD &amp; tests (needs help)
Clean Code
- commented code
- few access specifiers issue
Naming
- substract_bal , add_bal (Wallet)
- few discripancies 
Application of concepts
*********************
- no exceptions in controller (Customer)
- transactions api (add, deduct can be one)
- not fetching transactions wrt wallet id
- wallet creation ?</t>
  </si>
  <si>
    <t>- confused on how to write the test
- need to start from the test, if something not working, create again from scratch
- don’t hesitate to delete your code, don’t leave commented code
- implement the whole code after just writing one test, that’s why there are a lot of bug un-catch from the test
- need to learn more about TDD</t>
  </si>
  <si>
    <t>- Implement validation for request payload
- No issue in unit test
- Able to put method on proper entity/class
- Implement H2 in unit test
- Invalid endpoint for posting new transaction
- Not following restful convention in endpoint withdraw and deposit
- Some method name is too verbose
- Creating new entity builder again and again even we already have it</t>
  </si>
  <si>
    <t>- Hilman score is increasing each week, able to implement sugesstion from mentor
- No issue in class and pairing
- Active in class discussion</t>
  </si>
  <si>
    <t>WALLET TRANSACTION BACKEND:
OO Concepts [SRP, Small class, Primitive obsession &amp; other OO concepts] [3]
-relation of user with wallet needs to be made
-wallet to have list of transactions
-no methods in the class, separate it into the service
-keep the classes as POJOs, keep model specific logic in class, everything else is a getter setter
Unit testing [4]
-tests are big, can be improved
-90%+coverage
Clean Code [3]
Parameters to evaluate across:
● No formatting issues -  no
● No linter errors - no
● Readable code  - yes
● No magic literals - in wallet
● LOC for methods - long tests in some places transaction controller
● No duplication - no
Naming [ Git message, Testcase name, Class names, Method names, variable names ] [4]
Parameters to evaluate across:
● Descriptive names - yes
● No Abbreviations - no
● Following language conventions - yes
● Consistent naming - yes
● No ambiguity in naming - no 
Application of Concepts (Subjective Evaluation, Frequent commits, working solution,Job of class, getters/setters) [3]
-In transaction service talk to wallet service
-no validation on amount of transactions
-good work on adding wallet with user
-get map[ping for user/userid/wallets is good, why have a second one with wallets/id?
-wallet should update its balance
-save new instance using put method by updating the id field in it
-updated balance shown
-can do negative deposit
-any other type apart from withdraw or deposit not handled
- no validation
- relation not defined properly
- some linter error
- magic literal</t>
  </si>
  <si>
    <t>100% with Bug</t>
  </si>
  <si>
    <t>OO
- user, transaction, wallet resource
- TransactionService called walletRepository
UT
- baby step, 100% coverage
CC
- No formatting issues ✔
- No linter errors ✔
- Readable code ✔
- No magic literals ✔
- LOC for methods &lt;= 10-15 ✔ 
- No duplication
N
- Descriptive names ✔
- No Abbreviations ✔
- Following language conventions ✔
- Consistent naming ✔
- No ambiguity in naming 
AOC
- Understood the separation of presentation, business, and data layer
- Understood to response with HttpStatus Not 2xx with try catch
- Understand mostly about Restful API (only a little misunderstood in transaction)
- No Amount Validation in transaction</t>
  </si>
  <si>
    <t xml:space="preserve">- Already good in clean code &amp; naming
- Try to use DTO on refactor time but have problem, already fixed
- Give a reminder that he should keep the performance on the next assignment
- ask to remove relation of user inside wallet entity
</t>
  </si>
  <si>
    <t>OOP
- has required entities, repo, controller
- User entity based on name 
- transaction, wallet service talks to other repos
- transaction_type has own Entity
Testing &amp; TDD
- good test coverage
- 98 %
- godd TDD, but at some places big chunks of code added
- Exception not tested
Clean Code
- Some un-used imports and vars
Naming
- some discripancies but good
- 
Application Of Concepts
- working solution
****************************
- update Name Repository
- Wallet - User Many to One
- Increase value in wallet
-  WalletUserIsNotExist
- /user/userId/wallets
- unprocessable_entity (Wallet Controller)
- No negative scenarios</t>
  </si>
  <si>
    <t>- good thought process, understood problem statement
- good progress on TDD side
- developed a habit of researching and coming up with new stuff
- tried different bits to solve problem (unprocessable entity)</t>
  </si>
  <si>
    <t>solution completeness [75%]
* Cannot add transaction because we need to manually add wallet
by sql script.
* No negative minus validation (still able to deposit / withdraw with
minus amount)
oo concepts [4]
* Irrelevant behavior on addBalance and subtract, still can subtract / add
with negative amount
unit testing &amp; tdd [4]
* 100% coverage
* Have evidence doing TDD and baby stepping
clean code [4]
* No formatting issues, no linter issues, readable code,
no magic literal, no LOC &gt; 15
* found duplication on add and fetchAllByWallet
naming [3]
* Descriptive naming, no abbreviations, consistent naming
* ClientAlreadyExistsException should be singular
* ambiguity in REST naming
application of concepts [3]
* wallet can be auto created when user is created
* implement strategy pattern on deposit, withdraw
* transaction not following REST convention
* need implement H2, rather than comment uncomment on application.properties
in test resource</t>
  </si>
  <si>
    <t>- keteteran javascript
- bit new for javascript and to much homework
- doesn’t have that much time to relearn for night</t>
  </si>
  <si>
    <t xml:space="preserve">solution completeness [100%]
oo concepts [4]
* Have user, wallet, and transaction module
* Update balance better should not take negative parameter
unit testing &amp; tdd [4]
* Have evidence on baby stepping, unit test and TDD
* 98% coverage
clean code [5]
* No formatting issues, no liter errors, readable code,
no magic literals, no LOC &gt; 15, no duplication
naming [4]
* Descriptive naming, no abbreviation, consistent naming,
no ambiguity in naming
* updated_at, and created_at not satisfied language conventions
application of concepts [3]
* wallet can be auto created when user is created, no need endpoint
* to fetch wallet, it can be /users/{userId}/wallets/{walletId}
* can implement H2, rather than comment uncomment on application.properties
in test resource
</t>
  </si>
  <si>
    <t>- active on the class
- sometimes give a new knowledge because of the experience
- lebih cerah karena memang basic nya javascript
- ada beberapa yang sudah pengalaman
- pairing ok.</t>
  </si>
  <si>
    <t>OO
- user, transaction, wallet
UT
- theres baby step, test case 100%
CC
- No formatting issues
- No linter errors
- Readable code ✔
- No magic literals ✔
- LOC for methods &lt;= 10-15 ✔
- No duplication ✔
N
- Descriptive names ✔
- No Abbreviations ✔
- Following language conventions ✔ 
- Consistent naming ✔
- No ambiguity in naming
AOC
- Understood the separation of presentation, business, and data layer
- Understood to response with HttpStatus Not 2xx
- Understand mostly about Restful API (only a little misunderstood in wallet because theres post wallet instead of post user create wallet)
- Some service access another resource repository</t>
  </si>
  <si>
    <t>- Still trying to get used to javascript
- He’s not from IT and feel like an empty jar</t>
  </si>
  <si>
    <t>OO Concepts [SRP, Small class, Primitive obsession &amp; other OO concepts] [3]
-what is cashtag
-String type should not be used, should be enum, primitive obsession
Unit testing [4]
-90+% test coverage, some lines in models not tested
-good TDD
Clean Code [3]
Parameters to evaluate across:
● No formatting issues -  no
● No linter errors - no
● Readable code  - yes
● No magic literals - yes in Transaction service
● LOC for methods - big in transaction service
● No duplication - no
Naming [ Git message, Testcase name, Class names, Method names, variable names ] [3]
Parameters to evaluate across:
● Descriptive names - yes
● No Abbreviations - no
● Following language conventions - no
● Consistent naming - yes
● No ambiguity in naming - yes, cashtag
Application of Concepts (Subjective Evaluation, Frequent commits, working solution,Job of class, getters/setters) [3]
-manual creation of wallet
-customer should have wallet
-very well used annotations
-all verbs used
-structure of wallet apis, transaction apis to be fixed: customers/id/wallets/transactions
-transactions should not directly work with wallet model, go through service
-wallet can be initialised with negative value
-balance does not change when transaction is put
-HTTP status not correctly used
- exceptions mapped to the same http code
- primitive obsession
- long method
- expose some method
- typo, not follow name convention
- no validation
- magic literal
- http status can be more proper
- magic literal</t>
  </si>
  <si>
    <t>- Implement request body validation with annotation
- Able to implement Restful convention correctly for endpoint naming
- Improve on clean code
- Has very minor lint issue (improve from prev assignment)
- Improve on writing valid test
- Incorrect status code for PUT (using 201) and resource not found
- Not following convention for variable naming in controller
- Not generate wallet when creating new user (have different endpoint for wallet)
- Breaking encapsulation in some entity
- Save balance as string
- Naming can be improve 
- Test description can be more descriptive</t>
  </si>
  <si>
    <t>- A lot improvement on this assignment
- Improve on Clean Code and minor linter error
- More active in class discussion</t>
  </si>
  <si>
    <t>* OO Concepts: 4
- endpoint for transaction, should be based on wallet instead of user
* Unit Testing: 5
- 100% coverage, good TDD
* Clean code: 4
- no formatting issue, readable code, no magic literal, LOC &lt;= 15, no duplication √
- no linter errors x
* Naming: 4
- descriptive name x (enum Type should be more descriptive)
- no abbreviation, follow naming convention, consistent naming, no ambiguity in naming √
* Application of concepts: 4
- handling error and minimum amount when do the transaction
- endpoint for wallet, should be based on user</t>
  </si>
  <si>
    <t>- had detailed discussion about assignment 
- gave input about what is lacking and what is expected in code
- she understands and has a habit of reseraching on her own
- upto expectations
- needs to be more of a team player</t>
  </si>
  <si>
    <t xml:space="preserve">* OO Concepts: 4
- service should talk with other services, not directly with other repository
- have user, wallet, and transaction
- update balance not handling when receiving negative amount
* Unit Testing: 4
- UsernameNotRegisteredException &amp; WalletNotFoundException not tested
* Clean code: 3
- no formatting issue, no linter errors, readable code, no duplication √
- no magic literal, LOC &lt;= 15 x
* Naming: 4
- descriptive name x (can be more concise, test description also can be improved)
- no abbreviations, follow naming convention, consistent naming, no ambiguity in naming √
* Application of concepts: 5
- try to implement DTO and exception handling by giving ResponseStatus in the exception
Notes:
- endpoint GET user (GET /users/{username}): passing username instead of user_id (still ok because the username is unique)
- endpoint UPDATE user (PUT /users/{username}): need to provide email, phoneNumber, and name but how if we only want update the name?
- endpoint GET wallet (GET /users/{username}/wallets): giving balance with string value (better to only give the amount, if want can provide the currency data also)
- endpoint ADD transaction (POST /wallets/{wallet_id}/transactions): can still passing minus amount both in DEBIT or CREDIT
- have endpoint that are not mentioned in the assignment (get all user, update password)
- git commit message, be consistent to use uppercase for first letter
- README can be improved to add how to use the API
</t>
  </si>
  <si>
    <t xml:space="preserve">- understand and has experience in building API before
- implement DTO and uderstand about it
- self-learner type, prefer to learn alone or with small group rather than in big broup
- sometimes hard to grasp things in class, but can follow up about it after class while doing the homework and redo the exercise by himself
</t>
  </si>
  <si>
    <r>
      <rPr>
        <b/>
        <sz val="10"/>
        <rFont val="Arial"/>
      </rPr>
      <t>Mentoring FeedBac</t>
    </r>
    <r>
      <rPr>
        <sz val="10"/>
        <color rgb="FF000000"/>
        <rFont val="Arial"/>
      </rPr>
      <t>k</t>
    </r>
  </si>
  <si>
    <t>OO Concepts
● No behavior on model class
● Inconsistent return in controller method
● Has one view and controller and 3 model
● Some irrelevant behavior on view class
Unit testing
● Controller function should assert view function called instead of check it's return value
● View test should be created without simulating controller action
● Writing integration test from controller and view
● Relevant test
● Good test coverage
● Evidence of having test driven some parts of the logic
Clean Code
● No formatting issues - Yes
● No linter errors - Yes
● Readable code - No
● No magic literals - Yes
● LOC below 15 lines - Yes
● No duplication - Yes
Naming
● Descriptive names - Yes
● No Abbreviations - Yes
● Following language conventions - No
● Consistent naming - Yes
● No ambiguity in naming - Yes
Application of Concepts
● Implement session storage
● Implement MVC pattern 
● Implement CSS</t>
  </si>
  <si>
    <t>- Feeling overwhelm in react cz many material to catch-up
- Understand about basic concept
- Slightly improved</t>
  </si>
  <si>
    <t>OO Concepts
● Only have CustomerView and CustomerController
● Inconsistent return statement in controller function
● Class have relevant behavior
Unit testing
● Not assert view method called with correct data in controller test
● Test is too long, maybe data preparation can be extracted
● 100% test coverage and relevant test
● Evidence of having TDD cycle
Clean Code
● No formatting issues - Yes
● No linter errors - Yes
● Readable code - Yes
● No magic literals - Yes
● LOC below 15 lines - Yes
● No duplication - No (minor)
Naming
● Descriptive names - Yes
● No Abbreviations - Yes
● Following language conventions - Yes
● Consistent naming - Yes
● No ambiguity in naming - No
Application of Concepts
● Controller function should only call view method, not return error
● Correctly implement View and Controller
● Formating date without any library (better use moment js)
● Implement jest-when
● Don't exclude test from lint checking
● Implement css</t>
  </si>
  <si>
    <t>- First time working with react 
- Confuse nested navigation in react but already clear after double checking homework 
- Not afraid to ask trainer
- encourage to help others</t>
  </si>
  <si>
    <t>OO Concepts
● Have WalletView, WalletController, and some customer errors
● Good separation and relevant behavior
● Not SRP in View method, one method handling display data and error
Unit testing
● Good test coverage and relevant test
● Evidence of having test driven
Clean Code
● No formatting issues - Yes
● No linter errors - No
● Readable code - Yes
● No magic literals - Yes
● LOC below 15 lines - Yes
● No duplication - Yes
Naming
● Descriptive names - Yes
● No Abbreviations - Yes
● Following language conventions - No
● Consistent naming - Yes
● No ambiguity in naming - Yes
Application of Concepts
● Surpress rule no-param-reassign
● Implement custom error
● Using library for formatting currency
● Implement View and Controller correctly</t>
  </si>
  <si>
    <t>- Feeling insecure in React even he can understand material in class
- He think React is too wide need learn it more
- Ask about Container and Presentational component
- Encourage to help others</t>
  </si>
  <si>
    <t>OO
* can be better if have model for user / wallet
UT
* Has enough unit tests covering most of the public contracts of the objects. Evidence of having test driven some parts of the logic.
* has done very well on trying baby steps, only Intl.NumberFormat got error (not handled yet) 
CC
* No formatting issues  ✔
* No linter errors  ✔
* Readable code  ✔
* No magic literals  ✔
* LOC for methods &lt;= 10-15  ✔
* No duplication  - has duplication on css
N
* Descriptive names  - can be more descriptive (ErrorListTransactionIsEmpty, _fillInsertedRowColumn)
* No Abbreviations  ✔
* Following language conventions  ✔
* Consistent naming  ✔
* No ambiguity in naming ✔
AOC
* has try to use flex, but not all
* can put some improvement like Service, fixtures, constant</t>
  </si>
  <si>
    <t>- Says that the difficulties he face is only how to test at first when jumping into a new library
- Can be asked to help others
- Has been active in class
- can improve to max point by give more effort on refactoring steps</t>
  </si>
  <si>
    <t xml:space="preserve">OO Concepts
● Good model, controller, view separation
Unit testing
● Relevant test
● Very good test coverage
● Evidence of having test driven some parts of the logic
Clean Code
● No formatting issues - Yes
● No linter errors - Yes
● Readable code - No
● No magic literals - Yes
● LOC below 15 lines - No
● No duplication - No
Naming
● Descriptive names - Yes
● No Abbreviations - Yes
● Following language conventions - No
● Consistent naming - Yes
● No ambiguity in naming - Yes
Application of Concepts
● Implement MVC
● All the Id are hard coded
● CSS Implementation can be improved
</t>
  </si>
  <si>
    <t>- Need to adjust with javascript
- No issue with pairing.
- Explain about bind this</t>
  </si>
  <si>
    <t>OO Concepts
● Responsibilites clear
● Has one view and controller
● Correct private method
● Have SRP
Unit testing
● Relevant test
● Good test coverage
● Evidence of having test driven some parts of the logic
● Good commit
Clean Code
● No formatting issues - Yes
● No linter errors - Yes
● Readable code - Yes
● No magic literals - No
● LOC below 15 lines - Yes
● No duplication - No
Naming
● Descriptive names - No
● No Abbreviations - Yes
● Following language conventions - Yes
● Consistent naming - Yes
● No ambiguity in naming - No
Application of Concepts
● Implement MVC pattern 
● Implement CSS</t>
  </si>
  <si>
    <t>- react still confuse flow and how to test
- need time to separate component and container
- never use react
- want to try hook
- gorget to use http when using axios call</t>
  </si>
  <si>
    <t xml:space="preserve">OO Concepts
● No model class
● Controller class is just utility class
Unit testing
● Pop-up function is not tested
● Relevant test
● Good test coverage
● Evidence of having test driven some parts of the logic
Clean Code
● No formatting issues - Yes
● No linter errors - Yes
● Readable code - Yes
● No magic literals - Yes
● LOC below 15 lines - No
● No duplication - No
Naming
● Descriptive names - Yes
● No Abbreviations - Yes
● Following language conventions - No
● Consistent naming - Yes
● No ambiguity in naming - Yes
Application of Concepts
● Try to implement MVC
● CSS implementation can be improved
</t>
  </si>
  <si>
    <t>- Feel javascript is challenging, have a hard time to keep up, especially for promise/async await
- It’s hard to keep up with a new code when switch pair, because the implementation is very different, and time limit, so need to resolve it after class
- explain about promise async await
- clarification about mvc</t>
  </si>
  <si>
    <t xml:space="preserve">OO Concepts
● No model class
● Good controller view separation
Unit testing
● Some method is not being tested
● Relevant test
● Good test coverage
● Evidence of having test driven some parts of the logic
Clean Code
● No formatting issues - Yes
● No linter errors - Yes
● Readable code - No
● No magic literals - Yes
● LOC below 15 lines - Yes
● No duplication - Yes
Naming
● Descriptive names - Yes
● No Abbreviations - Yes
● Following language conventions - No
● Consistent naming - Yes
● No ambiguity in naming - Yes
Application of Concepts
● Try to implement MVC
● All the Id are hard coded
● CSS Implementation can be improved
</t>
  </si>
  <si>
    <t>- Feel this week have much material to cover, little bit problem for move java to javascript, need adjustment time
- no issue with pairing so far
- explain more about mvc</t>
  </si>
  <si>
    <t>OO
- WalletDashboardController.js, WalletDashboardView.js
UT
- baby step, 100% coverage only miss in some configuration because of using Intl.NumberFormat makes jest and real one behaves differently
CC
- No formatting issues ✔ 
- No linter errors (put test folder in .eslintignore)
- Readable code ✔
- No magic literals ✔
- LOC for methods &lt;= 10-15 ✔ 
- No duplication (duplicate function in every call API)
N
- Descriptive names ✔
- No Abbreviations ✔
- Following language conventions ✔
- Consistent naming ✔
- No ambiguity in naming (initialize) 
AOC
- Already know the separation concept of controller and view, but not implementing model
- implement CSS (good so far &amp; responsive)</t>
  </si>
  <si>
    <t>- only face issue on how to do test at first
- need many improvement to check clean code</t>
  </si>
  <si>
    <t>OO Concepts
● Good separation between controller and view
Unit testing
● Coverage 100%
● Create empty test suite on first commit
● Create empty test suite on first commit
● Forgot to add test on some case (displayError), add test after add implementation
Clean Code
● No formatting issues - No
● No linter errors - Yes
● Readable code - Yes
● No magic literals - Yes
● LOC below 15 lines - Yes
● No duplication - Yes
Naming
● Descriptive names - Yes
● No Abbreviations - Yes
● Following language conventions - No (no # prefix on test suite, no _ on private attribute)
● Consistent naming - Yes
● No ambiguity in naming - Yes
Application of Concepts
● Still not using ES6 async
● Still not take advantage of destructuring in implementation
● Implement CSS well, but still need to learn flex</t>
  </si>
  <si>
    <t>- Cool for learning new thing like react
- material too fast
- because first time not doing too much TDD
- pair still ok</t>
  </si>
  <si>
    <t>OO
* Transaction, Wallet, User, WalletDashboardController, WalletDashboardView , can be more better if create a class for fetch ( Service)
UT
* Has enough unit tests covering most of the public contracts of the objects. Evidence of having test driven some parts of the logic.
* has done very well on trying baby steps, only Intl.NumberFormat got error (not handled yet) 
CC
* No formatting issues   ✔
* No linter errors  - put test on eslintignore
* Readable code -   violate one level indentation ( forEach inside forEach )
* No magic literals   ✔
* LOC for methods &lt;= 10-15   ✔
* No duplication  ✔
N
* Descriptive names  -  can be more descriptive
* No Abbreviations ✔ 
* Following language conventions - some doesn't follow private convention  
* Consistent naming ✔ 
* No ambiguity in naming ✔
AOC
* implement flex
* Good Readme</t>
  </si>
  <si>
    <t>- Need to keep up on checking clean code and naming
- looks more active on class</t>
  </si>
  <si>
    <t>OO Concepts
● can be better if have model
● good separation between view and controller
Unit Testing
● coverage 100%
● TDD in some parts
● some commit show not doing baby step and write the test later
Clean Code
● no formatting issue - No
● no linter errors - No (many extra empty line, eslint error in many file include test file)
● readable code - Yes
● no magic literal - Yes
● LOC &lt;= 15 - Yes
● no duplication - Yes
Naming
● descriptive name - No
● no abbreviations - Yes
● follow naming convention - Yes
● consistent naming - Yes
● no ambiguity in naming - Yes
Application of Concepts
● there are some duplicated commit message, commit empty files
● don’t push dist folder
● eslint setup still has error, no eslintignore file
● no need to prepare unused data in test
● not trying to use flex on style</t>
  </si>
  <si>
    <t xml:space="preserve">OO Concepts
● Some method can be private
Unit testing
● Coverage 100%
● 2 test is failing on Transaction
Clean Code
● No formatting issues - No
● No linter errors - No
● Readable code - Yes
● No magic literals - Yes
● LOC below 15 lines - Yes
● No duplication - Yes
Naming
● Descriptive names - Yes
● No Abbreviations - Yes
● Following language conventions - Yes
● Consistent naming - Yes
● No ambiguity in naming - Yes
Application of Concepts
● Implement CSS well, take advantage of flex concept well
</t>
  </si>
  <si>
    <t>- because holiday, some jetlag
- pair ok
- class still following</t>
  </si>
  <si>
    <t xml:space="preserve">OO Concepts
● Good separation between controller and view
Unit testing
● Coverage 100%
● Consistent in baby stepping &amp; TDD
Clean Code
● No formatting issues - Yes
● No linter errors - Yes
● Readable code - Yes
● No magic literals - Yes
● LOC below 15 lines - Yes
● No duplication - Yes
Naming
● Descriptive names - Yes
● No Abbreviations - Yes
● Following language conventions - No (forgot underscore on private)
● Consistent naming - Yes
● No ambiguity in naming - Yes
Application of Concepts
● Some oocss not implemented
● Still using await with then
</t>
  </si>
  <si>
    <t>- a bit miss time management after holiday { need to fix sleep cycle } 
- extra story make struggle</t>
  </si>
  <si>
    <t>OO Concepts
● good separation between view and controller
● can be better if have model
● no need using static function for fetching
Unit Testing
● 100% coverage
● good TDD
Clean Code
● no formating issue - No (css file still has format issue and extra line)
● no linter errors - Yes
● readable code - Yes
● no magic literal - Yes
● LOC &lt;= 15 - Yes
● no duplication - Yes
Naming
● descriptive name - Yes
● no abbreviations - Yes
● follow naming convention - Yes
● no ambiguity in naming - Yes
● consistent naming - No (commit message)
Application of concepts
● commit message need to be improved and be more consistent
● don’t push dist folder
● still has console.log, please remove
● styling can be improved (colorize the transaction, differentiate deposit and withdraw)
● has try to use flex on styling
● some object operation can be simplify</t>
  </si>
  <si>
    <t>OO Concepts
● Responsibilityes clear
● Has one view and controller
● Forget to private method
Unit testing
● Relevant test
● Good test coverage
● Evidence of having test driven some parts of the logic
Clean Code
● No formatting issues - Yes
● No linter errors - Yes
● Readable code - Yes
● No magic literals - No
● LOC below 15 lines - Yes
● No duplication - No
Naming
● Descriptive names - No
● No Abbreviations - Yes
● Following language conventions - Yes
● Consistent naming - Yes
● No ambiguity in naming - Yes
Application of Concepts
● Implement MVC pattern 
● Implement CSS</t>
  </si>
  <si>
    <t>- used jquery, now using react is a bit confused
- learn during lebaran about component container, props state
- feeling less confident in css</t>
  </si>
  <si>
    <t>OO Concepts
● Good model, controller, view separation
Unit testing
● Some code is not tested
● Relevant test
● Good test coverage
● Evidence of having test driven some parts of the logic
Clean Code
● No formatting issues - Yes
● No linter errors - Yes
● Readable code - No
● No magic literals - Yes
● LOC below 15 lines - Yes
● No duplication - No
Naming
● Descriptive names - Yes
● No Abbreviations - Yes
● Following language conventions - No
● Consistent naming - Yes
● No ambiguity in naming - Yes
Application of Concepts
● Implement MVC
● All the Id are hard coded
● CSS Implementation can be improved</t>
  </si>
  <si>
    <t>- Feel this week is hard, helped with recap session
- No issue with pair, feel helped by his pair
- explain more about mvc</t>
  </si>
  <si>
    <t>OO
- EWalletController.js, EWalletView.js, Transaction.js, User.js, Wallet.js
UT
- baby step, 100% coverage only miss in some configuration because of using Intl.NumberFormat makes jest and real one behaves differently
CC
- No formatting issues ✔
- No linter errors (put test folder in .eslintignore)
- Readable code ✔
- No magic literals ✔
- LOC for methods &lt;= 10-15 ✔ 
- No duplication (try catch in every call API)
N
- Descriptive names ✔
- No Abbreviations ✔
- Following language conventions ✔
- Consistent naming ✔
- No ambiguity in naming (showFetchTransactionError, _addClassName)
AOC
- Already know the separation concept of controller and view, also implement model (only unused model user)
- implement CSS (good so far &amp; responsive)</t>
  </si>
  <si>
    <t xml:space="preserve">- Need to work on clean code
- Still looks like not too active on class at first, will only be active if he is the one who presents
</t>
  </si>
  <si>
    <t>OO Concepts
● can be better if have model
● good separation between view and controller
Unit Testing
● 100% coverage
● TDD
● mock axios while there are no API calling in View class
Clean Code
● no formatting issue - No
● no linter errors - No
● readable code - Yes
● no magic literal - Yes
● LOC &lt;= 15 - Yes
● no duplication - Yes
Naming
● descriptive name - No
● no abbreviations - Yes
● follow naming convention - Yes
● consistent naming - Yes
● no ambiguity in naming - Yes
Application of Concepts
● still confused on using async in method, mis-match usage of async await
● first test alredy have axios but there are no API call in the implementation
● please add identation for every child in HTML file
● not trying to use flex in styling
● not using index.js outside the src, instead create a new index.js inside src folder
● has 2 eslintrc file (.eslintrc and .eslintrc.js)
● not adding /dist to .eslintignore and .gitignore</t>
  </si>
  <si>
    <t>OO Concepts
● Good class structure
● Some irrelevant behaviour
Unit testing
● Good coverage
● Evidence doing TDD
● Some commit has bunch of code for testing and implementation
Clean Code
● No formatting issues - Yes
● No linter errors - Yes
● Readable code - Yes
● No magic literals - Yes
● LOC below 15 lines - Yes
● No duplication - Yes
Naming
● Descriptive names - Yes
● No Abbreviations - Yes
● Following language conventions - Yes
● Consistent naming - Yes
● No ambiguity in naming - Yes
Application of Concepts
● Working Sofware
● Implement MVC pattern 
● Implement CSS</t>
  </si>
  <si>
    <t>- The hardest day on monday an tuesday
- no issue
- pair still ok</t>
  </si>
  <si>
    <t>OO Concepts
● Good class structure
● Some irrelevant behaviour for splitting responsibility of converting between view and controller
Unit testing
● Good coverage
● Evidence doing TDD on some part
Clean Code
● No formatting issues - Yes
● No linter errors - Yes
● Readable code - No
● No magic literals - Yes
● LOC below 15 lines - Yes
● No duplication - Yes
Naming
● Descriptive names - Yes
● No Abbreviations - Yes
● Following language conventions - Yes
● Consistent naming - Yes
● No ambiguity in naming - No
Application of Concepts
● Working Sofware
● Implement MVC pattern 
● Implement CSS but need more effort for good styling
● No README</t>
  </si>
  <si>
    <t>- [REMINDER ONLY] make sure git naming same with requirements
- Finish on Saturday 7pm
- Need to make README
- should start to think how to make other developer can use his application easier. {README, sql for seed data}
- not doing much on styling
- much becoming a navigator to help others
- has experience then will to help and try to review previous material</t>
  </si>
  <si>
    <t>OO
- TransactionController.js, TransactionView.js, UserController.js, UserView.js, WalletController.js, WalletView.js
UT
- baby step, test case 100%, convident to do TDD
CC
- No formatting issues
- No linter errors ✔
- Readable code ✔
- No magic literals ✔
- LOC for methods &lt;= 10-15 ✔
- No duplication ✔
N
- Descriptive names ✔
- No Abbreviations ✔
- Following language conventions 
- Consistent naming ✔
- No ambiguity in naming ✔
AOC
- Already know the separation concept of controller and view, but separate the resource (user, wallet, transaction) into their own controller and view.
- Separate every resource to their controller and do the same pattern
- implement CSS (not so good but at least already tried)</t>
  </si>
  <si>
    <t>- ask about MVC, wether it reflects on backend for frontend or not
- overly creating class
- need to work on css, as he doesn't have many basic about it
- Need to be more active, but looks like he has asked when he need help</t>
  </si>
  <si>
    <t xml:space="preserve">OO Concepts
● No model class
● Good controller view separation
Unit testing
● Relevant test
● Good test coverage
● Evidence of having test driven some parts of the logic
Clean Code
● No formatting issues - Yes
● No linter errors - Yes
● Readable code - No
● No magic literals - Yes
● LOC below 15 lines - No
● No duplication - No
Naming
● Descriptive names - Yes
● No Abbreviations - Yes
● Following language conventions - No
● Consistent naming - Yes
● No ambiguity in naming - No
Application of Concepts
● Try to implement MVC
● Only one end-point implemented
● CSS Implementation can be improved
</t>
  </si>
  <si>
    <t>- Feel this week is ok, no problem with javascript.
- Is not able to catch-up in some material in this week, but overall is already clear
- No issue with pairing</t>
  </si>
  <si>
    <t>OO Concepts
● Have CustomerView and CustomerController
● View still accessing raw data
● Class have some irrelevant behavior
Unit testing
● Test is too long, maybe data preparation can be extracted
● 100% test coverage and relevant test
● Evidence of having TDD cycle
Clean Code
● No formatting issues - Yes
● No linter errors -Yes
● Readable code - Yes
● No magic literals - Yes
● LOC below 15 lines - No
● No duplication - No
Naming
● Descriptive names - No
● No Abbreviations - Yes
● Following language conventions - Yes
● Consistent naming - Yes
● No ambiguity in naming - No
Application of Concepts
● Controller function should only call view method, not return error
● Correctly implement View and Controller
● Implement css</t>
  </si>
  <si>
    <t>- Left over when learning react-router, but able to catch-up after he tried by himself
- Need more exercise in React to make himself familiar with the framework
- Feeling comfortable with javascript after second weeks
- No issue in pairing</t>
  </si>
  <si>
    <t>OOP
- no MVC required structure
- classes with proper public-private funcs
- 
TDD
- good test coverage
- TDD done, some places large code chunk pushed
- commit messages can be better
Clean Code
- magic literals
Naming 
- some discrepancies in naming (always using data)
Application Of Concepts
- confusing folder structure
- can have seperate constants file</t>
  </si>
  <si>
    <t>1.OOP
- has respective files
- has models
- followed MVC pattern
- 
2.TDD
- 1 failing test 
-  good test coverage
- tried TDD and achieved most of it
3.Clean Code
- loginView LOC &gt; 15
- magic literals
4.Naming 
- some naming discripancies 
5.Application Of Concepts
- used flex, descent styling
- missing semicolon
- can put url and constants in seperate file</t>
  </si>
  <si>
    <r>
      <rPr>
        <b/>
        <sz val="10"/>
        <rFont val="Arial"/>
      </rPr>
      <t>Mentoring FeedBac</t>
    </r>
    <r>
      <rPr>
        <sz val="10"/>
        <color rgb="FF000000"/>
        <rFont val="Arial"/>
      </rPr>
      <t>k</t>
    </r>
  </si>
  <si>
    <t>OO Concepts
● Only have transaction container when have two page (one is home component which is dumb, so still ok)
● Add transaction and view transaction can be separated into two container
Unit testing
● Test passing, coverage kinda low especially for container many private function is not tested and props passing to children is not tested
● Test description naming can be improved
● Evidence of having test driven some parts of the logic
● Have private function as name in testing, but actually not test it directly which is good. Just for the test description can be updated, altough it's debateable
Clean Code
● No formatting issues - Yes
● No linter errors - Yes (there is console log)
● Readable code - Yes
● No magic literals - No
● LOC below 15 lines - Yes
● No duplication - Yes
Naming
● Descriptive names - No
● No Abbreviations - Yes
● Following language conventions - Yes
● Consistent naming - Yes
● No ambiguity in naming - No
Application of Concepts
● Working Sofware
● No filter date and amount, only sort and filter description. Sort is not intuitive (no icon and cursor not change when pointing)
● Implement Routing 
● Implement Proptypes
● Style need to improve</t>
  </si>
  <si>
    <t>OO Concepts
● Has most relevant classes
● Good separation of component and container
● Encapsulate well
Unit testing
● Relevant test case
● High coverage
● Evidence of having test driven some parts of the logic
● Test private function via public function
Clean Code
● No formatting issues - Yes (just enter in testcase is missing)
● No linter errors - Yes
● Readable code - Yes
● No magic literals - Yes
● LOC below 15 lines - No
● No duplication - No
Naming
● Descriptive names - No
● No Abbreviations - Yes
● Following language conventions - Yes
● Consistent naming - Yes
● No ambiguity in naming - No (in web for sorting too)
Application of Concepts
● Working Sofware
● No filter description, changed to transaction type. Filter amount is by slider which is pretty hard to use.
● Implement Routing, but no default route (/)
● Implement Proptypes
● Style need to improve</t>
  </si>
  <si>
    <t xml:space="preserve">- perasaannya senang dapat banyak ilmu baru dulu belum berpengalaman dalam bidang software 
- expect awal di kelas offline pas awal2 online rasanya aneh dan blokcer ada sinyal dll tapi lama2 biasa dan poin2nya dapet bisa diterapin
- cara pengajarannya dulu belum berpengalaman, pas sama dosen beda. di sini mentornya rasanya kayak asdos lebih mudah dipahami. 
- kalo di kuliah umumnya cuma php. dapet js sama java awalnya susah sekarang baru sadar lebih powerful. 
- mempercepat supaya ngerti. kalau cuma baca itu kadang susah dimengerti, langsung hands on langsung mengerti. mudah diingat. 
- capek karena weekend masih dapat assignment. 
- interest backend api java. kalau frontend bukan masalah get data tapi malalah desain warna dll. kalau ada librarynya ga masalah. node js tertarik. 
- tertarik devops tapi bingung mulai dari mana
</t>
  </si>
  <si>
    <t>OO Concepts
● Has most relevant classes
● Good separation of component and container
● Encapsulate well
Unit testing
● Relevant test case
● High coverage
● Evidence of having test driven some parts of the logic
● Have private function as name in testing, but actually not test it directly which is good. Just for the test description can be updated, altough it's debateable
Clean Code
● No formatting issues - Yes
● No linter errors - Yes
● Readable code - Yes
● No magic literals - Yes
● LOC below 15 lines - No
● No duplication - No
Naming
● Descriptive names - Yes
● No Abbreviations - Yes
● Following language conventions - Yes
● Consistent naming - Yes
● No ambiguity in naming - Yes
Application of Concepts
● Working Sofware
● Filter by description change to by transaction type
● App filter date not handle prevent future or to date is less than start date
● Implement Routing 
● Implement Proptypes
● Style need to improve</t>
  </si>
  <si>
    <t xml:space="preserve">- perasaannya keren sih cara pandang aplikasi jadi bed, bisa identifikasi komponen dan kontainer di aplikasi
- setelah akademi ngeliat pengembangan app jadi lebih berat, ngembangin app bakal lama banget kalo ngikutin cara btpn (best practice)
- pandangan lebih detail dan kritis
- interest di react js untuk sementara, pede ngerjain backend, tertarik react native, styling masih butuh jam terbang
- project baru mulai ngerasa di grup masih bingung bagi rolenya task-tasknya yang dependent pas kerjain bisa bentrok
</t>
  </si>
  <si>
    <t>OO Concepts
● has already well separated between component and container: Balance, ErrorHandling, Profile, Transaction, TransactionFilter, TransactionForm, TransactionHeadButton, TransactionTable, HomeContainer, TransactionContainer
Unit Testing
● Full Coverage
● Evidence of having test driven all logics
● Baby Steps
Clean Code
● No formatting issues  - yes
● No linter errors - yes 
● Readable code  - can be more readable (separate filter .includes to a variable)
● No magic literals - yes 
● LOC for methods &lt;= 10-15 - yes 
● No duplication - yes 
Naming
● Descriptive names -  yes
● No Abbreviations  - yes
● Following language conventions  - yes
● Consistent naming  - yes
● No ambiguity in naming - onSortData as a object
Application of Concepts
● misconception about Service
● using propTypes
● has try using bootstrap and fortawesome
●  implement react router with all routes in one file
●  sorting &amp; filtering works
●  can try to separate to Config, Service, Utils
●  implement moment &amp; Intl.NumberFormat for money wih full-icu</t>
  </si>
  <si>
    <t>OO Concepts
● Good separation container and component
Unit testing
● Relevant test
● Very good test coverage
● Evidence of having test driven some parts of the logic
● Some proptype ignored during test
Clean Code
● No formatting issues - Yes
● No linter errors - Yes
● Readable code - No
● No magic literals - Yes
● LOC below 15 lines - Yes - TransactionFilter,TransactionForm,TransactionTable number of lines in the method can be reduced, return can be condensed to one method, handleSort can be made smaller
● No duplication - Yes
Naming
● Descriptive names - Yes
● No Abbreviations - Yes
● Following language conventions - No
● Consistent naming - Yes
● No ambiguity in naming - Yes
Application of Concepts
● Implement routing
● Implement sorting
● Implement filtering
● Implement proptype- can define proptypes as little bit more in detail
● Hardcoded id
● CSS Implementation can be improved</t>
  </si>
  <si>
    <t xml:space="preserve">OO Concepts
● Have TransactionContainer, Customer, Transaction, TransactionFilter, TransactionForm, TransactionList, and TransactionSorter
● Separate container and component
● Better to put filter and sorting in container
● Has relevant and small component
Unit testing
● Relevant test
● 100% test coverage
● Doing good TDD
Clean Code
● No formatting issues - Yes
● No linter errors - Yes
● Readable code - Yes
● No magic literals - No
● LOC below 15 lines - Yes
● No duplication - Yes
Naming
● Descriptive names - Yes
● No Abbreviations - Yes
● Following language conventions - No
● Consistent naming - Yes
● No ambiguity in naming - No
Application of Concepts
● Implement PropTypes with detail Shape
● Filter and sorting works  </t>
  </si>
  <si>
    <t>OO Concepts
● Good separation container and component
● Landing Container should not be the only container
Unit testing
● Relevant test
● Good test coverage
● Evidence of having test driven some parts of the logic
● Some proptype ignored during test
Clean Code
● No formatting issues - Yes
● No linter errors - No
● Readable code - No
● No magic literals - Yes
● LOC below 15 lines - No, LandinContainer render function, TreansactionForm, TransactionSeacher is too long
● No duplication - Yes
Naming
● Descriptive names - Yes
● No Abbreviations - Yes
● Following language conventions - Yes
● Consistent naming - Yes
● No ambiguity in naming - Yes
Application of Concepts
● Better not make api calls for every search parameter
● Implement routing
● Implement sorting
● Implement filtering
● Implement proptype
● Hardcoded id
● CSS Implementation can be improved</t>
  </si>
  <si>
    <t xml:space="preserve">OO Concepts
● Good separation container and component
Unit testing
● Relevant test
● Good test coverage
● Evidence of having test driven some parts of the logic
● Some test are failing due to formatting
Clean Code
● No formatting issues - Yes
● No linter errors - Yes
● Readable code - No
● No magic literals - Yes
● LOC below 15 lines - No
● No duplication - Yes
Naming
● Descriptive names - Yes
● No Abbreviations - Yes
● Following language conventions - No
● Consistent naming - Yes
● No ambiguity in naming - Yes
Application of Concepts
● Implement routing
● Implement sorting
● Implement filtering
● Implement proptype
● Hardcoded id
● CSS Implementation can be improved
</t>
  </si>
  <si>
    <t>OO
- Component, Container, Service, Constants, Formatter(Util)
UT
- baby step, 100% coverage
CC
- No formatting issues ✔ 
- No linter errors
- Readable code ✔
- No magic literals ✔
- LOC for methods &lt;= 10-15 ✔ 
- No duplication ✔
N
- Descriptive names ✔
- No Abbreviations ✔
- Following language conventions ✔
- Consistent naming ✔
- No ambiguity in naming (fetch, create) 
AOC
- separate axios into another module (service layer)
- already use constant file also
- separate util function (formatter) into another class not in component or container</t>
  </si>
  <si>
    <t>OO Concepts
● Has most relevant classes
● Some irrelevant behaviour
Unit testing
● Has enough unit tests
● Evidence doing TDD on some part
Clean Code
● No formatting issues - No
● No linter errors - Yes
● Readable code - No
● No magic literals - Yes
● LOC below 15 lines - No
● No duplication - Yes
Naming
● Descriptive names - No
● No Abbreviations - Yes
● Following language conventions - Yes
● Consistent naming - Yes
● No ambiguity in naming - No
Application of Concepts
● Working Sofware with bugs
● Need to type manual transaction type
● Error is not reset after complete the transaction
● Filter by Date too exact that make it hard to print the transaction
● Implement Routing {but only 1 route}
● Implement Proptypes
● Good Style
● Using popup for filter transaction</t>
  </si>
  <si>
    <t>- Only 1 route
- Good design
- Filter by date to exact
- No need sort by transaction id. and it's not working also
- Transaction ascending button by date is not working</t>
  </si>
  <si>
    <t xml:space="preserve">OO Concepts
●  have Transaction, TransactionFilter, TransactionForm, TransactionList, Wallet, TransactionContainer, WalletContainer
●  can be better if separate some of TransactionContainer to TransactionListContainer
Unit Testing
●  Has enough unit tests covering most of the public contracts of the objects. Evidence of having test driven some parts of the logic.
●  some commit only has test without changing the code
Clean Code
●  No formatting issues  - Yes
●  No linter errors  - Yes
●  Readable code  - filteredData with many logic on one call, can be separated into more variables and give context to them
●  No magic literals - Yes 
●  LOC for methods &lt;= 10-15 - Yes 
●  No duplication - Yes
Naming
●  Descriptive names  - overly use of response, can be change to what context it hold
●  No Abbreviations  - Yes
●  Following language conventions  - Yes
●  Consistent naming  - Yes
●  No ambiguity in naming - currentSort is ambiguos
Application of Concepts
●  implement propType
●  implement react router (can be improved if using history.push by using render on routes)
●  try using bulma css (the UI looks clean)
●  sorting &amp; filtering works
●  has try to separate some to Config &amp; Service
●  implement moment &amp; Intl.NumberFormat for money wih full-icu
</t>
  </si>
  <si>
    <t xml:space="preserve">OOP Concepts
● has required components &amp; containers
Unit Testing
● Good coverage 
● console.error
Clean Code
● Format Issues (transactionContainer - 72)
● Linter Errors
Naming
● jaunTransactions, juanBalance
● rename data as transactionData
Application Of Concepts
● Not handled edge cases (API calls)
● setImmediate vs flush Promises
● setState use callback (transactionContainer - 75)
● await this.setState()
</t>
  </si>
  <si>
    <t>OO Concepts
● Good class structure
● Relevant behaviour
● Encapsulate Well
Unit testing
● Cover all the code
● Evidence doing TDD
● Appropiate unit tests
Clean Code
● No formatting issues - Yes
● No linter errors - Yes
● Readable code - Yes
● No magic literals - No
● LOC below 15 lines - Yes
● No duplication - Yes
Naming
● Descriptive names - Yes
● No Abbreviations - Yes
● Following language conventions - Yes
● Consistent naming - Yes
● No ambiguity in naming - Yes
Application of Concepts
● Working Sofware
● Implement Routing 
● Implement Proptypes
● Style need to improve
● Ascending and Descending reverse</t>
  </si>
  <si>
    <t>- Ascending is a Descending on the App
- Date need to convert. {too long}
- Style need to be upgrade
- Already use Bootstrap but not much styling the app</t>
  </si>
  <si>
    <t>OO Concepts
● Has most relevant classes
● Some irrelevant behaviour
Unit testing
● Cover all the code
● Evidence doing TDD but still missing some of the red the test phase
● Some test still not relevant
● Some test still depend to others
Clean Code
● No formatting issues - Yes
● No linter errors - Yes
● Readable code - Yes
● No magic literals - No
● LOC below 15 lines - Yes
● No duplication - Yes
Naming
● Descriptive names - Yes
● No Abbreviations - Yes
● Following language conventions - Yes
● Consistent naming - No
● No ambiguity in naming - No
Application of Concepts
● Working Sofware with some bugs
● Filter by description change to by transaction type
● Transaction Type and Amount is reverse
● App filter date ambiguity for form date an to date.
● Not Implement Routing 
● Implement Proptypes
● Style need to improve</t>
  </si>
  <si>
    <t>- commit .idea
- No Navigation</t>
  </si>
  <si>
    <t>OOP Concepts
● Has required components &amp; Containers
Unit Testing
● Failing Tests (3 tests)
● Evidence of having TDD
● 78% test coverage
● can have versatile  tests
Clean Code
● Magic Literals (TransactionContainer)
● TransactionForm Duplicate SetState
Naming
● some duplication in naming
Application Of Concepts
● Commented code (test, Transaction Container)
● Edge cases not included 
● console.log TransactionContainer - 41</t>
  </si>
  <si>
    <t>OO Concepts
● Have HomeContainer, TransactionContainer, WalletContainer, Transaction, TransactionFilter, TransactionForm, TransactionList, Wallet.
● Good separation container and component 
Unit testing
● Need more testing for different case/negatif case
● 100% test coverage
● Evidence of having TDD
Clean Code
● No formatting issues - Yes
● No linter errors - Yes
● Readable code - No
● No magic literals - Yes
● LOC below 15 lines - Yes
● No duplication - No
Naming
● Descriptive names - No
● No Abbreviations - Yes
● Following language conventions - No
● Consistent naming - Yes
● No ambiguity in naming - Yes
Application of Concepts
● Implement react router
● Impelement PropTypes but not specify transaction shape
● Filter and sorting works</t>
  </si>
  <si>
    <t>OO Concepts
● Good separation container and component
● Only one container for all the components
Unit testing
● Relevant test
● Very good test coverage
● Evidence of having test driven some parts of the logic
Clean Code
● No formatting issues - Yes
● No linter errors - No
● Readable code - No
● No magic literals - No
● LOC below 15 lines - Yes
● No duplication - Yes
Naming
● Descriptive names - Yes
● No Abbreviations - Yes
● Following language conventions - No
● Consistent naming - Yes
● No ambiguity in naming - Yes
Application of Concepts
● Not implement routing
● Implement sorting
● Implement filtering
● Implement proptype
● Hardcoded id
● CSS Implementation can be improved</t>
  </si>
  <si>
    <t>OO
- WalletContainer, TransactionContainer &amp; Transaction Components, reformatAmount(Util)
some place still broken encapsulation
UT
- baby step, 100% coverage
CC
- No formatting issues ✔
- No linter errors
- Readable code ✔
- No magic literals ✔
- LOC for methods &lt;= 10-15
- No duplication ✔
N
- Descriptive names ✔
- No Abbreviations ✔
- Following language conventions
- Consistent naming ✔
- No ambiguity in naming ✔ 
AOC
- no react router
- has a little missconcept about DumbComponent and SmartComponent
- separate axios into another module (service layer)
- already use .env
- separate util function (reformatAmount) into another file not in component or container</t>
  </si>
  <si>
    <t>OOP Concepts
● Good project structure
● Has required entities
Unit Testing
● Cover all the code
● Evidence doing TDD
● Appropiate unit tests
Clean Code
● Magic Literals (Transaction Container)
● Some code duplication (Transaction Container)
Naming
● Some discripancies in naming
● overall good 
Application Of Concepts
● README not updated
● object keys check (Transaction Container. 79)
● invalid Error message
● Edge cases not handled (TransactionFromController)</t>
  </si>
  <si>
    <t xml:space="preserve">OO Concepts
● Good separation between container and component
Unit testing
● 100% Coverage
● Having evidence of TDD and baby stepping
Clean Code
● No formatting issues - Yes
● No linter errors - Yes
● Readable code - Yes
● No magic literals - Yes
● LOC below 15 lines - Yes
● No duplication - Yes
Naming
● Descriptive names - Yes
● No Abbreviations - Yes
● Following language conventions - No (Minor in CSS and inconsistent AAA on some part)
● Consistent naming - Yes
● No ambiguity in naming - Yes
Application of Concepts
● Implements react router with browser router
● Take advantage of flexbox styling
● Implements conditional rendering well
● Improvement: filter can be trimmed first before processing the text.
</t>
  </si>
  <si>
    <t>OO Concepts
● Good separation between container and component
● Button link can be enhanced into separate component
Unit testing
● Coverage 96% (Not all branch not yet covered)
● Having evidence of TDD and baby stepping
● Still found commited bunch of big code on some commit.
Clean Code
● No formatting issues - Yes
● No linter errors - Yes
● Readable code - No (Some irrelevant step on code leads to unreadable)
● No magic literals - Yes
● LOC below 15 lines - Yes
● No duplication - Yes
Naming
● Descriptive names - Yes
● No Abbreviations - Yes
● Following language conventions - Yes
● Consistent naming - Yes
● No ambiguity in naming - No
Application of Concepts
● Implements react router with BrowserRouter
● Conditional rendering
● Styling with bootstrap
● Improvement: transactional logic should not bloating your code on front end</t>
  </si>
  <si>
    <t>OO
- Only have Transaction container &amp; component, put everythin in one container
UT
- no baby step, 100% coverage miss in some configuration because of using Intl.NumberFormat makes jest and real one behaves differently
CC
- No formatting issues ✔
- No linter errors 
- Readable code
- No magic literals ✔
- LOC for methods &lt;= 10-15 ✔
- No duplication
N
- Descriptive names ✔
- No Abbreviations ✔
- Following language conventions 
- Consistent naming ✔
- No ambiguity in naming ✔
AOC
- No React Router
- Missconception about conditional rendering
- Use PropType but has some warning on test</t>
  </si>
  <si>
    <t>OO Concepts
● Good separation container and component
● Can add mroe contianers instead of one container for all the components
Unit testing
● Some test are failing
Clean Code
● No formatting issues - No
● No linter errors - No
● Readable code - No
● No magic literals - Yes
● LOC below 15 lines - Yes
● No duplication - Yes
Naming
● Descriptive names - Yes
● No Abbreviations - Yes
● Following language conventions - No
● Consistent naming - Yes
● No ambiguity in naming - No, Transaction Container should be called something else
Application of Concepts
● Implement routing
● Implement sorting
● Some implementation of filtering is not working
● Implement proptype
● Hardcoded all the Id
● CSS Implementation can be improved</t>
  </si>
  <si>
    <t xml:space="preserve">OO Concepts
● Have TransactionContainer, Search, Transaction, TransactionForm, TransactionList, TransactionSort, WalletBalance
● Good container and component separation
● Relevant behavior
Unit testing
● Good and relevant test
● Data arrangement in test is too long and duplicated
● 100% test coverage
● Evidence of having TDD
Clean Code
● No formatting issues - Yes
● No linter errors - No
● Readable code - Yes
● No magic literals - No
● LOC below 15 lines - No
● No duplication - Yes
Naming
● Descriptive names - Yes
● No Abbreviations - Yes
● Following language conventions - No
● Consistent naming - Yes
● No ambiguity in naming - No
Application of Concepts
● Container and component well separated
● Implement propTypes but not specify object shape
● Have a constant file but only use it for BASE_URL
● Implement routing with multiple page
</t>
  </si>
  <si>
    <t>OO Concepts
● good separation
● Error can be a component instead of container because it’s a reusable component
Unit Testing
● 100% coverage
● good TDD
Clean Code
● no formatting issue - No (in TransactionContainer)
● no linter errors - Yes
● readable code - Yes
● no magic literal - No
● LOC &lt;= 15 - No
● no duplication - No
Naming
● descriptive name - No test description can be more descriptive and be more on user perspective)
● no abbreviations - Yes
● follow naming convention - Yes
● consistent naming - No (some use urlParam and some use URL_PARAM)
● no ambiguity in naming - Yes
Application of Concepts
●  implement Redirect from react router
●  implement propTypes
●  styling with bootstrap
●  creating separate file for constants and configs
●  no lint script in package.json
●  not implementing conditional rendering</t>
  </si>
  <si>
    <t>OO Concepts
● good separation of job on each component
Unit Testing
● 100% coverage
● good TDD
Clean Code
● no formatting issue - No (css files still has formatting issue)
● no linter errors - Yes
● readable code - Yes
● no magic literal - Yes
● LOC &lt;= 15 - No
● no duplication - Yes
Naming
● descriptive name - No (test description can be more descriptive and be more on user perspective)
● no abbreviations - Yes
● follow naming convention - No (css className)
● consistent naming - Yes
● no ambiguity in naming - Yes
Application of Concepts
● implement propTypes
● “Search” field is not really descriptive, it doesn’t tell wether we can search by description, amount, or date
● “Date” field can be showed DD-MM-YYYY only, no need show until the TZ
● “Amount” field still can input minus value, better to guard that the amount inputted should be greater than 1
● sort functionality can’t be seen by user, it’s like a hidden feature because there are no sign of sort in the web that tell the user about it
●  be consistent when using arrow function in container, it’s easier to read</t>
  </si>
  <si>
    <t>Week 1</t>
  </si>
  <si>
    <t>Week 2</t>
  </si>
  <si>
    <t>Week 3</t>
  </si>
  <si>
    <t>Week 4</t>
  </si>
  <si>
    <t>Week 5</t>
  </si>
  <si>
    <t>Week 6</t>
  </si>
  <si>
    <t>Expertise</t>
  </si>
  <si>
    <t xml:space="preserve"> Final Average</t>
  </si>
  <si>
    <t>&gt;3</t>
  </si>
  <si>
    <t>Concern</t>
  </si>
  <si>
    <t>Legend</t>
  </si>
  <si>
    <t>Group 1</t>
  </si>
  <si>
    <t>Group 2</t>
  </si>
  <si>
    <t>Group 3</t>
  </si>
  <si>
    <t>Group 4</t>
  </si>
  <si>
    <t>Full Stack</t>
  </si>
  <si>
    <t>- During final project can do his task with his pair
- Sometimes take easy on the task (menganggap enteng dan santai)</t>
  </si>
  <si>
    <t>LEADER (manage people)</t>
  </si>
  <si>
    <t>Considered</t>
  </si>
  <si>
    <t>Alfred</t>
  </si>
  <si>
    <t>Design (UI)</t>
  </si>
  <si>
    <t>Back End</t>
  </si>
  <si>
    <t>Someone who need help</t>
  </si>
  <si>
    <t>Pass</t>
  </si>
  <si>
    <t>So so (can finish task)</t>
  </si>
  <si>
    <t>Kisman</t>
  </si>
  <si>
    <t>- Do same mistake (clean code)
- But still could do the task
- Need to see how he contrubute during final project</t>
  </si>
  <si>
    <t>- a lot of confuse but afraid to ask
- have a health issue on week 3</t>
  </si>
  <si>
    <t>TL</t>
  </si>
  <si>
    <t>Davidsen</t>
  </si>
  <si>
    <t>Indra</t>
  </si>
  <si>
    <t>Ranu</t>
  </si>
  <si>
    <t>Nofanto</t>
  </si>
  <si>
    <t>Ak</t>
  </si>
  <si>
    <t>Kshitiz</t>
  </si>
  <si>
    <t>Anneke</t>
  </si>
  <si>
    <t>Monica</t>
  </si>
  <si>
    <t>Wira</t>
  </si>
  <si>
    <t>- active in the class, ask for help from other trainee when not following the class
- has issue in spending time on thinking, afraid of making mistakes
- show improvement last 3 weeks, but still has some issues in her code
- seems like having panic issue when work alone
- good when working in team
- will be observed more on final project</t>
  </si>
  <si>
    <t>PO</t>
  </si>
  <si>
    <t>AK</t>
  </si>
  <si>
    <t>- need more active</t>
  </si>
  <si>
    <t>-Check after react assignment</t>
  </si>
  <si>
    <t>- already good in class
- have a health issue in Week 3
- he is not from IT so he need to learn so much thing in this academy (elektro)
- sometimes face error when assignment but affraid to ask
- Need to see how he contribute during final project</t>
  </si>
  <si>
    <t>-Doesnt ask a lot of questions
-Seems like prefers to work alone
-To be observed in Project
- Doesnt give his best, only minimum effort</t>
  </si>
  <si>
    <t>Kisman, Alfred</t>
  </si>
  <si>
    <t>- Clean code is a problem
- When in pair clean code is ok</t>
  </si>
  <si>
    <t>Tech Lead</t>
  </si>
  <si>
    <t>Davidsen, Ak</t>
  </si>
  <si>
    <t>Indra, Kshitiz, Wira</t>
  </si>
  <si>
    <t>Ranu, Anneke</t>
  </si>
  <si>
    <t>Nofanto, Monica</t>
  </si>
  <si>
    <t>Task</t>
  </si>
  <si>
    <t>Status</t>
  </si>
  <si>
    <t>Deadline</t>
  </si>
  <si>
    <t>Comments</t>
  </si>
  <si>
    <t>Owner</t>
  </si>
  <si>
    <t>Finalise Groups</t>
  </si>
  <si>
    <t>Not Started</t>
  </si>
  <si>
    <t>4th June, 2020</t>
  </si>
  <si>
    <t>Update board with stories</t>
  </si>
  <si>
    <t>Sprint bucketing by team driven by PO</t>
  </si>
  <si>
    <t>5th June, 2020</t>
  </si>
  <si>
    <t>Use Jira</t>
  </si>
  <si>
    <t>Team POs</t>
  </si>
  <si>
    <t>Explain usage of the board to the team, and how cards will move on the board</t>
  </si>
  <si>
    <t>Common presentation</t>
  </si>
  <si>
    <t>Finale the number of Sprints and Sprint start and end dates</t>
  </si>
  <si>
    <t>3 Sprints
Sprint 0: Thursday, 4 june
Sprint 1: Friday, 5 June
Sprint 2: Tuesday, 9 June
Sprint 3: Thursday, 11 June</t>
  </si>
  <si>
    <t>Set time Sprint Grooming for each Sprint</t>
  </si>
  <si>
    <t>Set time for standup everyday</t>
  </si>
  <si>
    <t>Set time for Showcase for each Sprint</t>
  </si>
  <si>
    <t>Finalise Merge strategy</t>
  </si>
  <si>
    <t>Finalise finishing PPT date</t>
  </si>
  <si>
    <t>11 June, Thursday 2020</t>
  </si>
  <si>
    <t>Finalise Dry run Date and time for all teams</t>
  </si>
  <si>
    <t>12 June, Friday 2020</t>
  </si>
  <si>
    <t>Auth Session</t>
  </si>
  <si>
    <t>Group 5</t>
  </si>
  <si>
    <t>Need Help</t>
  </si>
  <si>
    <t>Medium</t>
  </si>
  <si>
    <t>Can help trainers</t>
  </si>
  <si>
    <t>Muchammad Fuad</t>
  </si>
  <si>
    <t>Dewa</t>
  </si>
  <si>
    <t>Trainers</t>
  </si>
  <si>
    <t>Kz</t>
  </si>
  <si>
    <t>Ranu, Wira</t>
  </si>
  <si>
    <t>Nofanto, Kshitiz</t>
  </si>
  <si>
    <t>Davidsen, Indra</t>
  </si>
  <si>
    <t>Anneke, Akram</t>
  </si>
  <si>
    <t>Radha</t>
  </si>
  <si>
    <t>Indra &amp; Dewa, Akram</t>
  </si>
  <si>
    <t>Wira &amp; Ranu</t>
  </si>
  <si>
    <t>Nofanto &amp; Radha</t>
  </si>
  <si>
    <t>Anneke &amp; Davidsen</t>
  </si>
  <si>
    <t>Monica &amp; Kshitiz</t>
  </si>
  <si>
    <t>Wallet Dashboard</t>
  </si>
  <si>
    <t>Wallet Web</t>
  </si>
  <si>
    <t>Class Average</t>
  </si>
  <si>
    <t>Pass Mark</t>
  </si>
  <si>
    <t>Robot Simulator</t>
  </si>
  <si>
    <t>Game of Life</t>
  </si>
  <si>
    <t>Activity Reporter</t>
  </si>
  <si>
    <t>Wallet API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</si>
</sst>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 mmmm\,\ yyyy"/>
  </numFmts>
  <fonts count="23">
    <font>
      <sz val="10"/>
      <color rgb="FF000000"/>
      <name val="Arial"/>
    </font>
    <font>
      <b/>
      <sz val="9"/>
      <color rgb="FF434343"/>
      <name val="Arial"/>
    </font>
    <font>
      <sz val="10"/>
      <color rgb="FF434343"/>
      <name val="Calibri"/>
    </font>
    <font>
      <b/>
      <sz val="10"/>
      <color rgb="FF434343"/>
      <name val="Calibri"/>
    </font>
    <font>
      <sz val="10"/>
      <color rgb="FF434343"/>
      <name val="Arial"/>
    </font>
    <font>
      <b/>
      <sz val="10"/>
      <color rgb="FF434343"/>
      <name val="Calibri"/>
    </font>
    <font>
      <sz val="10"/>
      <color rgb="FF434343"/>
      <name val="Calibri"/>
    </font>
    <font>
      <b/>
      <sz val="10"/>
      <color theme="1"/>
      <name val="Arial"/>
    </font>
    <font>
      <b/>
      <sz val="10"/>
      <color rgb="FF000000"/>
      <name val="Arial"/>
    </font>
    <font>
      <b/>
      <sz val="10"/>
      <color theme="1"/>
      <name val="Calibri"/>
    </font>
    <font>
      <sz val="10"/>
      <color theme="1"/>
      <name val="Calibri"/>
    </font>
    <font>
      <sz val="10"/>
      <color theme="1"/>
      <name val="Arial"/>
    </font>
    <font>
      <sz val="10"/>
      <color rgb="FF000000"/>
      <name val="Arial"/>
    </font>
    <font>
      <sz val="10"/>
      <color rgb="FF000000"/>
      <name val="Roboto"/>
    </font>
    <font>
      <sz val="11"/>
      <color rgb="FF222222"/>
      <name val="Arial"/>
    </font>
    <font>
      <sz val="10"/>
      <color rgb="FF000000"/>
      <name val="Calibri"/>
    </font>
    <font>
      <sz val="10"/>
      <name val="Arial"/>
    </font>
    <font>
      <sz val="10"/>
      <color rgb="FFFFFFFF"/>
      <name val="Arial"/>
    </font>
    <font>
      <b/>
      <sz val="10"/>
      <name val="Arial"/>
    </font>
    <font>
      <sz val="10"/>
      <color theme="1"/>
      <name val="Arial"/>
      <family val="2"/>
    </font>
    <font>
      <sz val="10"/>
      <color rgb="FF000000"/>
      <name val="Helvetica"/>
      <family val="2"/>
    </font>
    <font>
      <b/>
      <sz val="10"/>
      <color rgb="FF000000"/>
      <name val="Helvetica"/>
      <family val="2"/>
    </font>
    <font>
      <sz val="10"/>
      <color rgb="FF000000"/>
      <name val="Calibri"/>
      <family val="2"/>
    </font>
  </fonts>
  <fills count="14">
    <fill>
      <patternFill patternType="none"/>
    </fill>
    <fill>
      <patternFill patternType="gray125"/>
    </fill>
    <fill>
      <patternFill patternType="solid">
        <fgColor rgb="FFFFFFFF"/>
        <bgColor rgb="FFFFFFFF"/>
      </patternFill>
    </fill>
    <fill>
      <patternFill patternType="solid">
        <fgColor theme="0"/>
        <bgColor theme="0"/>
      </patternFill>
    </fill>
    <fill>
      <patternFill patternType="solid">
        <fgColor rgb="FFF1C232"/>
        <bgColor rgb="FFF1C232"/>
      </patternFill>
    </fill>
    <fill>
      <patternFill patternType="solid">
        <fgColor theme="6"/>
        <bgColor theme="6"/>
      </patternFill>
    </fill>
    <fill>
      <patternFill patternType="solid">
        <fgColor rgb="FF4BACC6"/>
        <bgColor rgb="FF4BACC6"/>
      </patternFill>
    </fill>
    <fill>
      <patternFill patternType="solid">
        <fgColor rgb="FF00FF00"/>
        <bgColor rgb="FF00FF00"/>
      </patternFill>
    </fill>
    <fill>
      <patternFill patternType="solid">
        <fgColor rgb="FF00FFFF"/>
        <bgColor rgb="FF00FFFF"/>
      </patternFill>
    </fill>
    <fill>
      <patternFill patternType="solid">
        <fgColor rgb="FFFF9900"/>
        <bgColor rgb="FFFF9900"/>
      </patternFill>
    </fill>
    <fill>
      <patternFill patternType="solid">
        <fgColor rgb="FFB7B7B7"/>
        <bgColor rgb="FFB7B7B7"/>
      </patternFill>
    </fill>
    <fill>
      <patternFill patternType="solid">
        <fgColor rgb="FF45818E"/>
        <bgColor rgb="FF45818E"/>
      </patternFill>
    </fill>
    <fill>
      <patternFill patternType="solid">
        <fgColor rgb="FFFFD966"/>
        <bgColor rgb="FFFFD966"/>
      </patternFill>
    </fill>
    <fill>
      <patternFill patternType="solid">
        <fgColor rgb="FFFFFF00"/>
        <bgColor rgb="FFFFFF00"/>
      </patternFill>
    </fill>
  </fills>
  <borders count="17">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top style="thin">
        <color rgb="FF000000"/>
      </top>
      <bottom style="thin">
        <color rgb="FF000000"/>
      </bottom>
      <diagonal/>
    </border>
    <border>
      <left style="thin">
        <color rgb="FF000000"/>
      </left>
      <right style="thin">
        <color rgb="FF000000"/>
      </right>
      <top/>
      <bottom/>
      <diagonal/>
    </border>
    <border>
      <left/>
      <right/>
      <top style="thin">
        <color rgb="FF000000"/>
      </top>
      <bottom/>
      <diagonal/>
    </border>
    <border>
      <left style="thin">
        <color rgb="FF000000"/>
      </left>
      <right/>
      <top style="thick">
        <color rgb="FF000000"/>
      </top>
      <bottom style="thick">
        <color rgb="FF000000"/>
      </bottom>
      <diagonal/>
    </border>
    <border>
      <left/>
      <right/>
      <top style="thick">
        <color rgb="FF000000"/>
      </top>
      <bottom style="thick">
        <color rgb="FF000000"/>
      </bottom>
      <diagonal/>
    </border>
    <border>
      <left/>
      <right style="thin">
        <color rgb="FF000000"/>
      </right>
      <top style="thick">
        <color rgb="FF000000"/>
      </top>
      <bottom style="thick">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diagonal/>
    </border>
    <border>
      <left/>
      <right style="thin">
        <color rgb="FF000000"/>
      </right>
      <top/>
      <bottom/>
      <diagonal/>
    </border>
    <border>
      <left style="thin">
        <color rgb="FF000000"/>
      </left>
      <right style="thin">
        <color rgb="FF000000"/>
      </right>
      <top/>
      <bottom style="thick">
        <color rgb="FF000000"/>
      </bottom>
      <diagonal/>
    </border>
    <border>
      <left/>
      <right style="thin">
        <color rgb="FF000000"/>
      </right>
      <top/>
      <bottom style="thick">
        <color rgb="FF000000"/>
      </bottom>
      <diagonal/>
    </border>
    <border>
      <left style="thin">
        <color rgb="FF000000"/>
      </left>
      <right/>
      <top/>
      <bottom style="thick">
        <color rgb="FF000000"/>
      </bottom>
      <diagonal/>
    </border>
    <border>
      <left/>
      <right/>
      <top/>
      <bottom style="thick">
        <color rgb="FF000000"/>
      </bottom>
      <diagonal/>
    </border>
    <border>
      <left/>
      <right style="thin">
        <color rgb="FF000000"/>
      </right>
      <top/>
      <bottom style="thin">
        <color rgb="FF000000"/>
      </bottom>
      <diagonal/>
    </border>
  </borders>
  <cellStyleXfs count="1">
    <xf numFmtId="0" fontId="0" fillId="0" borderId="0"/>
  </cellStyleXfs>
  <cellXfs count="173">
    <xf numFmtId="0" fontId="0" fillId="0" borderId="0" xfId="0" applyFont="1" applyAlignment="1"/>
    <xf numFmtId="0" fontId="1" fillId="2" borderId="0" xfId="0" applyFont="1" applyFill="1" applyAlignment="1"/>
    <xf numFmtId="0" fontId="2" fillId="0" borderId="0" xfId="0" applyFont="1" applyAlignment="1"/>
    <xf numFmtId="0" fontId="3" fillId="0" borderId="0" xfId="0" applyFont="1" applyAlignment="1"/>
    <xf numFmtId="0" fontId="4" fillId="0" borderId="0" xfId="0" applyFont="1"/>
    <xf numFmtId="0" fontId="5" fillId="0" borderId="0" xfId="0" applyFont="1" applyAlignment="1"/>
    <xf numFmtId="0" fontId="6" fillId="0" borderId="0" xfId="0" applyFont="1" applyAlignment="1"/>
    <xf numFmtId="0" fontId="6" fillId="0" borderId="0" xfId="0" applyFont="1"/>
    <xf numFmtId="0" fontId="3" fillId="0" borderId="0" xfId="0" applyFont="1" applyAlignment="1"/>
    <xf numFmtId="0" fontId="2" fillId="0" borderId="0" xfId="0" applyFont="1" applyAlignment="1"/>
    <xf numFmtId="0" fontId="2" fillId="0" borderId="0" xfId="0" applyFont="1"/>
    <xf numFmtId="0" fontId="2" fillId="0" borderId="0" xfId="0" applyFont="1" applyAlignment="1"/>
    <xf numFmtId="0" fontId="7" fillId="0" borderId="0" xfId="0" applyFont="1" applyAlignment="1">
      <alignment horizontal="center"/>
    </xf>
    <xf numFmtId="0" fontId="7" fillId="0" borderId="0" xfId="0" applyFont="1" applyAlignment="1">
      <alignment horizontal="center"/>
    </xf>
    <xf numFmtId="0" fontId="8" fillId="0" borderId="0" xfId="0" applyFont="1" applyAlignment="1">
      <alignment horizontal="center"/>
    </xf>
    <xf numFmtId="0" fontId="9" fillId="0" borderId="0" xfId="0" applyFont="1" applyAlignment="1">
      <alignment horizontal="center"/>
    </xf>
    <xf numFmtId="0" fontId="10" fillId="0" borderId="0" xfId="0" applyFont="1" applyAlignment="1"/>
    <xf numFmtId="0" fontId="10" fillId="0" borderId="0" xfId="0" applyFont="1" applyAlignment="1"/>
    <xf numFmtId="0" fontId="10" fillId="0" borderId="0" xfId="0" applyFont="1" applyAlignment="1">
      <alignment horizontal="center"/>
    </xf>
    <xf numFmtId="0" fontId="10" fillId="0" borderId="0" xfId="0" applyFont="1" applyAlignment="1">
      <alignment horizontal="center"/>
    </xf>
    <xf numFmtId="0" fontId="10" fillId="0" borderId="0" xfId="0" applyFont="1" applyAlignment="1"/>
    <xf numFmtId="0" fontId="11" fillId="0" borderId="0" xfId="0" applyFont="1" applyAlignment="1"/>
    <xf numFmtId="0" fontId="11" fillId="0" borderId="0" xfId="0" applyFont="1" applyAlignment="1">
      <alignment horizontal="center"/>
    </xf>
    <xf numFmtId="0" fontId="12" fillId="2" borderId="0" xfId="0" applyFont="1" applyFill="1" applyAlignment="1">
      <alignment horizontal="left"/>
    </xf>
    <xf numFmtId="0" fontId="10" fillId="2" borderId="0" xfId="0" applyFont="1" applyFill="1" applyAlignment="1">
      <alignment horizontal="center"/>
    </xf>
    <xf numFmtId="0" fontId="10" fillId="0" borderId="0" xfId="0" applyFont="1" applyAlignment="1">
      <alignment horizontal="center"/>
    </xf>
    <xf numFmtId="0" fontId="10" fillId="0" borderId="0" xfId="0" applyFont="1"/>
    <xf numFmtId="0" fontId="12" fillId="0" borderId="0" xfId="0" applyFont="1" applyAlignment="1">
      <alignment horizontal="left"/>
    </xf>
    <xf numFmtId="0" fontId="13" fillId="2" borderId="0" xfId="0" applyFont="1" applyFill="1" applyAlignment="1"/>
    <xf numFmtId="0" fontId="14" fillId="2" borderId="0" xfId="0" applyFont="1" applyFill="1" applyAlignment="1">
      <alignment horizontal="center"/>
    </xf>
    <xf numFmtId="0" fontId="11" fillId="0" borderId="0" xfId="0" applyFont="1" applyAlignment="1">
      <alignment horizontal="center"/>
    </xf>
    <xf numFmtId="0" fontId="15" fillId="0" borderId="0" xfId="0" applyFont="1" applyAlignment="1"/>
    <xf numFmtId="0" fontId="12" fillId="2" borderId="0" xfId="0" applyFont="1" applyFill="1" applyAlignment="1"/>
    <xf numFmtId="0" fontId="12" fillId="0" borderId="0" xfId="0" applyFont="1" applyAlignment="1">
      <alignment horizontal="center"/>
    </xf>
    <xf numFmtId="0" fontId="14" fillId="2" borderId="0" xfId="0" applyFont="1" applyFill="1" applyAlignment="1">
      <alignment horizontal="center"/>
    </xf>
    <xf numFmtId="0" fontId="15" fillId="0" borderId="0" xfId="0" applyFont="1" applyAlignment="1"/>
    <xf numFmtId="0" fontId="10" fillId="0" borderId="0" xfId="0" applyFont="1" applyAlignment="1"/>
    <xf numFmtId="0" fontId="15" fillId="0" borderId="0" xfId="0" applyFont="1" applyAlignment="1">
      <alignment vertical="top"/>
    </xf>
    <xf numFmtId="0" fontId="12" fillId="0" borderId="0" xfId="0" applyFont="1" applyAlignment="1"/>
    <xf numFmtId="0" fontId="10" fillId="2" borderId="0" xfId="0" applyFont="1" applyFill="1" applyAlignment="1">
      <alignment horizontal="center"/>
    </xf>
    <xf numFmtId="0" fontId="10" fillId="0" borderId="0" xfId="0" applyFont="1" applyAlignment="1">
      <alignment vertical="top"/>
    </xf>
    <xf numFmtId="0" fontId="11" fillId="0" borderId="0" xfId="0" applyFont="1" applyAlignment="1">
      <alignment horizontal="center"/>
    </xf>
    <xf numFmtId="0" fontId="8" fillId="0" borderId="0" xfId="0" applyFont="1" applyAlignment="1">
      <alignment horizontal="center" vertical="top"/>
    </xf>
    <xf numFmtId="0" fontId="9" fillId="0" borderId="0" xfId="0" applyFont="1" applyAlignment="1">
      <alignment horizontal="center" wrapText="1"/>
    </xf>
    <xf numFmtId="0" fontId="11" fillId="0" borderId="0" xfId="0" applyFont="1" applyAlignment="1">
      <alignment vertical="top" wrapText="1"/>
    </xf>
    <xf numFmtId="0" fontId="10" fillId="0" borderId="0" xfId="0" applyFont="1" applyAlignment="1">
      <alignment vertical="top"/>
    </xf>
    <xf numFmtId="0" fontId="12" fillId="2" borderId="0" xfId="0" applyFont="1" applyFill="1" applyAlignment="1">
      <alignment vertical="top"/>
    </xf>
    <xf numFmtId="0" fontId="13" fillId="2" borderId="0" xfId="0" applyFont="1" applyFill="1" applyAlignment="1">
      <alignment vertical="top"/>
    </xf>
    <xf numFmtId="0" fontId="14" fillId="2" borderId="0" xfId="0" applyFont="1" applyFill="1" applyAlignment="1">
      <alignment horizontal="center" vertical="top"/>
    </xf>
    <xf numFmtId="0" fontId="11" fillId="0" borderId="0" xfId="0" applyFont="1" applyAlignment="1">
      <alignment horizontal="center" vertical="top"/>
    </xf>
    <xf numFmtId="0" fontId="10" fillId="0" borderId="0" xfId="0" applyFont="1" applyAlignment="1">
      <alignment horizontal="center" vertical="top"/>
    </xf>
    <xf numFmtId="9" fontId="10" fillId="0" borderId="0" xfId="0" applyNumberFormat="1" applyFont="1" applyAlignment="1">
      <alignment vertical="top"/>
    </xf>
    <xf numFmtId="0" fontId="15" fillId="0" borderId="0" xfId="0" applyFont="1" applyAlignment="1">
      <alignment vertical="top" wrapText="1"/>
    </xf>
    <xf numFmtId="0" fontId="11" fillId="0" borderId="0" xfId="0" applyFont="1" applyAlignment="1">
      <alignment vertical="top"/>
    </xf>
    <xf numFmtId="0" fontId="10" fillId="0" borderId="0" xfId="0" applyFont="1" applyAlignment="1">
      <alignment horizontal="center" vertical="top"/>
    </xf>
    <xf numFmtId="0" fontId="10" fillId="0" borderId="0" xfId="0" applyFont="1" applyAlignment="1">
      <alignment vertical="top" wrapText="1"/>
    </xf>
    <xf numFmtId="0" fontId="11" fillId="0" borderId="0" xfId="0" applyFont="1" applyAlignment="1">
      <alignment wrapText="1"/>
    </xf>
    <xf numFmtId="0" fontId="12" fillId="2" borderId="0" xfId="0" applyFont="1" applyFill="1" applyAlignment="1">
      <alignment horizontal="left" vertical="top" wrapText="1"/>
    </xf>
    <xf numFmtId="0" fontId="10" fillId="0" borderId="0" xfId="0" applyFont="1" applyAlignment="1">
      <alignment vertical="top"/>
    </xf>
    <xf numFmtId="0" fontId="10" fillId="2" borderId="0" xfId="0" applyFont="1" applyFill="1" applyAlignment="1">
      <alignment horizontal="center" vertical="top"/>
    </xf>
    <xf numFmtId="0" fontId="12" fillId="0" borderId="0" xfId="0" applyFont="1" applyAlignment="1">
      <alignment horizontal="left" vertical="top" wrapText="1"/>
    </xf>
    <xf numFmtId="0" fontId="13" fillId="2" borderId="0" xfId="0" applyFont="1" applyFill="1" applyAlignment="1">
      <alignment vertical="top" wrapText="1"/>
    </xf>
    <xf numFmtId="0" fontId="12" fillId="0" borderId="0" xfId="0" applyFont="1" applyAlignment="1">
      <alignment vertical="top"/>
    </xf>
    <xf numFmtId="0" fontId="11" fillId="0" borderId="0" xfId="0" applyFont="1" applyAlignment="1">
      <alignment vertical="top"/>
    </xf>
    <xf numFmtId="0" fontId="11" fillId="0" borderId="0" xfId="0" applyFont="1" applyAlignment="1">
      <alignment wrapText="1"/>
    </xf>
    <xf numFmtId="0" fontId="11" fillId="0" borderId="0" xfId="0" applyFont="1" applyAlignment="1">
      <alignment vertical="top" wrapText="1"/>
    </xf>
    <xf numFmtId="0" fontId="7" fillId="0" borderId="0" xfId="0" applyFont="1" applyAlignment="1">
      <alignment horizontal="center"/>
    </xf>
    <xf numFmtId="0" fontId="11" fillId="0" borderId="0" xfId="0" applyFont="1" applyAlignment="1">
      <alignment horizontal="left" vertical="top" wrapText="1"/>
    </xf>
    <xf numFmtId="0" fontId="15" fillId="2" borderId="0" xfId="0" applyFont="1" applyFill="1" applyAlignment="1">
      <alignment vertical="top"/>
    </xf>
    <xf numFmtId="0" fontId="14" fillId="2" borderId="0" xfId="0" applyFont="1" applyFill="1" applyAlignment="1">
      <alignment horizontal="center" vertical="top"/>
    </xf>
    <xf numFmtId="0" fontId="12" fillId="0" borderId="0" xfId="0" applyFont="1" applyAlignment="1">
      <alignment horizontal="center" vertical="top"/>
    </xf>
    <xf numFmtId="0" fontId="15" fillId="0" borderId="0" xfId="0" applyFont="1" applyAlignment="1">
      <alignment horizontal="center" vertical="top"/>
    </xf>
    <xf numFmtId="9" fontId="10" fillId="0" borderId="0" xfId="0" applyNumberFormat="1" applyFont="1" applyAlignment="1">
      <alignment horizontal="center" vertical="top"/>
    </xf>
    <xf numFmtId="0" fontId="11" fillId="0" borderId="0" xfId="0" applyFont="1" applyAlignment="1">
      <alignment horizontal="left" vertical="center" wrapText="1"/>
    </xf>
    <xf numFmtId="0" fontId="15" fillId="0" borderId="0" xfId="0" applyFont="1" applyAlignment="1">
      <alignment horizontal="left" vertical="top" wrapText="1"/>
    </xf>
    <xf numFmtId="0" fontId="10" fillId="0" borderId="0" xfId="0" applyFont="1" applyAlignment="1">
      <alignment wrapText="1"/>
    </xf>
    <xf numFmtId="0" fontId="11" fillId="0" borderId="0" xfId="0" applyFont="1" applyAlignment="1">
      <alignment horizontal="left" wrapText="1"/>
    </xf>
    <xf numFmtId="0" fontId="15" fillId="0" borderId="0" xfId="0" applyFont="1" applyAlignment="1">
      <alignment horizontal="center"/>
    </xf>
    <xf numFmtId="0" fontId="15" fillId="0" borderId="0" xfId="0" applyFont="1" applyAlignment="1"/>
    <xf numFmtId="0" fontId="11" fillId="0" borderId="0" xfId="0" applyFont="1" applyAlignment="1">
      <alignment horizontal="left" vertical="top" wrapText="1"/>
    </xf>
    <xf numFmtId="0" fontId="7" fillId="0" borderId="0" xfId="0" applyFont="1" applyAlignment="1">
      <alignment vertical="top" wrapText="1"/>
    </xf>
    <xf numFmtId="0" fontId="15" fillId="0" borderId="0" xfId="0" applyFont="1" applyAlignment="1">
      <alignment horizontal="right" vertical="top"/>
    </xf>
    <xf numFmtId="0" fontId="11" fillId="3" borderId="0" xfId="0" applyFont="1" applyFill="1" applyAlignment="1">
      <alignment vertical="top" wrapText="1"/>
    </xf>
    <xf numFmtId="0" fontId="12" fillId="0" borderId="0" xfId="0" applyFont="1" applyAlignment="1">
      <alignment horizontal="center" vertical="top"/>
    </xf>
    <xf numFmtId="0" fontId="12" fillId="0" borderId="0" xfId="0" applyFont="1" applyAlignment="1">
      <alignment horizontal="center" vertical="top"/>
    </xf>
    <xf numFmtId="0" fontId="11" fillId="4" borderId="0" xfId="0" applyFont="1" applyFill="1" applyAlignment="1">
      <alignment vertical="top" wrapText="1"/>
    </xf>
    <xf numFmtId="0" fontId="11" fillId="0" borderId="0" xfId="0" applyFont="1" applyAlignment="1"/>
    <xf numFmtId="0" fontId="13" fillId="4" borderId="0" xfId="0" applyFont="1" applyFill="1" applyAlignment="1">
      <alignment vertical="top" wrapText="1"/>
    </xf>
    <xf numFmtId="0" fontId="11" fillId="5" borderId="0" xfId="0" applyFont="1" applyFill="1" applyAlignment="1">
      <alignment vertical="top" wrapText="1"/>
    </xf>
    <xf numFmtId="0" fontId="12" fillId="0" borderId="0" xfId="0" applyFont="1" applyAlignment="1">
      <alignment horizontal="center" vertical="top"/>
    </xf>
    <xf numFmtId="0" fontId="15" fillId="0" borderId="0" xfId="0" applyFont="1" applyAlignment="1">
      <alignment horizontal="center" vertical="top"/>
    </xf>
    <xf numFmtId="0" fontId="14" fillId="2" borderId="0" xfId="0" applyFont="1" applyFill="1" applyAlignment="1">
      <alignment horizontal="center"/>
    </xf>
    <xf numFmtId="0" fontId="12" fillId="0" borderId="0" xfId="0" applyFont="1" applyAlignment="1">
      <alignment horizontal="center"/>
    </xf>
    <xf numFmtId="0" fontId="15" fillId="0" borderId="0" xfId="0" applyFont="1" applyAlignment="1">
      <alignment horizontal="right"/>
    </xf>
    <xf numFmtId="9" fontId="15" fillId="0" borderId="0" xfId="0" applyNumberFormat="1" applyFont="1" applyAlignment="1">
      <alignment horizontal="right"/>
    </xf>
    <xf numFmtId="9" fontId="10" fillId="0" borderId="0" xfId="0" applyNumberFormat="1" applyFont="1" applyAlignment="1">
      <alignment vertical="top" wrapText="1"/>
    </xf>
    <xf numFmtId="0" fontId="10" fillId="0" borderId="0" xfId="0" applyFont="1" applyAlignment="1">
      <alignment vertical="top" wrapText="1"/>
    </xf>
    <xf numFmtId="0" fontId="7" fillId="0" borderId="0" xfId="0" applyFont="1" applyAlignment="1">
      <alignment horizontal="center" vertical="top"/>
    </xf>
    <xf numFmtId="0" fontId="9" fillId="0" borderId="0" xfId="0" applyFont="1" applyAlignment="1">
      <alignment horizontal="center" vertical="top"/>
    </xf>
    <xf numFmtId="9" fontId="15" fillId="0" borderId="0" xfId="0" applyNumberFormat="1" applyFont="1" applyAlignment="1">
      <alignment horizontal="center" vertical="top"/>
    </xf>
    <xf numFmtId="0" fontId="16" fillId="0" borderId="0" xfId="0" applyFont="1" applyAlignment="1">
      <alignment vertical="top" wrapText="1"/>
    </xf>
    <xf numFmtId="9" fontId="10" fillId="0" borderId="0" xfId="0" applyNumberFormat="1" applyFont="1" applyAlignment="1">
      <alignment horizontal="center" vertical="top" wrapText="1"/>
    </xf>
    <xf numFmtId="9" fontId="15" fillId="0" borderId="0" xfId="0" applyNumberFormat="1" applyFont="1" applyAlignment="1">
      <alignment horizontal="center" vertical="top"/>
    </xf>
    <xf numFmtId="0" fontId="11" fillId="0" borderId="0" xfId="0" applyFont="1" applyAlignment="1">
      <alignment wrapText="1"/>
    </xf>
    <xf numFmtId="0" fontId="11" fillId="0" borderId="0" xfId="0" applyFont="1" applyAlignment="1">
      <alignment horizontal="center" vertical="top"/>
    </xf>
    <xf numFmtId="0" fontId="11" fillId="0" borderId="0" xfId="0" applyFont="1"/>
    <xf numFmtId="0" fontId="10" fillId="6" borderId="1" xfId="0" applyFont="1" applyFill="1" applyBorder="1" applyAlignment="1"/>
    <xf numFmtId="2" fontId="11" fillId="0" borderId="0" xfId="0" applyNumberFormat="1" applyFont="1"/>
    <xf numFmtId="0" fontId="10" fillId="7" borderId="0" xfId="0" applyFont="1" applyFill="1" applyAlignment="1"/>
    <xf numFmtId="0" fontId="11" fillId="7" borderId="0" xfId="0" applyFont="1" applyFill="1"/>
    <xf numFmtId="0" fontId="11" fillId="7" borderId="0" xfId="0" applyFont="1" applyFill="1" applyAlignment="1"/>
    <xf numFmtId="0" fontId="10" fillId="8" borderId="0" xfId="0" applyFont="1" applyFill="1" applyAlignment="1"/>
    <xf numFmtId="0" fontId="11" fillId="9" borderId="0" xfId="0" applyFont="1" applyFill="1"/>
    <xf numFmtId="0" fontId="11" fillId="9" borderId="0" xfId="0" applyFont="1" applyFill="1" applyAlignment="1"/>
    <xf numFmtId="0" fontId="12" fillId="8" borderId="0" xfId="0" applyFont="1" applyFill="1" applyAlignment="1"/>
    <xf numFmtId="0" fontId="10" fillId="10" borderId="0" xfId="0" applyFont="1" applyFill="1" applyAlignment="1"/>
    <xf numFmtId="0" fontId="11" fillId="8" borderId="0" xfId="0" applyFont="1" applyFill="1" applyAlignment="1"/>
    <xf numFmtId="0" fontId="11" fillId="8" borderId="0" xfId="0" applyFont="1" applyFill="1" applyAlignment="1"/>
    <xf numFmtId="0" fontId="17" fillId="11" borderId="0" xfId="0" applyFont="1" applyFill="1" applyAlignment="1"/>
    <xf numFmtId="0" fontId="17" fillId="11" borderId="0" xfId="0" applyFont="1" applyFill="1" applyAlignment="1"/>
    <xf numFmtId="0" fontId="10" fillId="9" borderId="0" xfId="0" applyFont="1" applyFill="1" applyAlignment="1"/>
    <xf numFmtId="0" fontId="12" fillId="8" borderId="0" xfId="0" applyFont="1" applyFill="1"/>
    <xf numFmtId="0" fontId="12" fillId="8" borderId="0" xfId="0" applyFont="1" applyFill="1" applyAlignment="1"/>
    <xf numFmtId="0" fontId="10" fillId="12" borderId="0" xfId="0" applyFont="1" applyFill="1" applyAlignment="1"/>
    <xf numFmtId="0" fontId="11" fillId="0" borderId="0" xfId="0" applyFont="1" applyAlignment="1">
      <alignment horizontal="right" vertical="top"/>
    </xf>
    <xf numFmtId="0" fontId="17" fillId="11" borderId="0" xfId="0" applyFont="1" applyFill="1"/>
    <xf numFmtId="0" fontId="17" fillId="11" borderId="0" xfId="0" applyFont="1" applyFill="1" applyAlignment="1"/>
    <xf numFmtId="0" fontId="17" fillId="0" borderId="0" xfId="0" applyFont="1"/>
    <xf numFmtId="0" fontId="12" fillId="9" borderId="2" xfId="0" applyFont="1" applyFill="1" applyBorder="1" applyAlignment="1">
      <alignment horizontal="center"/>
    </xf>
    <xf numFmtId="0" fontId="12" fillId="9" borderId="1" xfId="0" applyFont="1" applyFill="1" applyBorder="1" applyAlignment="1">
      <alignment horizontal="center"/>
    </xf>
    <xf numFmtId="0" fontId="12" fillId="0" borderId="2" xfId="0" applyFont="1" applyBorder="1" applyAlignment="1"/>
    <xf numFmtId="0" fontId="12" fillId="0" borderId="3" xfId="0" applyFont="1" applyBorder="1"/>
    <xf numFmtId="0" fontId="12" fillId="0" borderId="3" xfId="0" applyFont="1" applyBorder="1" applyAlignment="1"/>
    <xf numFmtId="0" fontId="12" fillId="0" borderId="4" xfId="0" applyFont="1" applyBorder="1"/>
    <xf numFmtId="0" fontId="12" fillId="0" borderId="4" xfId="0" applyFont="1" applyBorder="1" applyAlignment="1"/>
    <xf numFmtId="0" fontId="12" fillId="0" borderId="3" xfId="0" applyFont="1" applyBorder="1" applyAlignment="1"/>
    <xf numFmtId="0" fontId="17" fillId="0" borderId="0" xfId="0" applyFont="1" applyAlignment="1"/>
    <xf numFmtId="0" fontId="12" fillId="0" borderId="5" xfId="0" applyFont="1" applyBorder="1" applyAlignment="1"/>
    <xf numFmtId="0" fontId="12" fillId="0" borderId="5" xfId="0" applyFont="1" applyBorder="1"/>
    <xf numFmtId="0" fontId="11" fillId="0" borderId="4" xfId="0" applyFont="1" applyBorder="1" applyAlignment="1"/>
    <xf numFmtId="0" fontId="11" fillId="0" borderId="4" xfId="0" applyFont="1" applyBorder="1"/>
    <xf numFmtId="0" fontId="11" fillId="0" borderId="9" xfId="0" applyFont="1" applyBorder="1" applyAlignment="1"/>
    <xf numFmtId="0" fontId="11" fillId="0" borderId="9" xfId="0" applyFont="1" applyBorder="1"/>
    <xf numFmtId="0" fontId="7" fillId="0" borderId="0" xfId="0" applyFont="1" applyAlignment="1"/>
    <xf numFmtId="0" fontId="11" fillId="13" borderId="0" xfId="0" applyFont="1" applyFill="1" applyAlignment="1"/>
    <xf numFmtId="0" fontId="11" fillId="2" borderId="0" xfId="0" applyFont="1" applyFill="1" applyAlignment="1"/>
    <xf numFmtId="0" fontId="11" fillId="5" borderId="2" xfId="0" applyFont="1" applyFill="1" applyBorder="1" applyAlignment="1">
      <alignment horizontal="center"/>
    </xf>
    <xf numFmtId="0" fontId="10" fillId="13" borderId="0" xfId="0" applyFont="1" applyFill="1" applyAlignment="1"/>
    <xf numFmtId="0" fontId="11" fillId="0" borderId="2" xfId="0" applyFont="1" applyBorder="1" applyAlignment="1"/>
    <xf numFmtId="0" fontId="11" fillId="0" borderId="10" xfId="0" applyFont="1" applyBorder="1" applyAlignment="1"/>
    <xf numFmtId="0" fontId="10" fillId="9" borderId="0" xfId="0" applyFont="1" applyFill="1" applyAlignment="1"/>
    <xf numFmtId="0" fontId="11" fillId="0" borderId="11" xfId="0" applyFont="1" applyBorder="1" applyAlignment="1"/>
    <xf numFmtId="0" fontId="13" fillId="2" borderId="0" xfId="0" applyFont="1" applyFill="1" applyAlignment="1"/>
    <xf numFmtId="0" fontId="10" fillId="7" borderId="0" xfId="0" applyFont="1" applyFill="1" applyAlignment="1"/>
    <xf numFmtId="0" fontId="13" fillId="2" borderId="11" xfId="0" applyFont="1" applyFill="1" applyBorder="1" applyAlignment="1"/>
    <xf numFmtId="0" fontId="11" fillId="0" borderId="12" xfId="0" applyFont="1" applyBorder="1" applyAlignment="1"/>
    <xf numFmtId="0" fontId="11" fillId="0" borderId="13" xfId="0" applyFont="1" applyBorder="1"/>
    <xf numFmtId="0" fontId="11" fillId="0" borderId="13" xfId="0" applyFont="1" applyBorder="1" applyAlignment="1">
      <alignment vertical="top"/>
    </xf>
    <xf numFmtId="0" fontId="11" fillId="0" borderId="16" xfId="0" applyFont="1" applyBorder="1" applyAlignment="1"/>
    <xf numFmtId="0" fontId="9" fillId="0" borderId="0" xfId="0" applyFont="1" applyAlignment="1"/>
    <xf numFmtId="0" fontId="11" fillId="0" borderId="6" xfId="0" applyFont="1" applyBorder="1" applyAlignment="1">
      <alignment horizontal="center"/>
    </xf>
    <xf numFmtId="0" fontId="16" fillId="0" borderId="7" xfId="0" applyFont="1" applyBorder="1"/>
    <xf numFmtId="0" fontId="16" fillId="0" borderId="8" xfId="0" applyFont="1" applyBorder="1"/>
    <xf numFmtId="164" fontId="11" fillId="0" borderId="0" xfId="0" applyNumberFormat="1" applyFont="1" applyAlignment="1"/>
    <xf numFmtId="0" fontId="0" fillId="0" borderId="0" xfId="0" applyFont="1" applyAlignment="1"/>
    <xf numFmtId="0" fontId="11" fillId="0" borderId="0" xfId="0" applyFont="1" applyAlignment="1">
      <alignment horizontal="center"/>
    </xf>
    <xf numFmtId="0" fontId="7" fillId="0" borderId="14" xfId="0" applyFont="1" applyBorder="1" applyAlignment="1">
      <alignment horizontal="center"/>
    </xf>
    <xf numFmtId="0" fontId="16" fillId="0" borderId="15" xfId="0" applyFont="1" applyBorder="1"/>
    <xf numFmtId="0" fontId="16" fillId="0" borderId="13" xfId="0" applyFont="1" applyBorder="1"/>
    <xf numFmtId="0" fontId="21" fillId="0" borderId="0" xfId="0" applyFont="1" applyAlignment="1"/>
    <xf numFmtId="0" fontId="20" fillId="0" borderId="0" xfId="0" applyFont="1" applyAlignment="1"/>
    <xf numFmtId="0" fontId="22" fillId="0" borderId="0" xfId="0" applyFont="1" applyAlignment="1"/>
    <xf numFmtId="0" fontId="19" fillId="0" borderId="0" xfId="0" applyFont="1" applyAlignment="1">
      <alignment horizontal="center" vertical="top"/>
    </xf>
  </cellXfs>
  <cellStyles count="1">
    <cellStyle name="Normal" xfId="0" builtinId="0"/>
  </cellStyles>
  <dxfs count="1">
    <dxf>
      <fill>
        <patternFill patternType="solid">
          <fgColor rgb="FF34A853"/>
          <bgColor rgb="FF34A85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cap="none" baseline="0">
                <a:solidFill>
                  <a:schemeClr val="lt1">
                    <a:lumMod val="85000"/>
                  </a:schemeClr>
                </a:solidFill>
                <a:latin typeface="Avenir Book" panose="02000503020000020003" pitchFamily="2" charset="0"/>
                <a:ea typeface="+mn-ea"/>
                <a:cs typeface="+mn-cs"/>
              </a:defRPr>
            </a:pPr>
            <a:r>
              <a:rPr lang="en-US" sz="2000"/>
              <a:t>Performance Chart</a:t>
            </a:r>
          </a:p>
        </c:rich>
      </c:tx>
      <c:overlay val="0"/>
      <c:spPr>
        <a:noFill/>
        <a:ln>
          <a:noFill/>
        </a:ln>
        <a:effectLst/>
      </c:spPr>
      <c:txPr>
        <a:bodyPr rot="0" spcFirstLastPara="1" vertOverflow="ellipsis" vert="horz" wrap="square" anchor="ctr" anchorCtr="1"/>
        <a:lstStyle/>
        <a:p>
          <a:pPr>
            <a:defRPr sz="2000" b="1" i="0" u="none" strike="noStrike" kern="1200" cap="none" baseline="0">
              <a:solidFill>
                <a:schemeClr val="lt1">
                  <a:lumMod val="85000"/>
                </a:schemeClr>
              </a:solidFill>
              <a:latin typeface="Avenir Book" panose="02000503020000020003" pitchFamily="2" charset="0"/>
              <a:ea typeface="+mn-ea"/>
              <a:cs typeface="+mn-cs"/>
            </a:defRPr>
          </a:pPr>
          <a:endParaRPr lang="en-US"/>
        </a:p>
      </c:txPr>
    </c:title>
    <c:autoTitleDeleted val="0"/>
    <c:plotArea>
      <c:layout/>
      <c:radarChart>
        <c:radarStyle val="marker"/>
        <c:varyColors val="0"/>
        <c:ser>
          <c:idx val="0"/>
          <c:order val="0"/>
          <c:tx>
            <c:strRef>
              <c:f>'Week 6'!$E$33</c:f>
              <c:strCache>
                <c:ptCount val="1"/>
                <c:pt idx="0">
                  <c:v>Class Average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'Week 6'!$F$32:$J$32</c:f>
              <c:strCache>
                <c:ptCount val="5"/>
                <c:pt idx="0">
                  <c:v>OO Concepts</c:v>
                </c:pt>
                <c:pt idx="1">
                  <c:v>Unit Testing &amp; TDD</c:v>
                </c:pt>
                <c:pt idx="2">
                  <c:v>Clean Code</c:v>
                </c:pt>
                <c:pt idx="3">
                  <c:v>Naming</c:v>
                </c:pt>
                <c:pt idx="4">
                  <c:v>Application of Concepts</c:v>
                </c:pt>
              </c:strCache>
            </c:strRef>
          </c:cat>
          <c:val>
            <c:numRef>
              <c:f>'Week 6'!$F$33:$J$33</c:f>
              <c:numCache>
                <c:formatCode>General</c:formatCode>
                <c:ptCount val="5"/>
                <c:pt idx="0">
                  <c:v>3.8111888111888108</c:v>
                </c:pt>
                <c:pt idx="1">
                  <c:v>3.0506993006993004</c:v>
                </c:pt>
                <c:pt idx="2">
                  <c:v>3.6678321678321679</c:v>
                </c:pt>
                <c:pt idx="3">
                  <c:v>3.715034965034965</c:v>
                </c:pt>
                <c:pt idx="4">
                  <c:v>3.6285714285714286</c:v>
                </c:pt>
              </c:numCache>
            </c:numRef>
          </c:val>
          <c:extLst>
            <c:ext xmlns:c16="http://schemas.microsoft.com/office/drawing/2014/chart" uri="{C3380CC4-5D6E-409C-BE32-E72D297353CC}">
              <c16:uniqueId val="{00000000-CE26-E245-9F9A-96AB33C1015E}"/>
            </c:ext>
          </c:extLst>
        </c:ser>
        <c:ser>
          <c:idx val="1"/>
          <c:order val="1"/>
          <c:tx>
            <c:strRef>
              <c:f>'Week 6'!$E$34</c:f>
              <c:strCache>
                <c:ptCount val="1"/>
                <c:pt idx="0">
                  <c:v>Wallet Dashboard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'Week 6'!$F$32:$J$32</c:f>
              <c:strCache>
                <c:ptCount val="5"/>
                <c:pt idx="0">
                  <c:v>OO Concepts</c:v>
                </c:pt>
                <c:pt idx="1">
                  <c:v>Unit Testing &amp; TDD</c:v>
                </c:pt>
                <c:pt idx="2">
                  <c:v>Clean Code</c:v>
                </c:pt>
                <c:pt idx="3">
                  <c:v>Naming</c:v>
                </c:pt>
                <c:pt idx="4">
                  <c:v>Application of Concepts</c:v>
                </c:pt>
              </c:strCache>
            </c:strRef>
          </c:cat>
          <c:val>
            <c:numRef>
              <c:f>'Week 6'!$F$34:$J$34</c:f>
              <c:numCache>
                <c:formatCode>General</c:formatCode>
                <c:ptCount val="5"/>
                <c:pt idx="0">
                  <c:v>4</c:v>
                </c:pt>
                <c:pt idx="1">
                  <c:v>3</c:v>
                </c:pt>
                <c:pt idx="2">
                  <c:v>4</c:v>
                </c:pt>
                <c:pt idx="3">
                  <c:v>4</c:v>
                </c:pt>
                <c:pt idx="4">
                  <c:v>4</c:v>
                </c:pt>
              </c:numCache>
            </c:numRef>
          </c:val>
          <c:extLst>
            <c:ext xmlns:c16="http://schemas.microsoft.com/office/drawing/2014/chart" uri="{C3380CC4-5D6E-409C-BE32-E72D297353CC}">
              <c16:uniqueId val="{00000001-CE26-E245-9F9A-96AB33C1015E}"/>
            </c:ext>
          </c:extLst>
        </c:ser>
        <c:ser>
          <c:idx val="2"/>
          <c:order val="2"/>
          <c:tx>
            <c:strRef>
              <c:f>'Week 6'!$E$35</c:f>
              <c:strCache>
                <c:ptCount val="1"/>
                <c:pt idx="0">
                  <c:v>Wallet Web</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'Week 6'!$F$32:$J$32</c:f>
              <c:strCache>
                <c:ptCount val="5"/>
                <c:pt idx="0">
                  <c:v>OO Concepts</c:v>
                </c:pt>
                <c:pt idx="1">
                  <c:v>Unit Testing &amp; TDD</c:v>
                </c:pt>
                <c:pt idx="2">
                  <c:v>Clean Code</c:v>
                </c:pt>
                <c:pt idx="3">
                  <c:v>Naming</c:v>
                </c:pt>
                <c:pt idx="4">
                  <c:v>Application of Concepts</c:v>
                </c:pt>
              </c:strCache>
            </c:strRef>
          </c:cat>
          <c:val>
            <c:numRef>
              <c:f>'Week 6'!$F$35:$J$35</c:f>
              <c:numCache>
                <c:formatCode>General</c:formatCode>
                <c:ptCount val="5"/>
                <c:pt idx="0">
                  <c:v>4</c:v>
                </c:pt>
                <c:pt idx="1">
                  <c:v>4</c:v>
                </c:pt>
                <c:pt idx="2">
                  <c:v>3</c:v>
                </c:pt>
                <c:pt idx="3">
                  <c:v>3</c:v>
                </c:pt>
                <c:pt idx="4">
                  <c:v>4</c:v>
                </c:pt>
              </c:numCache>
            </c:numRef>
          </c:val>
          <c:extLst>
            <c:ext xmlns:c16="http://schemas.microsoft.com/office/drawing/2014/chart" uri="{C3380CC4-5D6E-409C-BE32-E72D297353CC}">
              <c16:uniqueId val="{00000002-CE26-E245-9F9A-96AB33C1015E}"/>
            </c:ext>
          </c:extLst>
        </c:ser>
        <c:dLbls>
          <c:showLegendKey val="0"/>
          <c:showVal val="0"/>
          <c:showCatName val="0"/>
          <c:showSerName val="0"/>
          <c:showPercent val="0"/>
          <c:showBubbleSize val="0"/>
        </c:dLbls>
        <c:axId val="2047849503"/>
        <c:axId val="2047316911"/>
      </c:radarChart>
      <c:catAx>
        <c:axId val="204784950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Avenir Book" panose="02000503020000020003" pitchFamily="2" charset="0"/>
                <a:ea typeface="+mn-ea"/>
                <a:cs typeface="+mn-cs"/>
              </a:defRPr>
            </a:pPr>
            <a:endParaRPr lang="en-US"/>
          </a:p>
        </c:txPr>
        <c:crossAx val="2047316911"/>
        <c:crosses val="autoZero"/>
        <c:auto val="1"/>
        <c:lblAlgn val="ctr"/>
        <c:lblOffset val="100"/>
        <c:noMultiLvlLbl val="0"/>
      </c:catAx>
      <c:valAx>
        <c:axId val="2047316911"/>
        <c:scaling>
          <c:orientation val="minMax"/>
        </c:scaling>
        <c:delete val="1"/>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2047849503"/>
        <c:crosses val="autoZero"/>
        <c:crossBetween val="between"/>
        <c:minorUnit val="2.5"/>
      </c:valAx>
      <c:spPr>
        <a:noFill/>
        <a:ln>
          <a:noFill/>
        </a:ln>
        <a:effectLst/>
      </c:spPr>
    </c:plotArea>
    <c:legend>
      <c:legendPos val="t"/>
      <c:layout>
        <c:manualLayout>
          <c:xMode val="edge"/>
          <c:yMode val="edge"/>
          <c:x val="0.23612040424452518"/>
          <c:y val="0.93227365918882776"/>
          <c:w val="0.52107504378713998"/>
          <c:h val="4.1020650720546725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Avenir Book" panose="02000503020000020003" pitchFamily="2"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latin typeface="Avenir Book" panose="02000503020000020003" pitchFamily="2"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Avenir Book" panose="02000503020000020003" pitchFamily="2" charset="0"/>
                <a:ea typeface="+mn-ea"/>
                <a:cs typeface="+mn-cs"/>
              </a:defRPr>
            </a:pPr>
            <a:r>
              <a:rPr lang="en-GB" sz="2000"/>
              <a:t>Score</a:t>
            </a:r>
            <a:r>
              <a:rPr lang="en-GB" sz="2000" baseline="0"/>
              <a:t> trends</a:t>
            </a:r>
            <a:endParaRPr lang="en-GB" sz="2000"/>
          </a:p>
        </c:rich>
      </c:tx>
      <c:overlay val="0"/>
      <c:spPr>
        <a:noFill/>
        <a:ln>
          <a:noFill/>
        </a:ln>
        <a:effectLst/>
      </c:spPr>
      <c:txPr>
        <a:bodyPr rot="0" spcFirstLastPara="1" vertOverflow="ellipsis" vert="horz" wrap="square" anchor="ctr" anchorCtr="1"/>
        <a:lstStyle/>
        <a:p>
          <a:pPr>
            <a:defRPr sz="2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Avenir Book" panose="02000503020000020003" pitchFamily="2" charset="0"/>
              <a:ea typeface="+mn-ea"/>
              <a:cs typeface="+mn-cs"/>
            </a:defRPr>
          </a:pPr>
          <a:endParaRPr lang="en-US"/>
        </a:p>
      </c:txPr>
    </c:title>
    <c:autoTitleDeleted val="0"/>
    <c:plotArea>
      <c:layout/>
      <c:lineChart>
        <c:grouping val="standard"/>
        <c:varyColors val="0"/>
        <c:ser>
          <c:idx val="0"/>
          <c:order val="0"/>
          <c:tx>
            <c:strRef>
              <c:f>'Week 6'!$F$38</c:f>
              <c:strCache>
                <c:ptCount val="1"/>
                <c:pt idx="0">
                  <c:v>Pass Mark</c:v>
                </c:pt>
              </c:strCache>
            </c:strRef>
          </c:tx>
          <c:spPr>
            <a:ln w="19050" cap="rnd">
              <a:solidFill>
                <a:srgbClr val="C00000"/>
              </a:solidFill>
              <a:round/>
            </a:ln>
            <a:effectLst>
              <a:outerShdw blurRad="40000" dist="23000" dir="5400000" rotWithShape="0">
                <a:srgbClr val="000000">
                  <a:alpha val="35000"/>
                </a:srgbClr>
              </a:outerShdw>
            </a:effectLst>
          </c:spPr>
          <c:marker>
            <c:symbol val="none"/>
          </c:marker>
          <c:cat>
            <c:strRef>
              <c:f>'Week 6'!$E$39:$E$44</c:f>
              <c:strCache>
                <c:ptCount val="6"/>
                <c:pt idx="0">
                  <c:v>Robot Simulator</c:v>
                </c:pt>
                <c:pt idx="1">
                  <c:v>Game of Life</c:v>
                </c:pt>
                <c:pt idx="2">
                  <c:v>Activity Reporter</c:v>
                </c:pt>
                <c:pt idx="3">
                  <c:v>Wallet API</c:v>
                </c:pt>
                <c:pt idx="4">
                  <c:v>Wallet Dashboard</c:v>
                </c:pt>
                <c:pt idx="5">
                  <c:v>Wallet Web</c:v>
                </c:pt>
              </c:strCache>
            </c:strRef>
          </c:cat>
          <c:val>
            <c:numRef>
              <c:f>'Week 6'!$F$39:$F$44</c:f>
              <c:numCache>
                <c:formatCode>General</c:formatCode>
                <c:ptCount val="6"/>
                <c:pt idx="0">
                  <c:v>3</c:v>
                </c:pt>
                <c:pt idx="1">
                  <c:v>3</c:v>
                </c:pt>
                <c:pt idx="2">
                  <c:v>3</c:v>
                </c:pt>
                <c:pt idx="3">
                  <c:v>3</c:v>
                </c:pt>
                <c:pt idx="4">
                  <c:v>3</c:v>
                </c:pt>
                <c:pt idx="5">
                  <c:v>3</c:v>
                </c:pt>
              </c:numCache>
            </c:numRef>
          </c:val>
          <c:smooth val="0"/>
          <c:extLst>
            <c:ext xmlns:c16="http://schemas.microsoft.com/office/drawing/2014/chart" uri="{C3380CC4-5D6E-409C-BE32-E72D297353CC}">
              <c16:uniqueId val="{00000000-DEFA-804D-BCC9-3793BF7DA8EF}"/>
            </c:ext>
          </c:extLst>
        </c:ser>
        <c:ser>
          <c:idx val="1"/>
          <c:order val="1"/>
          <c:tx>
            <c:strRef>
              <c:f>'Week 6'!$G$38</c:f>
              <c:strCache>
                <c:ptCount val="1"/>
                <c:pt idx="0">
                  <c:v>OO Concepts</c:v>
                </c:pt>
              </c:strCache>
            </c:strRef>
          </c:tx>
          <c:spPr>
            <a:ln w="19050" cap="rnd">
              <a:solidFill>
                <a:srgbClr val="92D050"/>
              </a:solidFill>
              <a:round/>
            </a:ln>
            <a:effectLst>
              <a:outerShdw blurRad="40000" dist="23000" dir="5400000" rotWithShape="0">
                <a:srgbClr val="000000">
                  <a:alpha val="35000"/>
                </a:srgbClr>
              </a:outerShdw>
            </a:effectLst>
          </c:spPr>
          <c:marker>
            <c:symbol val="none"/>
          </c:marker>
          <c:cat>
            <c:strRef>
              <c:f>'Week 6'!$E$39:$E$44</c:f>
              <c:strCache>
                <c:ptCount val="6"/>
                <c:pt idx="0">
                  <c:v>Robot Simulator</c:v>
                </c:pt>
                <c:pt idx="1">
                  <c:v>Game of Life</c:v>
                </c:pt>
                <c:pt idx="2">
                  <c:v>Activity Reporter</c:v>
                </c:pt>
                <c:pt idx="3">
                  <c:v>Wallet API</c:v>
                </c:pt>
                <c:pt idx="4">
                  <c:v>Wallet Dashboard</c:v>
                </c:pt>
                <c:pt idx="5">
                  <c:v>Wallet Web</c:v>
                </c:pt>
              </c:strCache>
            </c:strRef>
          </c:cat>
          <c:val>
            <c:numRef>
              <c:f>'Week 6'!$G$39:$G$44</c:f>
              <c:numCache>
                <c:formatCode>General</c:formatCode>
                <c:ptCount val="6"/>
                <c:pt idx="0">
                  <c:v>1</c:v>
                </c:pt>
                <c:pt idx="1">
                  <c:v>3</c:v>
                </c:pt>
                <c:pt idx="2">
                  <c:v>3</c:v>
                </c:pt>
                <c:pt idx="3">
                  <c:v>4</c:v>
                </c:pt>
                <c:pt idx="4">
                  <c:v>4</c:v>
                </c:pt>
                <c:pt idx="5">
                  <c:v>4</c:v>
                </c:pt>
              </c:numCache>
            </c:numRef>
          </c:val>
          <c:smooth val="0"/>
          <c:extLst>
            <c:ext xmlns:c16="http://schemas.microsoft.com/office/drawing/2014/chart" uri="{C3380CC4-5D6E-409C-BE32-E72D297353CC}">
              <c16:uniqueId val="{00000001-DEFA-804D-BCC9-3793BF7DA8EF}"/>
            </c:ext>
          </c:extLst>
        </c:ser>
        <c:ser>
          <c:idx val="2"/>
          <c:order val="2"/>
          <c:tx>
            <c:strRef>
              <c:f>'Week 6'!$H$38</c:f>
              <c:strCache>
                <c:ptCount val="1"/>
                <c:pt idx="0">
                  <c:v>Unit Testing &amp; TDD</c:v>
                </c:pt>
              </c:strCache>
            </c:strRef>
          </c:tx>
          <c:spPr>
            <a:ln w="19050" cap="rnd">
              <a:solidFill>
                <a:srgbClr val="00B0F0"/>
              </a:solidFill>
              <a:round/>
            </a:ln>
            <a:effectLst>
              <a:outerShdw blurRad="40000" dist="23000" dir="5400000" rotWithShape="0">
                <a:srgbClr val="000000">
                  <a:alpha val="35000"/>
                </a:srgbClr>
              </a:outerShdw>
            </a:effectLst>
          </c:spPr>
          <c:marker>
            <c:symbol val="none"/>
          </c:marker>
          <c:cat>
            <c:strRef>
              <c:f>'Week 6'!$E$39:$E$44</c:f>
              <c:strCache>
                <c:ptCount val="6"/>
                <c:pt idx="0">
                  <c:v>Robot Simulator</c:v>
                </c:pt>
                <c:pt idx="1">
                  <c:v>Game of Life</c:v>
                </c:pt>
                <c:pt idx="2">
                  <c:v>Activity Reporter</c:v>
                </c:pt>
                <c:pt idx="3">
                  <c:v>Wallet API</c:v>
                </c:pt>
                <c:pt idx="4">
                  <c:v>Wallet Dashboard</c:v>
                </c:pt>
                <c:pt idx="5">
                  <c:v>Wallet Web</c:v>
                </c:pt>
              </c:strCache>
            </c:strRef>
          </c:cat>
          <c:val>
            <c:numRef>
              <c:f>'Week 6'!$H$39:$H$44</c:f>
              <c:numCache>
                <c:formatCode>General</c:formatCode>
                <c:ptCount val="6"/>
                <c:pt idx="0">
                  <c:v>2</c:v>
                </c:pt>
                <c:pt idx="1">
                  <c:v>3</c:v>
                </c:pt>
                <c:pt idx="2">
                  <c:v>4</c:v>
                </c:pt>
                <c:pt idx="3">
                  <c:v>4</c:v>
                </c:pt>
                <c:pt idx="4">
                  <c:v>3</c:v>
                </c:pt>
                <c:pt idx="5">
                  <c:v>4</c:v>
                </c:pt>
              </c:numCache>
            </c:numRef>
          </c:val>
          <c:smooth val="0"/>
          <c:extLst>
            <c:ext xmlns:c16="http://schemas.microsoft.com/office/drawing/2014/chart" uri="{C3380CC4-5D6E-409C-BE32-E72D297353CC}">
              <c16:uniqueId val="{00000002-DEFA-804D-BCC9-3793BF7DA8EF}"/>
            </c:ext>
          </c:extLst>
        </c:ser>
        <c:ser>
          <c:idx val="3"/>
          <c:order val="3"/>
          <c:tx>
            <c:strRef>
              <c:f>'Week 6'!$I$38</c:f>
              <c:strCache>
                <c:ptCount val="1"/>
                <c:pt idx="0">
                  <c:v>Clean Code</c:v>
                </c:pt>
              </c:strCache>
            </c:strRef>
          </c:tx>
          <c:spPr>
            <a:ln w="19050" cap="rnd">
              <a:solidFill>
                <a:srgbClr val="0070C0"/>
              </a:solidFill>
              <a:round/>
            </a:ln>
            <a:effectLst>
              <a:outerShdw blurRad="40000" dist="23000" dir="5400000" rotWithShape="0">
                <a:srgbClr val="000000">
                  <a:alpha val="35000"/>
                </a:srgbClr>
              </a:outerShdw>
            </a:effectLst>
          </c:spPr>
          <c:marker>
            <c:symbol val="none"/>
          </c:marker>
          <c:cat>
            <c:strRef>
              <c:f>'Week 6'!$E$39:$E$44</c:f>
              <c:strCache>
                <c:ptCount val="6"/>
                <c:pt idx="0">
                  <c:v>Robot Simulator</c:v>
                </c:pt>
                <c:pt idx="1">
                  <c:v>Game of Life</c:v>
                </c:pt>
                <c:pt idx="2">
                  <c:v>Activity Reporter</c:v>
                </c:pt>
                <c:pt idx="3">
                  <c:v>Wallet API</c:v>
                </c:pt>
                <c:pt idx="4">
                  <c:v>Wallet Dashboard</c:v>
                </c:pt>
                <c:pt idx="5">
                  <c:v>Wallet Web</c:v>
                </c:pt>
              </c:strCache>
            </c:strRef>
          </c:cat>
          <c:val>
            <c:numRef>
              <c:f>'Week 6'!$I$39:$I$44</c:f>
              <c:numCache>
                <c:formatCode>General</c:formatCode>
                <c:ptCount val="6"/>
                <c:pt idx="0">
                  <c:v>2</c:v>
                </c:pt>
                <c:pt idx="1">
                  <c:v>2</c:v>
                </c:pt>
                <c:pt idx="2">
                  <c:v>2</c:v>
                </c:pt>
                <c:pt idx="3">
                  <c:v>3</c:v>
                </c:pt>
                <c:pt idx="4">
                  <c:v>4</c:v>
                </c:pt>
                <c:pt idx="5">
                  <c:v>3</c:v>
                </c:pt>
              </c:numCache>
            </c:numRef>
          </c:val>
          <c:smooth val="0"/>
          <c:extLst>
            <c:ext xmlns:c16="http://schemas.microsoft.com/office/drawing/2014/chart" uri="{C3380CC4-5D6E-409C-BE32-E72D297353CC}">
              <c16:uniqueId val="{00000003-DEFA-804D-BCC9-3793BF7DA8EF}"/>
            </c:ext>
          </c:extLst>
        </c:ser>
        <c:ser>
          <c:idx val="4"/>
          <c:order val="4"/>
          <c:tx>
            <c:strRef>
              <c:f>'Week 6'!$J$38</c:f>
              <c:strCache>
                <c:ptCount val="1"/>
                <c:pt idx="0">
                  <c:v>Naming</c:v>
                </c:pt>
              </c:strCache>
            </c:strRef>
          </c:tx>
          <c:spPr>
            <a:ln w="19050" cap="rnd">
              <a:solidFill>
                <a:srgbClr val="00B050"/>
              </a:solidFill>
              <a:round/>
            </a:ln>
            <a:effectLst>
              <a:outerShdw blurRad="40000" dist="23000" dir="5400000" rotWithShape="0">
                <a:srgbClr val="000000">
                  <a:alpha val="35000"/>
                </a:srgbClr>
              </a:outerShdw>
            </a:effectLst>
          </c:spPr>
          <c:marker>
            <c:symbol val="none"/>
          </c:marker>
          <c:cat>
            <c:strRef>
              <c:f>'Week 6'!$E$39:$E$44</c:f>
              <c:strCache>
                <c:ptCount val="6"/>
                <c:pt idx="0">
                  <c:v>Robot Simulator</c:v>
                </c:pt>
                <c:pt idx="1">
                  <c:v>Game of Life</c:v>
                </c:pt>
                <c:pt idx="2">
                  <c:v>Activity Reporter</c:v>
                </c:pt>
                <c:pt idx="3">
                  <c:v>Wallet API</c:v>
                </c:pt>
                <c:pt idx="4">
                  <c:v>Wallet Dashboard</c:v>
                </c:pt>
                <c:pt idx="5">
                  <c:v>Wallet Web</c:v>
                </c:pt>
              </c:strCache>
            </c:strRef>
          </c:cat>
          <c:val>
            <c:numRef>
              <c:f>'Week 6'!$J$39:$J$44</c:f>
              <c:numCache>
                <c:formatCode>General</c:formatCode>
                <c:ptCount val="6"/>
                <c:pt idx="0">
                  <c:v>3</c:v>
                </c:pt>
                <c:pt idx="1">
                  <c:v>2</c:v>
                </c:pt>
                <c:pt idx="2">
                  <c:v>3</c:v>
                </c:pt>
                <c:pt idx="3">
                  <c:v>4</c:v>
                </c:pt>
                <c:pt idx="4">
                  <c:v>4</c:v>
                </c:pt>
                <c:pt idx="5">
                  <c:v>3</c:v>
                </c:pt>
              </c:numCache>
            </c:numRef>
          </c:val>
          <c:smooth val="0"/>
          <c:extLst>
            <c:ext xmlns:c16="http://schemas.microsoft.com/office/drawing/2014/chart" uri="{C3380CC4-5D6E-409C-BE32-E72D297353CC}">
              <c16:uniqueId val="{00000004-DEFA-804D-BCC9-3793BF7DA8EF}"/>
            </c:ext>
          </c:extLst>
        </c:ser>
        <c:ser>
          <c:idx val="5"/>
          <c:order val="5"/>
          <c:tx>
            <c:strRef>
              <c:f>'Week 6'!$K$38</c:f>
              <c:strCache>
                <c:ptCount val="1"/>
                <c:pt idx="0">
                  <c:v>Application of Concepts</c:v>
                </c:pt>
              </c:strCache>
            </c:strRef>
          </c:tx>
          <c:spPr>
            <a:ln w="19050" cap="rnd">
              <a:solidFill>
                <a:srgbClr val="EE93F0"/>
              </a:solidFill>
              <a:round/>
            </a:ln>
            <a:effectLst>
              <a:outerShdw blurRad="40000" dist="23000" dir="5400000" rotWithShape="0">
                <a:srgbClr val="000000">
                  <a:alpha val="35000"/>
                </a:srgbClr>
              </a:outerShdw>
            </a:effectLst>
          </c:spPr>
          <c:marker>
            <c:symbol val="none"/>
          </c:marker>
          <c:cat>
            <c:strRef>
              <c:f>'Week 6'!$E$39:$E$44</c:f>
              <c:strCache>
                <c:ptCount val="6"/>
                <c:pt idx="0">
                  <c:v>Robot Simulator</c:v>
                </c:pt>
                <c:pt idx="1">
                  <c:v>Game of Life</c:v>
                </c:pt>
                <c:pt idx="2">
                  <c:v>Activity Reporter</c:v>
                </c:pt>
                <c:pt idx="3">
                  <c:v>Wallet API</c:v>
                </c:pt>
                <c:pt idx="4">
                  <c:v>Wallet Dashboard</c:v>
                </c:pt>
                <c:pt idx="5">
                  <c:v>Wallet Web</c:v>
                </c:pt>
              </c:strCache>
            </c:strRef>
          </c:cat>
          <c:val>
            <c:numRef>
              <c:f>'Week 6'!$K$39:$K$44</c:f>
              <c:numCache>
                <c:formatCode>General</c:formatCode>
                <c:ptCount val="6"/>
                <c:pt idx="0">
                  <c:v>2</c:v>
                </c:pt>
                <c:pt idx="1">
                  <c:v>3</c:v>
                </c:pt>
                <c:pt idx="2">
                  <c:v>3</c:v>
                </c:pt>
                <c:pt idx="3">
                  <c:v>5</c:v>
                </c:pt>
                <c:pt idx="4">
                  <c:v>4</c:v>
                </c:pt>
                <c:pt idx="5">
                  <c:v>4</c:v>
                </c:pt>
              </c:numCache>
            </c:numRef>
          </c:val>
          <c:smooth val="0"/>
          <c:extLst>
            <c:ext xmlns:c16="http://schemas.microsoft.com/office/drawing/2014/chart" uri="{C3380CC4-5D6E-409C-BE32-E72D297353CC}">
              <c16:uniqueId val="{00000005-DEFA-804D-BCC9-3793BF7DA8EF}"/>
            </c:ext>
          </c:extLst>
        </c:ser>
        <c:dLbls>
          <c:showLegendKey val="0"/>
          <c:showVal val="0"/>
          <c:showCatName val="0"/>
          <c:showSerName val="0"/>
          <c:showPercent val="0"/>
          <c:showBubbleSize val="0"/>
        </c:dLbls>
        <c:smooth val="0"/>
        <c:axId val="1242646223"/>
        <c:axId val="1242647855"/>
      </c:lineChart>
      <c:catAx>
        <c:axId val="1242646223"/>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Avenir Book" panose="02000503020000020003" pitchFamily="2" charset="0"/>
                <a:ea typeface="+mn-ea"/>
                <a:cs typeface="+mn-cs"/>
              </a:defRPr>
            </a:pPr>
            <a:endParaRPr lang="en-US"/>
          </a:p>
        </c:txPr>
        <c:crossAx val="1242647855"/>
        <c:crosses val="autoZero"/>
        <c:auto val="0"/>
        <c:lblAlgn val="ctr"/>
        <c:lblOffset val="100"/>
        <c:noMultiLvlLbl val="0"/>
      </c:catAx>
      <c:valAx>
        <c:axId val="1242647855"/>
        <c:scaling>
          <c:orientation val="minMax"/>
          <c:max val="5"/>
        </c:scaling>
        <c:delete val="0"/>
        <c:axPos val="l"/>
        <c:majorGridlines>
          <c:spPr>
            <a:ln w="9525" cap="flat" cmpd="sng" algn="ctr">
              <a:solidFill>
                <a:schemeClr val="lt1">
                  <a:lumMod val="95000"/>
                  <a:alpha val="10000"/>
                </a:schemeClr>
              </a:solidFill>
              <a:round/>
            </a:ln>
            <a:effectLst/>
          </c:spPr>
        </c:majorGridlines>
        <c:numFmt formatCode="@" sourceLinked="0"/>
        <c:majorTickMark val="in"/>
        <c:minorTickMark val="none"/>
        <c:tickLblPos val="none"/>
        <c:spPr>
          <a:noFill/>
          <a:ln>
            <a:solidFill>
              <a:srgbClr val="FFC000"/>
            </a:solid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Avenir Book" panose="02000503020000020003" pitchFamily="2" charset="0"/>
                <a:ea typeface="+mn-ea"/>
                <a:cs typeface="+mn-cs"/>
              </a:defRPr>
            </a:pPr>
            <a:endParaRPr lang="en-US"/>
          </a:p>
        </c:txPr>
        <c:crossAx val="1242646223"/>
        <c:crosses val="autoZero"/>
        <c:crossBetween val="between"/>
        <c:majorUnit val="2.5"/>
      </c:valAx>
      <c:spPr>
        <a:noFill/>
        <a:ln>
          <a:noFill/>
        </a:ln>
        <a:effectLst/>
      </c:spPr>
    </c:plotArea>
    <c:legend>
      <c:legendPos val="b"/>
      <c:legendEntry>
        <c:idx val="0"/>
        <c:txPr>
          <a:bodyPr rot="0" spcFirstLastPara="1" vertOverflow="ellipsis" vert="horz" wrap="square" anchor="ctr" anchorCtr="1"/>
          <a:lstStyle/>
          <a:p>
            <a:pPr>
              <a:defRPr sz="1200" b="1" i="0" u="none" strike="noStrike" kern="1200" baseline="0">
                <a:solidFill>
                  <a:schemeClr val="lt1">
                    <a:lumMod val="85000"/>
                  </a:schemeClr>
                </a:solidFill>
                <a:latin typeface="Avenir Book" panose="02000503020000020003" pitchFamily="2" charset="0"/>
                <a:ea typeface="+mn-ea"/>
                <a:cs typeface="+mn-cs"/>
              </a:defRPr>
            </a:pPr>
            <a:endParaRPr lang="en-US"/>
          </a:p>
        </c:txPr>
      </c:legendEntry>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Avenir Book" panose="02000503020000020003" pitchFamily="2"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latin typeface="Avenir Book" panose="02000503020000020003" pitchFamily="2"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292100</xdr:colOff>
      <xdr:row>4</xdr:row>
      <xdr:rowOff>0</xdr:rowOff>
    </xdr:from>
    <xdr:to>
      <xdr:col>12</xdr:col>
      <xdr:colOff>1494367</xdr:colOff>
      <xdr:row>40</xdr:row>
      <xdr:rowOff>38100</xdr:rowOff>
    </xdr:to>
    <xdr:graphicFrame macro="">
      <xdr:nvGraphicFramePr>
        <xdr:cNvPr id="4" name="Chart 3">
          <a:extLst>
            <a:ext uri="{FF2B5EF4-FFF2-40B4-BE49-F238E27FC236}">
              <a16:creationId xmlns:a16="http://schemas.microsoft.com/office/drawing/2014/main" id="{4668E7B9-40D3-2A4A-8B82-A38843F730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1367367</xdr:colOff>
      <xdr:row>38</xdr:row>
      <xdr:rowOff>4234</xdr:rowOff>
    </xdr:from>
    <xdr:to>
      <xdr:col>12</xdr:col>
      <xdr:colOff>881031</xdr:colOff>
      <xdr:row>63</xdr:row>
      <xdr:rowOff>118535</xdr:rowOff>
    </xdr:to>
    <xdr:graphicFrame macro="">
      <xdr:nvGraphicFramePr>
        <xdr:cNvPr id="3" name="Chart 2">
          <a:extLst>
            <a:ext uri="{FF2B5EF4-FFF2-40B4-BE49-F238E27FC236}">
              <a16:creationId xmlns:a16="http://schemas.microsoft.com/office/drawing/2014/main" id="{02F1C39E-3494-4142-BEF2-60DD90A157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Report%20card"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port card"/>
    </sheetNames>
    <sheetDataSet>
      <sheetData sheetId="0"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A53"/>
  <sheetViews>
    <sheetView workbookViewId="0"/>
  </sheetViews>
  <sheetFormatPr baseColWidth="10" defaultColWidth="14.5" defaultRowHeight="15.75" customHeight="1"/>
  <cols>
    <col min="1" max="1" width="137" customWidth="1"/>
  </cols>
  <sheetData>
    <row r="1" spans="1:1" ht="15.75" customHeight="1">
      <c r="A1" s="1" t="s">
        <v>0</v>
      </c>
    </row>
    <row r="2" spans="1:1" ht="14">
      <c r="A2" s="2" t="s">
        <v>1</v>
      </c>
    </row>
    <row r="3" spans="1:1" ht="14">
      <c r="A3" s="2" t="s">
        <v>2</v>
      </c>
    </row>
    <row r="4" spans="1:1" ht="14">
      <c r="A4" s="2" t="s">
        <v>3</v>
      </c>
    </row>
    <row r="5" spans="1:1" ht="14">
      <c r="A5" s="2" t="s">
        <v>4</v>
      </c>
    </row>
    <row r="6" spans="1:1" ht="14">
      <c r="A6" s="2" t="s">
        <v>5</v>
      </c>
    </row>
    <row r="7" spans="1:1" ht="14">
      <c r="A7" s="2"/>
    </row>
    <row r="8" spans="1:1" ht="14">
      <c r="A8" s="3" t="s">
        <v>6</v>
      </c>
    </row>
    <row r="9" spans="1:1" ht="14">
      <c r="A9" s="2" t="s">
        <v>7</v>
      </c>
    </row>
    <row r="10" spans="1:1" ht="14">
      <c r="A10" s="2" t="s">
        <v>8</v>
      </c>
    </row>
    <row r="11" spans="1:1" ht="14">
      <c r="A11" s="2" t="s">
        <v>9</v>
      </c>
    </row>
    <row r="12" spans="1:1" ht="14">
      <c r="A12" s="2" t="s">
        <v>10</v>
      </c>
    </row>
    <row r="13" spans="1:1" ht="14">
      <c r="A13" s="2" t="s">
        <v>11</v>
      </c>
    </row>
    <row r="14" spans="1:1" ht="15.75" customHeight="1">
      <c r="A14" s="4"/>
    </row>
    <row r="15" spans="1:1" ht="14">
      <c r="A15" s="5" t="s">
        <v>12</v>
      </c>
    </row>
    <row r="16" spans="1:1" ht="14">
      <c r="A16" s="6" t="s">
        <v>13</v>
      </c>
    </row>
    <row r="17" spans="1:1" ht="14">
      <c r="A17" s="6" t="s">
        <v>14</v>
      </c>
    </row>
    <row r="18" spans="1:1" ht="14">
      <c r="A18" s="6" t="s">
        <v>15</v>
      </c>
    </row>
    <row r="19" spans="1:1" ht="14">
      <c r="A19" s="6" t="s">
        <v>16</v>
      </c>
    </row>
    <row r="20" spans="1:1" ht="14">
      <c r="A20" s="6" t="s">
        <v>17</v>
      </c>
    </row>
    <row r="21" spans="1:1" ht="14">
      <c r="A21" s="6" t="s">
        <v>18</v>
      </c>
    </row>
    <row r="22" spans="1:1" ht="14">
      <c r="A22" s="6" t="s">
        <v>19</v>
      </c>
    </row>
    <row r="23" spans="1:1" ht="14">
      <c r="A23" s="7"/>
    </row>
    <row r="24" spans="1:1" ht="14">
      <c r="A24" s="6" t="s">
        <v>20</v>
      </c>
    </row>
    <row r="25" spans="1:1" ht="14">
      <c r="A25" s="6" t="s">
        <v>21</v>
      </c>
    </row>
    <row r="26" spans="1:1" ht="14">
      <c r="A26" s="6" t="s">
        <v>22</v>
      </c>
    </row>
    <row r="27" spans="1:1" ht="14">
      <c r="A27" s="6" t="s">
        <v>23</v>
      </c>
    </row>
    <row r="28" spans="1:1" ht="14">
      <c r="A28" s="6" t="s">
        <v>24</v>
      </c>
    </row>
    <row r="29" spans="1:1" ht="15.75" customHeight="1">
      <c r="A29" s="4"/>
    </row>
    <row r="30" spans="1:1" ht="14">
      <c r="A30" s="8" t="s">
        <v>25</v>
      </c>
    </row>
    <row r="31" spans="1:1" ht="14">
      <c r="A31" s="9" t="s">
        <v>13</v>
      </c>
    </row>
    <row r="32" spans="1:1" ht="14">
      <c r="A32" s="9" t="s">
        <v>26</v>
      </c>
    </row>
    <row r="33" spans="1:1" ht="14">
      <c r="A33" s="9" t="s">
        <v>27</v>
      </c>
    </row>
    <row r="34" spans="1:1" ht="14">
      <c r="A34" s="9" t="s">
        <v>28</v>
      </c>
    </row>
    <row r="35" spans="1:1" ht="14">
      <c r="A35" s="9" t="s">
        <v>29</v>
      </c>
    </row>
    <row r="36" spans="1:1" ht="14">
      <c r="A36" s="9" t="s">
        <v>30</v>
      </c>
    </row>
    <row r="37" spans="1:1" ht="14">
      <c r="A37" s="10"/>
    </row>
    <row r="38" spans="1:1" ht="14">
      <c r="A38" s="9" t="s">
        <v>31</v>
      </c>
    </row>
    <row r="39" spans="1:1" ht="14">
      <c r="A39" s="9" t="s">
        <v>32</v>
      </c>
    </row>
    <row r="40" spans="1:1" ht="14">
      <c r="A40" s="9" t="s">
        <v>33</v>
      </c>
    </row>
    <row r="41" spans="1:1" ht="14">
      <c r="A41" s="9" t="s">
        <v>34</v>
      </c>
    </row>
    <row r="42" spans="1:1" ht="14">
      <c r="A42" s="9" t="s">
        <v>35</v>
      </c>
    </row>
    <row r="43" spans="1:1" ht="15.75" customHeight="1">
      <c r="A43" s="4"/>
    </row>
    <row r="44" spans="1:1" ht="14">
      <c r="A44" s="3" t="s">
        <v>36</v>
      </c>
    </row>
    <row r="45" spans="1:1" ht="14">
      <c r="A45" s="2" t="s">
        <v>37</v>
      </c>
    </row>
    <row r="46" spans="1:1" ht="14">
      <c r="A46" s="2" t="s">
        <v>38</v>
      </c>
    </row>
    <row r="47" spans="1:1" ht="14">
      <c r="A47" s="2" t="s">
        <v>39</v>
      </c>
    </row>
    <row r="48" spans="1:1" ht="14">
      <c r="A48" s="2" t="s">
        <v>40</v>
      </c>
    </row>
    <row r="49" spans="1:1" ht="14">
      <c r="A49" s="2" t="s">
        <v>41</v>
      </c>
    </row>
    <row r="50" spans="1:1" ht="15.75" customHeight="1">
      <c r="A50" s="4"/>
    </row>
    <row r="51" spans="1:1" ht="14">
      <c r="A51" s="3" t="s">
        <v>42</v>
      </c>
    </row>
    <row r="52" spans="1:1" ht="14">
      <c r="A52" s="2" t="s">
        <v>43</v>
      </c>
    </row>
    <row r="53" spans="1:1" ht="14">
      <c r="A53" s="11" t="s">
        <v>44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
  <sheetViews>
    <sheetView workbookViewId="0"/>
  </sheetViews>
  <sheetFormatPr baseColWidth="10" defaultColWidth="14.5" defaultRowHeig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1:K1000"/>
  <sheetViews>
    <sheetView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ColWidth="14.5" defaultRowHeight="15.75" customHeight="1"/>
  <cols>
    <col min="1" max="1" width="29.1640625" customWidth="1"/>
    <col min="5" max="5" width="17.83203125" customWidth="1"/>
    <col min="8" max="8" width="22.5" customWidth="1"/>
    <col min="10" max="10" width="18.83203125" customWidth="1"/>
    <col min="11" max="11" width="59.1640625" customWidth="1"/>
  </cols>
  <sheetData>
    <row r="1" spans="1:11" ht="14">
      <c r="A1" s="12" t="s">
        <v>45</v>
      </c>
      <c r="B1" s="13" t="s">
        <v>46</v>
      </c>
      <c r="C1" s="14" t="s">
        <v>47</v>
      </c>
      <c r="D1" s="13" t="s">
        <v>48</v>
      </c>
      <c r="E1" s="13" t="s">
        <v>49</v>
      </c>
      <c r="F1" s="13" t="s">
        <v>50</v>
      </c>
      <c r="G1" s="13" t="s">
        <v>51</v>
      </c>
      <c r="H1" s="13" t="s">
        <v>52</v>
      </c>
      <c r="I1" s="15" t="s">
        <v>53</v>
      </c>
      <c r="J1" s="15" t="s">
        <v>54</v>
      </c>
      <c r="K1" s="15" t="s">
        <v>55</v>
      </c>
    </row>
    <row r="2" spans="1:11" ht="14">
      <c r="A2" s="16" t="s">
        <v>56</v>
      </c>
      <c r="B2" s="17"/>
      <c r="C2" s="17"/>
      <c r="D2" s="18">
        <v>1</v>
      </c>
      <c r="E2" s="18">
        <v>0</v>
      </c>
      <c r="F2" s="18">
        <v>2</v>
      </c>
      <c r="G2" s="18">
        <v>1</v>
      </c>
      <c r="H2" s="17"/>
      <c r="I2" s="19">
        <f t="shared" ref="I2:I3" si="0">AVERAGE(D2:H2)</f>
        <v>1</v>
      </c>
      <c r="J2" s="20" t="s">
        <v>57</v>
      </c>
      <c r="K2" s="20" t="s">
        <v>58</v>
      </c>
    </row>
    <row r="3" spans="1:11" ht="14">
      <c r="A3" s="16" t="s">
        <v>59</v>
      </c>
      <c r="B3" s="17"/>
      <c r="C3" s="21"/>
      <c r="D3" s="18">
        <v>2</v>
      </c>
      <c r="E3" s="22">
        <v>2</v>
      </c>
      <c r="F3" s="18">
        <v>3</v>
      </c>
      <c r="G3" s="18">
        <v>3</v>
      </c>
      <c r="H3" s="17"/>
      <c r="I3" s="19">
        <f t="shared" si="0"/>
        <v>2.5</v>
      </c>
      <c r="J3" s="17"/>
      <c r="K3" s="23" t="s">
        <v>60</v>
      </c>
    </row>
    <row r="4" spans="1:11" ht="14">
      <c r="A4" s="16" t="s">
        <v>61</v>
      </c>
      <c r="B4" s="17"/>
      <c r="C4" s="21"/>
      <c r="D4" s="24">
        <v>1</v>
      </c>
      <c r="E4" s="25">
        <v>1</v>
      </c>
      <c r="F4" s="25">
        <v>1</v>
      </c>
      <c r="G4" s="25">
        <v>2</v>
      </c>
      <c r="H4" s="26"/>
      <c r="J4" s="26"/>
      <c r="K4" s="27" t="s">
        <v>62</v>
      </c>
    </row>
    <row r="5" spans="1:11" ht="15">
      <c r="A5" s="16" t="s">
        <v>63</v>
      </c>
      <c r="B5" s="17"/>
      <c r="C5" s="28"/>
      <c r="D5" s="29">
        <v>2</v>
      </c>
      <c r="E5" s="30">
        <v>1</v>
      </c>
      <c r="F5" s="30">
        <v>1</v>
      </c>
      <c r="G5" s="30">
        <v>1</v>
      </c>
      <c r="H5" s="26"/>
      <c r="I5" s="19">
        <f>AVERAGE(D4:H4)</f>
        <v>1.25</v>
      </c>
      <c r="J5" s="26"/>
      <c r="K5" s="31" t="s">
        <v>64</v>
      </c>
    </row>
    <row r="6" spans="1:11" ht="14">
      <c r="A6" s="16" t="s">
        <v>65</v>
      </c>
      <c r="B6" s="17"/>
      <c r="C6" s="32"/>
      <c r="D6" s="25">
        <v>1</v>
      </c>
      <c r="E6" s="25">
        <v>1</v>
      </c>
      <c r="F6" s="25">
        <v>1</v>
      </c>
      <c r="G6" s="25">
        <v>1</v>
      </c>
      <c r="H6" s="26"/>
      <c r="I6" s="19">
        <f t="shared" ref="I6:I27" si="1">AVERAGE(D6:H6)</f>
        <v>1</v>
      </c>
      <c r="J6" s="26"/>
      <c r="K6" s="16" t="s">
        <v>66</v>
      </c>
    </row>
    <row r="7" spans="1:11" ht="14">
      <c r="A7" s="16" t="s">
        <v>67</v>
      </c>
      <c r="B7" s="17"/>
      <c r="C7" s="21"/>
      <c r="D7" s="25">
        <v>1</v>
      </c>
      <c r="E7" s="25">
        <v>1</v>
      </c>
      <c r="F7" s="25">
        <v>1</v>
      </c>
      <c r="G7" s="25">
        <v>2</v>
      </c>
      <c r="H7" s="26"/>
      <c r="I7" s="19">
        <f t="shared" si="1"/>
        <v>1.25</v>
      </c>
      <c r="J7" s="26"/>
      <c r="K7" s="33" t="s">
        <v>68</v>
      </c>
    </row>
    <row r="8" spans="1:11" ht="14">
      <c r="A8" s="16" t="s">
        <v>69</v>
      </c>
      <c r="B8" s="17"/>
      <c r="C8" s="21"/>
      <c r="D8" s="18">
        <v>1</v>
      </c>
      <c r="E8" s="18">
        <v>0</v>
      </c>
      <c r="F8" s="18">
        <v>1</v>
      </c>
      <c r="G8" s="18">
        <v>1</v>
      </c>
      <c r="H8" s="17"/>
      <c r="I8" s="19">
        <f t="shared" si="1"/>
        <v>0.75</v>
      </c>
      <c r="J8" s="17"/>
      <c r="K8" s="20" t="s">
        <v>70</v>
      </c>
    </row>
    <row r="9" spans="1:11" ht="14">
      <c r="A9" s="16" t="s">
        <v>71</v>
      </c>
      <c r="B9" s="17"/>
      <c r="C9" s="32"/>
      <c r="D9" s="18">
        <v>3</v>
      </c>
      <c r="E9" s="18">
        <v>3</v>
      </c>
      <c r="F9" s="18">
        <v>2</v>
      </c>
      <c r="G9" s="18">
        <v>1</v>
      </c>
      <c r="H9" s="17"/>
      <c r="I9" s="19">
        <f t="shared" si="1"/>
        <v>2.25</v>
      </c>
      <c r="J9" s="20" t="s">
        <v>57</v>
      </c>
      <c r="K9" s="20" t="s">
        <v>72</v>
      </c>
    </row>
    <row r="10" spans="1:11" ht="15">
      <c r="A10" s="16" t="s">
        <v>73</v>
      </c>
      <c r="B10" s="17"/>
      <c r="C10" s="32"/>
      <c r="D10" s="34">
        <v>1</v>
      </c>
      <c r="E10" s="22">
        <v>0</v>
      </c>
      <c r="F10" s="22">
        <v>1</v>
      </c>
      <c r="G10" s="22">
        <v>1</v>
      </c>
      <c r="H10" s="17"/>
      <c r="I10" s="19">
        <f t="shared" si="1"/>
        <v>0.75</v>
      </c>
      <c r="J10" s="17"/>
      <c r="K10" s="20" t="s">
        <v>74</v>
      </c>
    </row>
    <row r="11" spans="1:11" ht="14">
      <c r="A11" s="16" t="s">
        <v>75</v>
      </c>
      <c r="B11" s="17"/>
      <c r="C11" s="21"/>
      <c r="D11" s="18">
        <v>1</v>
      </c>
      <c r="E11" s="18">
        <v>2</v>
      </c>
      <c r="F11" s="18">
        <v>1</v>
      </c>
      <c r="G11" s="18">
        <v>1</v>
      </c>
      <c r="H11" s="19"/>
      <c r="I11" s="19">
        <f t="shared" si="1"/>
        <v>1.25</v>
      </c>
      <c r="J11" s="17"/>
      <c r="K11" s="35" t="s">
        <v>76</v>
      </c>
    </row>
    <row r="12" spans="1:11" ht="14">
      <c r="A12" s="16" t="s">
        <v>77</v>
      </c>
      <c r="B12" s="17"/>
      <c r="C12" s="17"/>
      <c r="D12" s="18">
        <v>2</v>
      </c>
      <c r="E12" s="18">
        <v>3</v>
      </c>
      <c r="F12" s="18">
        <v>4</v>
      </c>
      <c r="G12" s="18">
        <v>1</v>
      </c>
      <c r="H12" s="17"/>
      <c r="I12" s="19">
        <f t="shared" si="1"/>
        <v>2.5</v>
      </c>
      <c r="J12" s="20" t="s">
        <v>57</v>
      </c>
      <c r="K12" s="36" t="s">
        <v>78</v>
      </c>
    </row>
    <row r="13" spans="1:11" ht="14">
      <c r="A13" s="16" t="s">
        <v>79</v>
      </c>
      <c r="B13" s="17"/>
      <c r="C13" s="21"/>
      <c r="D13" s="24">
        <v>1</v>
      </c>
      <c r="E13" s="25">
        <v>2</v>
      </c>
      <c r="F13" s="25">
        <v>2</v>
      </c>
      <c r="G13" s="25">
        <v>3</v>
      </c>
      <c r="H13" s="25"/>
      <c r="I13" s="19">
        <f t="shared" si="1"/>
        <v>2</v>
      </c>
      <c r="J13" s="26"/>
      <c r="K13" s="16" t="s">
        <v>80</v>
      </c>
    </row>
    <row r="14" spans="1:11" ht="15">
      <c r="A14" s="16" t="s">
        <v>81</v>
      </c>
      <c r="B14" s="17"/>
      <c r="C14" s="21"/>
      <c r="D14" s="34">
        <v>1</v>
      </c>
      <c r="E14" s="22">
        <v>0</v>
      </c>
      <c r="F14" s="22">
        <v>2</v>
      </c>
      <c r="G14" s="22">
        <v>1</v>
      </c>
      <c r="H14" s="17"/>
      <c r="I14" s="19">
        <f t="shared" si="1"/>
        <v>1</v>
      </c>
      <c r="J14" s="20" t="s">
        <v>57</v>
      </c>
      <c r="K14" s="20" t="s">
        <v>82</v>
      </c>
    </row>
    <row r="15" spans="1:11" ht="14">
      <c r="A15" s="16" t="s">
        <v>83</v>
      </c>
      <c r="B15" s="17"/>
      <c r="C15" s="32"/>
      <c r="D15" s="18">
        <v>1</v>
      </c>
      <c r="E15" s="18">
        <v>0</v>
      </c>
      <c r="F15" s="18">
        <v>1</v>
      </c>
      <c r="G15" s="18">
        <v>1</v>
      </c>
      <c r="H15" s="17"/>
      <c r="I15" s="19">
        <f t="shared" si="1"/>
        <v>0.75</v>
      </c>
      <c r="J15" s="17"/>
      <c r="K15" s="35" t="s">
        <v>84</v>
      </c>
    </row>
    <row r="16" spans="1:11" ht="14">
      <c r="A16" s="16" t="s">
        <v>85</v>
      </c>
      <c r="B16" s="17"/>
      <c r="C16" s="32"/>
      <c r="D16" s="18">
        <v>2</v>
      </c>
      <c r="E16" s="18">
        <v>2</v>
      </c>
      <c r="F16" s="18">
        <v>2</v>
      </c>
      <c r="G16" s="18">
        <v>4</v>
      </c>
      <c r="H16" s="17"/>
      <c r="I16" s="19">
        <f t="shared" si="1"/>
        <v>2.5</v>
      </c>
      <c r="J16" s="17"/>
      <c r="K16" s="35" t="s">
        <v>86</v>
      </c>
    </row>
    <row r="17" spans="1:11" ht="14">
      <c r="A17" s="16" t="s">
        <v>87</v>
      </c>
      <c r="B17" s="17"/>
      <c r="C17" s="21"/>
      <c r="D17" s="18">
        <v>1</v>
      </c>
      <c r="E17" s="18">
        <v>2</v>
      </c>
      <c r="F17" s="18">
        <v>1</v>
      </c>
      <c r="G17" s="18">
        <v>3</v>
      </c>
      <c r="H17" s="17"/>
      <c r="I17" s="19">
        <f t="shared" si="1"/>
        <v>1.75</v>
      </c>
      <c r="J17" s="17"/>
      <c r="K17" s="33" t="s">
        <v>88</v>
      </c>
    </row>
    <row r="18" spans="1:11" ht="14">
      <c r="A18" s="16" t="s">
        <v>89</v>
      </c>
      <c r="B18" s="17"/>
      <c r="C18" s="28"/>
      <c r="D18" s="18">
        <v>1</v>
      </c>
      <c r="E18" s="18">
        <v>1</v>
      </c>
      <c r="F18" s="18">
        <v>1</v>
      </c>
      <c r="G18" s="18">
        <v>2</v>
      </c>
      <c r="H18" s="17"/>
      <c r="I18" s="19">
        <f t="shared" si="1"/>
        <v>1.25</v>
      </c>
      <c r="J18" s="17"/>
      <c r="K18" s="20" t="s">
        <v>90</v>
      </c>
    </row>
    <row r="19" spans="1:11" ht="15">
      <c r="A19" s="16" t="s">
        <v>91</v>
      </c>
      <c r="B19" s="17"/>
      <c r="C19" s="28"/>
      <c r="D19" s="34">
        <v>1</v>
      </c>
      <c r="E19" s="22">
        <v>1</v>
      </c>
      <c r="F19" s="22">
        <v>1</v>
      </c>
      <c r="G19" s="22">
        <v>2</v>
      </c>
      <c r="H19" s="17"/>
      <c r="I19" s="19">
        <f t="shared" si="1"/>
        <v>1.25</v>
      </c>
      <c r="J19" s="17"/>
      <c r="K19" s="37" t="s">
        <v>92</v>
      </c>
    </row>
    <row r="20" spans="1:11" ht="14">
      <c r="A20" s="16" t="s">
        <v>93</v>
      </c>
      <c r="B20" s="17"/>
      <c r="C20" s="21"/>
      <c r="D20" s="18">
        <v>1</v>
      </c>
      <c r="E20" s="18">
        <v>1</v>
      </c>
      <c r="F20" s="18">
        <v>1</v>
      </c>
      <c r="G20" s="18">
        <v>1</v>
      </c>
      <c r="H20" s="17"/>
      <c r="I20" s="19">
        <f t="shared" si="1"/>
        <v>1</v>
      </c>
      <c r="J20" s="17"/>
      <c r="K20" s="20" t="s">
        <v>94</v>
      </c>
    </row>
    <row r="21" spans="1:11" ht="14">
      <c r="A21" s="16" t="s">
        <v>95</v>
      </c>
      <c r="B21" s="17"/>
      <c r="C21" s="38"/>
      <c r="D21" s="39">
        <v>2</v>
      </c>
      <c r="E21" s="18">
        <v>2</v>
      </c>
      <c r="F21" s="18">
        <v>3</v>
      </c>
      <c r="G21" s="18">
        <v>3</v>
      </c>
      <c r="H21" s="17"/>
      <c r="I21" s="19">
        <f t="shared" si="1"/>
        <v>2.5</v>
      </c>
      <c r="J21" s="17"/>
      <c r="K21" s="33" t="s">
        <v>96</v>
      </c>
    </row>
    <row r="22" spans="1:11" ht="14">
      <c r="A22" s="16" t="s">
        <v>97</v>
      </c>
      <c r="B22" s="17"/>
      <c r="C22" s="17"/>
      <c r="D22" s="18">
        <v>0</v>
      </c>
      <c r="E22" s="18">
        <v>1</v>
      </c>
      <c r="F22" s="18">
        <v>1</v>
      </c>
      <c r="G22" s="18">
        <v>2</v>
      </c>
      <c r="H22" s="20"/>
      <c r="I22" s="19">
        <f t="shared" si="1"/>
        <v>1</v>
      </c>
      <c r="J22" s="17"/>
      <c r="K22" s="20" t="s">
        <v>98</v>
      </c>
    </row>
    <row r="23" spans="1:11" ht="14">
      <c r="A23" s="16" t="s">
        <v>99</v>
      </c>
      <c r="B23" s="17"/>
      <c r="C23" s="21"/>
      <c r="D23" s="18">
        <v>1</v>
      </c>
      <c r="E23" s="18">
        <v>1</v>
      </c>
      <c r="F23" s="18">
        <v>1</v>
      </c>
      <c r="G23" s="18">
        <v>1</v>
      </c>
      <c r="H23" s="20"/>
      <c r="I23" s="19">
        <f t="shared" si="1"/>
        <v>1</v>
      </c>
      <c r="J23" s="17"/>
      <c r="K23" s="35" t="s">
        <v>100</v>
      </c>
    </row>
    <row r="24" spans="1:11" ht="14">
      <c r="A24" s="16" t="s">
        <v>101</v>
      </c>
      <c r="B24" s="17"/>
      <c r="C24" s="21"/>
      <c r="D24" s="39">
        <v>1</v>
      </c>
      <c r="E24" s="18">
        <v>0</v>
      </c>
      <c r="F24" s="18">
        <v>1</v>
      </c>
      <c r="G24" s="18">
        <v>2</v>
      </c>
      <c r="H24" s="17"/>
      <c r="I24" s="19">
        <f t="shared" si="1"/>
        <v>1</v>
      </c>
      <c r="J24" s="17"/>
      <c r="K24" s="20" t="s">
        <v>102</v>
      </c>
    </row>
    <row r="25" spans="1:11" ht="14">
      <c r="A25" s="16" t="s">
        <v>103</v>
      </c>
      <c r="B25" s="17"/>
      <c r="C25" s="28"/>
      <c r="D25" s="18">
        <v>2</v>
      </c>
      <c r="E25" s="18">
        <v>3</v>
      </c>
      <c r="F25" s="18">
        <v>2</v>
      </c>
      <c r="G25" s="18">
        <v>1</v>
      </c>
      <c r="H25" s="19"/>
      <c r="I25" s="19">
        <f t="shared" si="1"/>
        <v>2</v>
      </c>
      <c r="J25" s="20" t="s">
        <v>57</v>
      </c>
      <c r="K25" s="20" t="s">
        <v>104</v>
      </c>
    </row>
    <row r="26" spans="1:11" ht="15">
      <c r="A26" s="16" t="s">
        <v>105</v>
      </c>
      <c r="B26" s="17"/>
      <c r="C26" s="28"/>
      <c r="D26" s="29">
        <v>2</v>
      </c>
      <c r="E26" s="30">
        <v>2</v>
      </c>
      <c r="F26" s="30">
        <v>1</v>
      </c>
      <c r="G26" s="30">
        <v>1</v>
      </c>
      <c r="H26" s="26"/>
      <c r="I26" s="19">
        <f t="shared" si="1"/>
        <v>1.5</v>
      </c>
      <c r="J26" s="26"/>
      <c r="K26" s="35" t="s">
        <v>106</v>
      </c>
    </row>
    <row r="27" spans="1:11" ht="15">
      <c r="A27" s="16" t="s">
        <v>107</v>
      </c>
      <c r="B27" s="17"/>
      <c r="C27" s="28"/>
      <c r="D27" s="34">
        <v>3</v>
      </c>
      <c r="E27" s="22">
        <v>0</v>
      </c>
      <c r="F27" s="22">
        <v>1</v>
      </c>
      <c r="G27" s="22">
        <v>1</v>
      </c>
      <c r="H27" s="17"/>
      <c r="I27" s="19">
        <f t="shared" si="1"/>
        <v>1.25</v>
      </c>
      <c r="J27" s="17"/>
      <c r="K27" s="40" t="s">
        <v>108</v>
      </c>
    </row>
    <row r="28" spans="1:11" ht="15.75" customHeight="1">
      <c r="D28" s="41"/>
      <c r="E28" s="41"/>
      <c r="F28" s="41"/>
      <c r="G28" s="41"/>
    </row>
    <row r="29" spans="1:11" ht="15.75" customHeight="1">
      <c r="D29" s="41"/>
      <c r="E29" s="41"/>
      <c r="F29" s="41"/>
      <c r="G29" s="41"/>
    </row>
    <row r="30" spans="1:11" ht="15.75" customHeight="1">
      <c r="D30" s="41"/>
      <c r="E30" s="41"/>
      <c r="F30" s="41"/>
      <c r="G30" s="41"/>
    </row>
    <row r="31" spans="1:11" ht="15.75" customHeight="1">
      <c r="D31" s="41"/>
      <c r="E31" s="41"/>
      <c r="F31" s="41"/>
      <c r="G31" s="41"/>
    </row>
    <row r="32" spans="1:11" ht="15.75" customHeight="1">
      <c r="D32" s="41"/>
      <c r="E32" s="41"/>
      <c r="F32" s="41"/>
      <c r="G32" s="41"/>
    </row>
    <row r="33" spans="4:7" ht="15.75" customHeight="1">
      <c r="D33" s="41"/>
      <c r="E33" s="41"/>
      <c r="F33" s="41"/>
      <c r="G33" s="41"/>
    </row>
    <row r="34" spans="4:7" ht="15.75" customHeight="1">
      <c r="D34" s="41"/>
      <c r="E34" s="41"/>
      <c r="F34" s="41"/>
      <c r="G34" s="41"/>
    </row>
    <row r="35" spans="4:7" ht="15.75" customHeight="1">
      <c r="D35" s="41"/>
      <c r="E35" s="41"/>
      <c r="F35" s="41"/>
      <c r="G35" s="41"/>
    </row>
    <row r="36" spans="4:7" ht="15.75" customHeight="1">
      <c r="D36" s="41"/>
      <c r="E36" s="41"/>
      <c r="F36" s="41"/>
      <c r="G36" s="41"/>
    </row>
    <row r="37" spans="4:7" ht="15.75" customHeight="1">
      <c r="D37" s="41"/>
      <c r="E37" s="41"/>
      <c r="F37" s="41"/>
      <c r="G37" s="41"/>
    </row>
    <row r="38" spans="4:7" ht="15.75" customHeight="1">
      <c r="D38" s="41"/>
      <c r="E38" s="41"/>
      <c r="F38" s="41"/>
      <c r="G38" s="41"/>
    </row>
    <row r="39" spans="4:7" ht="15.75" customHeight="1">
      <c r="D39" s="41"/>
      <c r="E39" s="41"/>
      <c r="F39" s="41"/>
      <c r="G39" s="41"/>
    </row>
    <row r="40" spans="4:7" ht="15.75" customHeight="1">
      <c r="D40" s="41"/>
      <c r="E40" s="41"/>
      <c r="F40" s="41"/>
      <c r="G40" s="41"/>
    </row>
    <row r="41" spans="4:7" ht="15.75" customHeight="1">
      <c r="D41" s="41"/>
      <c r="E41" s="41"/>
      <c r="F41" s="41"/>
      <c r="G41" s="41"/>
    </row>
    <row r="42" spans="4:7" ht="15.75" customHeight="1">
      <c r="D42" s="41"/>
      <c r="E42" s="41"/>
      <c r="F42" s="41"/>
      <c r="G42" s="41"/>
    </row>
    <row r="43" spans="4:7" ht="15.75" customHeight="1">
      <c r="D43" s="41"/>
      <c r="E43" s="41"/>
      <c r="F43" s="41"/>
      <c r="G43" s="41"/>
    </row>
    <row r="44" spans="4:7" ht="15.75" customHeight="1">
      <c r="D44" s="41"/>
      <c r="E44" s="41"/>
      <c r="F44" s="41"/>
      <c r="G44" s="41"/>
    </row>
    <row r="45" spans="4:7" ht="15.75" customHeight="1">
      <c r="D45" s="41"/>
      <c r="E45" s="41"/>
      <c r="F45" s="41"/>
      <c r="G45" s="41"/>
    </row>
    <row r="46" spans="4:7" ht="15.75" customHeight="1">
      <c r="D46" s="41"/>
      <c r="E46" s="41"/>
      <c r="F46" s="41"/>
      <c r="G46" s="41"/>
    </row>
    <row r="47" spans="4:7" ht="15.75" customHeight="1">
      <c r="D47" s="41"/>
      <c r="E47" s="41"/>
      <c r="F47" s="41"/>
      <c r="G47" s="41"/>
    </row>
    <row r="48" spans="4:7" ht="15.75" customHeight="1">
      <c r="D48" s="41"/>
      <c r="E48" s="41"/>
      <c r="F48" s="41"/>
      <c r="G48" s="41"/>
    </row>
    <row r="49" spans="4:7" ht="15.75" customHeight="1">
      <c r="D49" s="41"/>
      <c r="E49" s="41"/>
      <c r="F49" s="41"/>
      <c r="G49" s="41"/>
    </row>
    <row r="50" spans="4:7" ht="15.75" customHeight="1">
      <c r="D50" s="41"/>
      <c r="E50" s="41"/>
      <c r="F50" s="41"/>
      <c r="G50" s="41"/>
    </row>
    <row r="51" spans="4:7" ht="15.75" customHeight="1">
      <c r="D51" s="41"/>
      <c r="E51" s="41"/>
      <c r="F51" s="41"/>
      <c r="G51" s="41"/>
    </row>
    <row r="52" spans="4:7" ht="15.75" customHeight="1">
      <c r="D52" s="41"/>
      <c r="E52" s="41"/>
      <c r="F52" s="41"/>
      <c r="G52" s="41"/>
    </row>
    <row r="53" spans="4:7" ht="15.75" customHeight="1">
      <c r="D53" s="41"/>
      <c r="E53" s="41"/>
      <c r="F53" s="41"/>
      <c r="G53" s="41"/>
    </row>
    <row r="54" spans="4:7" ht="15.75" customHeight="1">
      <c r="D54" s="41"/>
      <c r="E54" s="41"/>
      <c r="F54" s="41"/>
      <c r="G54" s="41"/>
    </row>
    <row r="55" spans="4:7" ht="15.75" customHeight="1">
      <c r="D55" s="41"/>
      <c r="E55" s="41"/>
      <c r="F55" s="41"/>
      <c r="G55" s="41"/>
    </row>
    <row r="56" spans="4:7" ht="15.75" customHeight="1">
      <c r="D56" s="41"/>
      <c r="E56" s="41"/>
      <c r="F56" s="41"/>
      <c r="G56" s="41"/>
    </row>
    <row r="57" spans="4:7" ht="15.75" customHeight="1">
      <c r="D57" s="41"/>
      <c r="E57" s="41"/>
      <c r="F57" s="41"/>
      <c r="G57" s="41"/>
    </row>
    <row r="58" spans="4:7" ht="15.75" customHeight="1">
      <c r="D58" s="41"/>
      <c r="E58" s="41"/>
      <c r="F58" s="41"/>
      <c r="G58" s="41"/>
    </row>
    <row r="59" spans="4:7" ht="15.75" customHeight="1">
      <c r="D59" s="41"/>
      <c r="E59" s="41"/>
      <c r="F59" s="41"/>
      <c r="G59" s="41"/>
    </row>
    <row r="60" spans="4:7" ht="15.75" customHeight="1">
      <c r="D60" s="41"/>
      <c r="E60" s="41"/>
      <c r="F60" s="41"/>
      <c r="G60" s="41"/>
    </row>
    <row r="61" spans="4:7" ht="13">
      <c r="D61" s="41"/>
      <c r="E61" s="41"/>
      <c r="F61" s="41"/>
      <c r="G61" s="41"/>
    </row>
    <row r="62" spans="4:7" ht="13">
      <c r="D62" s="41"/>
      <c r="E62" s="41"/>
      <c r="F62" s="41"/>
      <c r="G62" s="41"/>
    </row>
    <row r="63" spans="4:7" ht="13">
      <c r="D63" s="41"/>
      <c r="E63" s="41"/>
      <c r="F63" s="41"/>
      <c r="G63" s="41"/>
    </row>
    <row r="64" spans="4:7" ht="13">
      <c r="D64" s="41"/>
      <c r="E64" s="41"/>
      <c r="F64" s="41"/>
      <c r="G64" s="41"/>
    </row>
    <row r="65" spans="4:7" ht="13">
      <c r="D65" s="41"/>
      <c r="E65" s="41"/>
      <c r="F65" s="41"/>
      <c r="G65" s="41"/>
    </row>
    <row r="66" spans="4:7" ht="13">
      <c r="D66" s="41"/>
      <c r="E66" s="41"/>
      <c r="F66" s="41"/>
      <c r="G66" s="41"/>
    </row>
    <row r="67" spans="4:7" ht="13">
      <c r="D67" s="41"/>
      <c r="E67" s="41"/>
      <c r="F67" s="41"/>
      <c r="G67" s="41"/>
    </row>
    <row r="68" spans="4:7" ht="13">
      <c r="D68" s="41"/>
      <c r="E68" s="41"/>
      <c r="F68" s="41"/>
      <c r="G68" s="41"/>
    </row>
    <row r="69" spans="4:7" ht="13">
      <c r="D69" s="41"/>
      <c r="E69" s="41"/>
      <c r="F69" s="41"/>
      <c r="G69" s="41"/>
    </row>
    <row r="70" spans="4:7" ht="13">
      <c r="D70" s="41"/>
      <c r="E70" s="41"/>
      <c r="F70" s="41"/>
      <c r="G70" s="41"/>
    </row>
    <row r="71" spans="4:7" ht="13">
      <c r="D71" s="41"/>
      <c r="E71" s="41"/>
      <c r="F71" s="41"/>
      <c r="G71" s="41"/>
    </row>
    <row r="72" spans="4:7" ht="13">
      <c r="D72" s="41"/>
      <c r="E72" s="41"/>
      <c r="F72" s="41"/>
      <c r="G72" s="41"/>
    </row>
    <row r="73" spans="4:7" ht="13">
      <c r="D73" s="41"/>
      <c r="E73" s="41"/>
      <c r="F73" s="41"/>
      <c r="G73" s="41"/>
    </row>
    <row r="74" spans="4:7" ht="13">
      <c r="D74" s="41"/>
      <c r="E74" s="41"/>
      <c r="F74" s="41"/>
      <c r="G74" s="41"/>
    </row>
    <row r="75" spans="4:7" ht="13">
      <c r="D75" s="41"/>
      <c r="E75" s="41"/>
      <c r="F75" s="41"/>
      <c r="G75" s="41"/>
    </row>
    <row r="76" spans="4:7" ht="13">
      <c r="D76" s="41"/>
      <c r="E76" s="41"/>
      <c r="F76" s="41"/>
      <c r="G76" s="41"/>
    </row>
    <row r="77" spans="4:7" ht="13">
      <c r="D77" s="41"/>
      <c r="E77" s="41"/>
      <c r="F77" s="41"/>
      <c r="G77" s="41"/>
    </row>
    <row r="78" spans="4:7" ht="13">
      <c r="D78" s="41"/>
      <c r="E78" s="41"/>
      <c r="F78" s="41"/>
      <c r="G78" s="41"/>
    </row>
    <row r="79" spans="4:7" ht="13">
      <c r="D79" s="41"/>
      <c r="E79" s="41"/>
      <c r="F79" s="41"/>
      <c r="G79" s="41"/>
    </row>
    <row r="80" spans="4:7" ht="13">
      <c r="D80" s="41"/>
      <c r="E80" s="41"/>
      <c r="F80" s="41"/>
      <c r="G80" s="41"/>
    </row>
    <row r="81" spans="4:7" ht="13">
      <c r="D81" s="41"/>
      <c r="E81" s="41"/>
      <c r="F81" s="41"/>
      <c r="G81" s="41"/>
    </row>
    <row r="82" spans="4:7" ht="13">
      <c r="D82" s="41"/>
      <c r="E82" s="41"/>
      <c r="F82" s="41"/>
      <c r="G82" s="41"/>
    </row>
    <row r="83" spans="4:7" ht="13">
      <c r="D83" s="41"/>
      <c r="E83" s="41"/>
      <c r="F83" s="41"/>
      <c r="G83" s="41"/>
    </row>
    <row r="84" spans="4:7" ht="13">
      <c r="D84" s="41"/>
      <c r="E84" s="41"/>
      <c r="F84" s="41"/>
      <c r="G84" s="41"/>
    </row>
    <row r="85" spans="4:7" ht="13">
      <c r="D85" s="41"/>
      <c r="E85" s="41"/>
      <c r="F85" s="41"/>
      <c r="G85" s="41"/>
    </row>
    <row r="86" spans="4:7" ht="13">
      <c r="D86" s="41"/>
      <c r="E86" s="41"/>
      <c r="F86" s="41"/>
      <c r="G86" s="41"/>
    </row>
    <row r="87" spans="4:7" ht="13">
      <c r="D87" s="41"/>
      <c r="E87" s="41"/>
      <c r="F87" s="41"/>
      <c r="G87" s="41"/>
    </row>
    <row r="88" spans="4:7" ht="13">
      <c r="D88" s="41"/>
      <c r="E88" s="41"/>
      <c r="F88" s="41"/>
      <c r="G88" s="41"/>
    </row>
    <row r="89" spans="4:7" ht="13">
      <c r="D89" s="41"/>
      <c r="E89" s="41"/>
      <c r="F89" s="41"/>
      <c r="G89" s="41"/>
    </row>
    <row r="90" spans="4:7" ht="13">
      <c r="D90" s="41"/>
      <c r="E90" s="41"/>
      <c r="F90" s="41"/>
      <c r="G90" s="41"/>
    </row>
    <row r="91" spans="4:7" ht="13">
      <c r="D91" s="41"/>
      <c r="E91" s="41"/>
      <c r="F91" s="41"/>
      <c r="G91" s="41"/>
    </row>
    <row r="92" spans="4:7" ht="13">
      <c r="D92" s="41"/>
      <c r="E92" s="41"/>
      <c r="F92" s="41"/>
      <c r="G92" s="41"/>
    </row>
    <row r="93" spans="4:7" ht="13">
      <c r="D93" s="41"/>
      <c r="E93" s="41"/>
      <c r="F93" s="41"/>
      <c r="G93" s="41"/>
    </row>
    <row r="94" spans="4:7" ht="13">
      <c r="D94" s="41"/>
      <c r="E94" s="41"/>
      <c r="F94" s="41"/>
      <c r="G94" s="41"/>
    </row>
    <row r="95" spans="4:7" ht="13">
      <c r="D95" s="41"/>
      <c r="E95" s="41"/>
      <c r="F95" s="41"/>
      <c r="G95" s="41"/>
    </row>
    <row r="96" spans="4:7" ht="13">
      <c r="D96" s="41"/>
      <c r="E96" s="41"/>
      <c r="F96" s="41"/>
      <c r="G96" s="41"/>
    </row>
    <row r="97" spans="4:7" ht="13">
      <c r="D97" s="41"/>
      <c r="E97" s="41"/>
      <c r="F97" s="41"/>
      <c r="G97" s="41"/>
    </row>
    <row r="98" spans="4:7" ht="13">
      <c r="D98" s="41"/>
      <c r="E98" s="41"/>
      <c r="F98" s="41"/>
      <c r="G98" s="41"/>
    </row>
    <row r="99" spans="4:7" ht="13">
      <c r="D99" s="41"/>
      <c r="E99" s="41"/>
      <c r="F99" s="41"/>
      <c r="G99" s="41"/>
    </row>
    <row r="100" spans="4:7" ht="13">
      <c r="D100" s="41"/>
      <c r="E100" s="41"/>
      <c r="F100" s="41"/>
      <c r="G100" s="41"/>
    </row>
    <row r="101" spans="4:7" ht="13">
      <c r="D101" s="41"/>
      <c r="E101" s="41"/>
      <c r="F101" s="41"/>
      <c r="G101" s="41"/>
    </row>
    <row r="102" spans="4:7" ht="13">
      <c r="D102" s="41"/>
      <c r="E102" s="41"/>
      <c r="F102" s="41"/>
      <c r="G102" s="41"/>
    </row>
    <row r="103" spans="4:7" ht="13">
      <c r="D103" s="41"/>
      <c r="E103" s="41"/>
      <c r="F103" s="41"/>
      <c r="G103" s="41"/>
    </row>
    <row r="104" spans="4:7" ht="13">
      <c r="D104" s="41"/>
      <c r="E104" s="41"/>
      <c r="F104" s="41"/>
      <c r="G104" s="41"/>
    </row>
    <row r="105" spans="4:7" ht="13">
      <c r="D105" s="41"/>
      <c r="E105" s="41"/>
      <c r="F105" s="41"/>
      <c r="G105" s="41"/>
    </row>
    <row r="106" spans="4:7" ht="13">
      <c r="D106" s="41"/>
      <c r="E106" s="41"/>
      <c r="F106" s="41"/>
      <c r="G106" s="41"/>
    </row>
    <row r="107" spans="4:7" ht="13">
      <c r="D107" s="41"/>
      <c r="E107" s="41"/>
      <c r="F107" s="41"/>
      <c r="G107" s="41"/>
    </row>
    <row r="108" spans="4:7" ht="13">
      <c r="D108" s="41"/>
      <c r="E108" s="41"/>
      <c r="F108" s="41"/>
      <c r="G108" s="41"/>
    </row>
    <row r="109" spans="4:7" ht="13">
      <c r="D109" s="41"/>
      <c r="E109" s="41"/>
      <c r="F109" s="41"/>
      <c r="G109" s="41"/>
    </row>
    <row r="110" spans="4:7" ht="13">
      <c r="D110" s="41"/>
      <c r="E110" s="41"/>
      <c r="F110" s="41"/>
      <c r="G110" s="41"/>
    </row>
    <row r="111" spans="4:7" ht="13">
      <c r="D111" s="41"/>
      <c r="E111" s="41"/>
      <c r="F111" s="41"/>
      <c r="G111" s="41"/>
    </row>
    <row r="112" spans="4:7" ht="13">
      <c r="D112" s="41"/>
      <c r="E112" s="41"/>
      <c r="F112" s="41"/>
      <c r="G112" s="41"/>
    </row>
    <row r="113" spans="4:7" ht="13">
      <c r="D113" s="41"/>
      <c r="E113" s="41"/>
      <c r="F113" s="41"/>
      <c r="G113" s="41"/>
    </row>
    <row r="114" spans="4:7" ht="13">
      <c r="D114" s="41"/>
      <c r="E114" s="41"/>
      <c r="F114" s="41"/>
      <c r="G114" s="41"/>
    </row>
    <row r="115" spans="4:7" ht="13">
      <c r="D115" s="41"/>
      <c r="E115" s="41"/>
      <c r="F115" s="41"/>
      <c r="G115" s="41"/>
    </row>
    <row r="116" spans="4:7" ht="13">
      <c r="D116" s="41"/>
      <c r="E116" s="41"/>
      <c r="F116" s="41"/>
      <c r="G116" s="41"/>
    </row>
    <row r="117" spans="4:7" ht="13">
      <c r="D117" s="41"/>
      <c r="E117" s="41"/>
      <c r="F117" s="41"/>
      <c r="G117" s="41"/>
    </row>
    <row r="118" spans="4:7" ht="13">
      <c r="D118" s="41"/>
      <c r="E118" s="41"/>
      <c r="F118" s="41"/>
      <c r="G118" s="41"/>
    </row>
    <row r="119" spans="4:7" ht="13">
      <c r="D119" s="41"/>
      <c r="E119" s="41"/>
      <c r="F119" s="41"/>
      <c r="G119" s="41"/>
    </row>
    <row r="120" spans="4:7" ht="13">
      <c r="D120" s="41"/>
      <c r="E120" s="41"/>
      <c r="F120" s="41"/>
      <c r="G120" s="41"/>
    </row>
    <row r="121" spans="4:7" ht="13">
      <c r="D121" s="41"/>
      <c r="E121" s="41"/>
      <c r="F121" s="41"/>
      <c r="G121" s="41"/>
    </row>
    <row r="122" spans="4:7" ht="13">
      <c r="D122" s="41"/>
      <c r="E122" s="41"/>
      <c r="F122" s="41"/>
      <c r="G122" s="41"/>
    </row>
    <row r="123" spans="4:7" ht="13">
      <c r="D123" s="41"/>
      <c r="E123" s="41"/>
      <c r="F123" s="41"/>
      <c r="G123" s="41"/>
    </row>
    <row r="124" spans="4:7" ht="13">
      <c r="D124" s="41"/>
      <c r="E124" s="41"/>
      <c r="F124" s="41"/>
      <c r="G124" s="41"/>
    </row>
    <row r="125" spans="4:7" ht="13">
      <c r="D125" s="41"/>
      <c r="E125" s="41"/>
      <c r="F125" s="41"/>
      <c r="G125" s="41"/>
    </row>
    <row r="126" spans="4:7" ht="13">
      <c r="D126" s="41"/>
      <c r="E126" s="41"/>
      <c r="F126" s="41"/>
      <c r="G126" s="41"/>
    </row>
    <row r="127" spans="4:7" ht="13">
      <c r="D127" s="41"/>
      <c r="E127" s="41"/>
      <c r="F127" s="41"/>
      <c r="G127" s="41"/>
    </row>
    <row r="128" spans="4:7" ht="13">
      <c r="D128" s="41"/>
      <c r="E128" s="41"/>
      <c r="F128" s="41"/>
      <c r="G128" s="41"/>
    </row>
    <row r="129" spans="4:7" ht="13">
      <c r="D129" s="41"/>
      <c r="E129" s="41"/>
      <c r="F129" s="41"/>
      <c r="G129" s="41"/>
    </row>
    <row r="130" spans="4:7" ht="13">
      <c r="D130" s="41"/>
      <c r="E130" s="41"/>
      <c r="F130" s="41"/>
      <c r="G130" s="41"/>
    </row>
    <row r="131" spans="4:7" ht="13">
      <c r="D131" s="41"/>
      <c r="E131" s="41"/>
      <c r="F131" s="41"/>
      <c r="G131" s="41"/>
    </row>
    <row r="132" spans="4:7" ht="13">
      <c r="D132" s="41"/>
      <c r="E132" s="41"/>
      <c r="F132" s="41"/>
      <c r="G132" s="41"/>
    </row>
    <row r="133" spans="4:7" ht="13">
      <c r="D133" s="41"/>
      <c r="E133" s="41"/>
      <c r="F133" s="41"/>
      <c r="G133" s="41"/>
    </row>
    <row r="134" spans="4:7" ht="13">
      <c r="D134" s="41"/>
      <c r="E134" s="41"/>
      <c r="F134" s="41"/>
      <c r="G134" s="41"/>
    </row>
    <row r="135" spans="4:7" ht="13">
      <c r="D135" s="41"/>
      <c r="E135" s="41"/>
      <c r="F135" s="41"/>
      <c r="G135" s="41"/>
    </row>
    <row r="136" spans="4:7" ht="13">
      <c r="D136" s="41"/>
      <c r="E136" s="41"/>
      <c r="F136" s="41"/>
      <c r="G136" s="41"/>
    </row>
    <row r="137" spans="4:7" ht="13">
      <c r="D137" s="41"/>
      <c r="E137" s="41"/>
      <c r="F137" s="41"/>
      <c r="G137" s="41"/>
    </row>
    <row r="138" spans="4:7" ht="13">
      <c r="D138" s="41"/>
      <c r="E138" s="41"/>
      <c r="F138" s="41"/>
      <c r="G138" s="41"/>
    </row>
    <row r="139" spans="4:7" ht="13">
      <c r="D139" s="41"/>
      <c r="E139" s="41"/>
      <c r="F139" s="41"/>
      <c r="G139" s="41"/>
    </row>
    <row r="140" spans="4:7" ht="13">
      <c r="D140" s="41"/>
      <c r="E140" s="41"/>
      <c r="F140" s="41"/>
      <c r="G140" s="41"/>
    </row>
    <row r="141" spans="4:7" ht="13">
      <c r="D141" s="41"/>
      <c r="E141" s="41"/>
      <c r="F141" s="41"/>
      <c r="G141" s="41"/>
    </row>
    <row r="142" spans="4:7" ht="13">
      <c r="D142" s="41"/>
      <c r="E142" s="41"/>
      <c r="F142" s="41"/>
      <c r="G142" s="41"/>
    </row>
    <row r="143" spans="4:7" ht="13">
      <c r="D143" s="41"/>
      <c r="E143" s="41"/>
      <c r="F143" s="41"/>
      <c r="G143" s="41"/>
    </row>
    <row r="144" spans="4:7" ht="13">
      <c r="D144" s="41"/>
      <c r="E144" s="41"/>
      <c r="F144" s="41"/>
      <c r="G144" s="41"/>
    </row>
    <row r="145" spans="4:7" ht="13">
      <c r="D145" s="41"/>
      <c r="E145" s="41"/>
      <c r="F145" s="41"/>
      <c r="G145" s="41"/>
    </row>
    <row r="146" spans="4:7" ht="13">
      <c r="D146" s="41"/>
      <c r="E146" s="41"/>
      <c r="F146" s="41"/>
      <c r="G146" s="41"/>
    </row>
    <row r="147" spans="4:7" ht="13">
      <c r="D147" s="41"/>
      <c r="E147" s="41"/>
      <c r="F147" s="41"/>
      <c r="G147" s="41"/>
    </row>
    <row r="148" spans="4:7" ht="13">
      <c r="D148" s="41"/>
      <c r="E148" s="41"/>
      <c r="F148" s="41"/>
      <c r="G148" s="41"/>
    </row>
    <row r="149" spans="4:7" ht="13">
      <c r="D149" s="41"/>
      <c r="E149" s="41"/>
      <c r="F149" s="41"/>
      <c r="G149" s="41"/>
    </row>
    <row r="150" spans="4:7" ht="13">
      <c r="D150" s="41"/>
      <c r="E150" s="41"/>
      <c r="F150" s="41"/>
      <c r="G150" s="41"/>
    </row>
    <row r="151" spans="4:7" ht="13">
      <c r="D151" s="41"/>
      <c r="E151" s="41"/>
      <c r="F151" s="41"/>
      <c r="G151" s="41"/>
    </row>
    <row r="152" spans="4:7" ht="13">
      <c r="D152" s="41"/>
      <c r="E152" s="41"/>
      <c r="F152" s="41"/>
      <c r="G152" s="41"/>
    </row>
    <row r="153" spans="4:7" ht="13">
      <c r="D153" s="41"/>
      <c r="E153" s="41"/>
      <c r="F153" s="41"/>
      <c r="G153" s="41"/>
    </row>
    <row r="154" spans="4:7" ht="13">
      <c r="D154" s="41"/>
      <c r="E154" s="41"/>
      <c r="F154" s="41"/>
      <c r="G154" s="41"/>
    </row>
    <row r="155" spans="4:7" ht="13">
      <c r="D155" s="41"/>
      <c r="E155" s="41"/>
      <c r="F155" s="41"/>
      <c r="G155" s="41"/>
    </row>
    <row r="156" spans="4:7" ht="13">
      <c r="D156" s="41"/>
      <c r="E156" s="41"/>
      <c r="F156" s="41"/>
      <c r="G156" s="41"/>
    </row>
    <row r="157" spans="4:7" ht="13">
      <c r="D157" s="41"/>
      <c r="E157" s="41"/>
      <c r="F157" s="41"/>
      <c r="G157" s="41"/>
    </row>
    <row r="158" spans="4:7" ht="13">
      <c r="D158" s="41"/>
      <c r="E158" s="41"/>
      <c r="F158" s="41"/>
      <c r="G158" s="41"/>
    </row>
    <row r="159" spans="4:7" ht="13">
      <c r="D159" s="41"/>
      <c r="E159" s="41"/>
      <c r="F159" s="41"/>
      <c r="G159" s="41"/>
    </row>
    <row r="160" spans="4:7" ht="13">
      <c r="D160" s="41"/>
      <c r="E160" s="41"/>
      <c r="F160" s="41"/>
      <c r="G160" s="41"/>
    </row>
    <row r="161" spans="4:7" ht="13">
      <c r="D161" s="41"/>
      <c r="E161" s="41"/>
      <c r="F161" s="41"/>
      <c r="G161" s="41"/>
    </row>
    <row r="162" spans="4:7" ht="13">
      <c r="D162" s="41"/>
      <c r="E162" s="41"/>
      <c r="F162" s="41"/>
      <c r="G162" s="41"/>
    </row>
    <row r="163" spans="4:7" ht="13">
      <c r="D163" s="41"/>
      <c r="E163" s="41"/>
      <c r="F163" s="41"/>
      <c r="G163" s="41"/>
    </row>
    <row r="164" spans="4:7" ht="13">
      <c r="D164" s="41"/>
      <c r="E164" s="41"/>
      <c r="F164" s="41"/>
      <c r="G164" s="41"/>
    </row>
    <row r="165" spans="4:7" ht="13">
      <c r="D165" s="41"/>
      <c r="E165" s="41"/>
      <c r="F165" s="41"/>
      <c r="G165" s="41"/>
    </row>
    <row r="166" spans="4:7" ht="13">
      <c r="D166" s="41"/>
      <c r="E166" s="41"/>
      <c r="F166" s="41"/>
      <c r="G166" s="41"/>
    </row>
    <row r="167" spans="4:7" ht="13">
      <c r="D167" s="41"/>
      <c r="E167" s="41"/>
      <c r="F167" s="41"/>
      <c r="G167" s="41"/>
    </row>
    <row r="168" spans="4:7" ht="13">
      <c r="D168" s="41"/>
      <c r="E168" s="41"/>
      <c r="F168" s="41"/>
      <c r="G168" s="41"/>
    </row>
    <row r="169" spans="4:7" ht="13">
      <c r="D169" s="41"/>
      <c r="E169" s="41"/>
      <c r="F169" s="41"/>
      <c r="G169" s="41"/>
    </row>
    <row r="170" spans="4:7" ht="13">
      <c r="D170" s="41"/>
      <c r="E170" s="41"/>
      <c r="F170" s="41"/>
      <c r="G170" s="41"/>
    </row>
    <row r="171" spans="4:7" ht="13">
      <c r="D171" s="41"/>
      <c r="E171" s="41"/>
      <c r="F171" s="41"/>
      <c r="G171" s="41"/>
    </row>
    <row r="172" spans="4:7" ht="13">
      <c r="D172" s="41"/>
      <c r="E172" s="41"/>
      <c r="F172" s="41"/>
      <c r="G172" s="41"/>
    </row>
    <row r="173" spans="4:7" ht="13">
      <c r="D173" s="41"/>
      <c r="E173" s="41"/>
      <c r="F173" s="41"/>
      <c r="G173" s="41"/>
    </row>
    <row r="174" spans="4:7" ht="13">
      <c r="D174" s="41"/>
      <c r="E174" s="41"/>
      <c r="F174" s="41"/>
      <c r="G174" s="41"/>
    </row>
    <row r="175" spans="4:7" ht="13">
      <c r="D175" s="41"/>
      <c r="E175" s="41"/>
      <c r="F175" s="41"/>
      <c r="G175" s="41"/>
    </row>
    <row r="176" spans="4:7" ht="13">
      <c r="D176" s="41"/>
      <c r="E176" s="41"/>
      <c r="F176" s="41"/>
      <c r="G176" s="41"/>
    </row>
    <row r="177" spans="4:7" ht="13">
      <c r="D177" s="41"/>
      <c r="E177" s="41"/>
      <c r="F177" s="41"/>
      <c r="G177" s="41"/>
    </row>
    <row r="178" spans="4:7" ht="13">
      <c r="D178" s="41"/>
      <c r="E178" s="41"/>
      <c r="F178" s="41"/>
      <c r="G178" s="41"/>
    </row>
    <row r="179" spans="4:7" ht="13">
      <c r="D179" s="41"/>
      <c r="E179" s="41"/>
      <c r="F179" s="41"/>
      <c r="G179" s="41"/>
    </row>
    <row r="180" spans="4:7" ht="13">
      <c r="D180" s="41"/>
      <c r="E180" s="41"/>
      <c r="F180" s="41"/>
      <c r="G180" s="41"/>
    </row>
    <row r="181" spans="4:7" ht="13">
      <c r="D181" s="41"/>
      <c r="E181" s="41"/>
      <c r="F181" s="41"/>
      <c r="G181" s="41"/>
    </row>
    <row r="182" spans="4:7" ht="13">
      <c r="D182" s="41"/>
      <c r="E182" s="41"/>
      <c r="F182" s="41"/>
      <c r="G182" s="41"/>
    </row>
    <row r="183" spans="4:7" ht="13">
      <c r="D183" s="41"/>
      <c r="E183" s="41"/>
      <c r="F183" s="41"/>
      <c r="G183" s="41"/>
    </row>
    <row r="184" spans="4:7" ht="13">
      <c r="D184" s="41"/>
      <c r="E184" s="41"/>
      <c r="F184" s="41"/>
      <c r="G184" s="41"/>
    </row>
    <row r="185" spans="4:7" ht="13">
      <c r="D185" s="41"/>
      <c r="E185" s="41"/>
      <c r="F185" s="41"/>
      <c r="G185" s="41"/>
    </row>
    <row r="186" spans="4:7" ht="13">
      <c r="D186" s="41"/>
      <c r="E186" s="41"/>
      <c r="F186" s="41"/>
      <c r="G186" s="41"/>
    </row>
    <row r="187" spans="4:7" ht="13">
      <c r="D187" s="41"/>
      <c r="E187" s="41"/>
      <c r="F187" s="41"/>
      <c r="G187" s="41"/>
    </row>
    <row r="188" spans="4:7" ht="13">
      <c r="D188" s="41"/>
      <c r="E188" s="41"/>
      <c r="F188" s="41"/>
      <c r="G188" s="41"/>
    </row>
    <row r="189" spans="4:7" ht="13">
      <c r="D189" s="41"/>
      <c r="E189" s="41"/>
      <c r="F189" s="41"/>
      <c r="G189" s="41"/>
    </row>
    <row r="190" spans="4:7" ht="13">
      <c r="D190" s="41"/>
      <c r="E190" s="41"/>
      <c r="F190" s="41"/>
      <c r="G190" s="41"/>
    </row>
    <row r="191" spans="4:7" ht="13">
      <c r="D191" s="41"/>
      <c r="E191" s="41"/>
      <c r="F191" s="41"/>
      <c r="G191" s="41"/>
    </row>
    <row r="192" spans="4:7" ht="13">
      <c r="D192" s="41"/>
      <c r="E192" s="41"/>
      <c r="F192" s="41"/>
      <c r="G192" s="41"/>
    </row>
    <row r="193" spans="4:7" ht="13">
      <c r="D193" s="41"/>
      <c r="E193" s="41"/>
      <c r="F193" s="41"/>
      <c r="G193" s="41"/>
    </row>
    <row r="194" spans="4:7" ht="13">
      <c r="D194" s="41"/>
      <c r="E194" s="41"/>
      <c r="F194" s="41"/>
      <c r="G194" s="41"/>
    </row>
    <row r="195" spans="4:7" ht="13">
      <c r="D195" s="41"/>
      <c r="E195" s="41"/>
      <c r="F195" s="41"/>
      <c r="G195" s="41"/>
    </row>
    <row r="196" spans="4:7" ht="13">
      <c r="D196" s="41"/>
      <c r="E196" s="41"/>
      <c r="F196" s="41"/>
      <c r="G196" s="41"/>
    </row>
    <row r="197" spans="4:7" ht="13">
      <c r="D197" s="41"/>
      <c r="E197" s="41"/>
      <c r="F197" s="41"/>
      <c r="G197" s="41"/>
    </row>
    <row r="198" spans="4:7" ht="13">
      <c r="D198" s="41"/>
      <c r="E198" s="41"/>
      <c r="F198" s="41"/>
      <c r="G198" s="41"/>
    </row>
    <row r="199" spans="4:7" ht="13">
      <c r="D199" s="41"/>
      <c r="E199" s="41"/>
      <c r="F199" s="41"/>
      <c r="G199" s="41"/>
    </row>
    <row r="200" spans="4:7" ht="13">
      <c r="D200" s="41"/>
      <c r="E200" s="41"/>
      <c r="F200" s="41"/>
      <c r="G200" s="41"/>
    </row>
    <row r="201" spans="4:7" ht="13">
      <c r="D201" s="41"/>
      <c r="E201" s="41"/>
      <c r="F201" s="41"/>
      <c r="G201" s="41"/>
    </row>
    <row r="202" spans="4:7" ht="13">
      <c r="D202" s="41"/>
      <c r="E202" s="41"/>
      <c r="F202" s="41"/>
      <c r="G202" s="41"/>
    </row>
    <row r="203" spans="4:7" ht="13">
      <c r="D203" s="41"/>
      <c r="E203" s="41"/>
      <c r="F203" s="41"/>
      <c r="G203" s="41"/>
    </row>
    <row r="204" spans="4:7" ht="13">
      <c r="D204" s="41"/>
      <c r="E204" s="41"/>
      <c r="F204" s="41"/>
      <c r="G204" s="41"/>
    </row>
    <row r="205" spans="4:7" ht="13">
      <c r="D205" s="41"/>
      <c r="E205" s="41"/>
      <c r="F205" s="41"/>
      <c r="G205" s="41"/>
    </row>
    <row r="206" spans="4:7" ht="13">
      <c r="D206" s="41"/>
      <c r="E206" s="41"/>
      <c r="F206" s="41"/>
      <c r="G206" s="41"/>
    </row>
    <row r="207" spans="4:7" ht="13">
      <c r="D207" s="41"/>
      <c r="E207" s="41"/>
      <c r="F207" s="41"/>
      <c r="G207" s="41"/>
    </row>
    <row r="208" spans="4:7" ht="13">
      <c r="D208" s="41"/>
      <c r="E208" s="41"/>
      <c r="F208" s="41"/>
      <c r="G208" s="41"/>
    </row>
    <row r="209" spans="4:7" ht="13">
      <c r="D209" s="41"/>
      <c r="E209" s="41"/>
      <c r="F209" s="41"/>
      <c r="G209" s="41"/>
    </row>
    <row r="210" spans="4:7" ht="13">
      <c r="D210" s="41"/>
      <c r="E210" s="41"/>
      <c r="F210" s="41"/>
      <c r="G210" s="41"/>
    </row>
    <row r="211" spans="4:7" ht="13">
      <c r="D211" s="41"/>
      <c r="E211" s="41"/>
      <c r="F211" s="41"/>
      <c r="G211" s="41"/>
    </row>
    <row r="212" spans="4:7" ht="13">
      <c r="D212" s="41"/>
      <c r="E212" s="41"/>
      <c r="F212" s="41"/>
      <c r="G212" s="41"/>
    </row>
    <row r="213" spans="4:7" ht="13">
      <c r="D213" s="41"/>
      <c r="E213" s="41"/>
      <c r="F213" s="41"/>
      <c r="G213" s="41"/>
    </row>
    <row r="214" spans="4:7" ht="13">
      <c r="D214" s="41"/>
      <c r="E214" s="41"/>
      <c r="F214" s="41"/>
      <c r="G214" s="41"/>
    </row>
    <row r="215" spans="4:7" ht="13">
      <c r="D215" s="41"/>
      <c r="E215" s="41"/>
      <c r="F215" s="41"/>
      <c r="G215" s="41"/>
    </row>
    <row r="216" spans="4:7" ht="13">
      <c r="D216" s="41"/>
      <c r="E216" s="41"/>
      <c r="F216" s="41"/>
      <c r="G216" s="41"/>
    </row>
    <row r="217" spans="4:7" ht="13">
      <c r="D217" s="41"/>
      <c r="E217" s="41"/>
      <c r="F217" s="41"/>
      <c r="G217" s="41"/>
    </row>
    <row r="218" spans="4:7" ht="13">
      <c r="D218" s="41"/>
      <c r="E218" s="41"/>
      <c r="F218" s="41"/>
      <c r="G218" s="41"/>
    </row>
    <row r="219" spans="4:7" ht="13">
      <c r="D219" s="41"/>
      <c r="E219" s="41"/>
      <c r="F219" s="41"/>
      <c r="G219" s="41"/>
    </row>
    <row r="220" spans="4:7" ht="13">
      <c r="D220" s="41"/>
      <c r="E220" s="41"/>
      <c r="F220" s="41"/>
      <c r="G220" s="41"/>
    </row>
    <row r="221" spans="4:7" ht="13">
      <c r="D221" s="41"/>
      <c r="E221" s="41"/>
      <c r="F221" s="41"/>
      <c r="G221" s="41"/>
    </row>
    <row r="222" spans="4:7" ht="13">
      <c r="D222" s="41"/>
      <c r="E222" s="41"/>
      <c r="F222" s="41"/>
      <c r="G222" s="41"/>
    </row>
    <row r="223" spans="4:7" ht="13">
      <c r="D223" s="41"/>
      <c r="E223" s="41"/>
      <c r="F223" s="41"/>
      <c r="G223" s="41"/>
    </row>
    <row r="224" spans="4:7" ht="13">
      <c r="D224" s="41"/>
      <c r="E224" s="41"/>
      <c r="F224" s="41"/>
      <c r="G224" s="41"/>
    </row>
    <row r="225" spans="4:7" ht="13">
      <c r="D225" s="41"/>
      <c r="E225" s="41"/>
      <c r="F225" s="41"/>
      <c r="G225" s="41"/>
    </row>
    <row r="226" spans="4:7" ht="13">
      <c r="D226" s="41"/>
      <c r="E226" s="41"/>
      <c r="F226" s="41"/>
      <c r="G226" s="41"/>
    </row>
    <row r="227" spans="4:7" ht="13">
      <c r="D227" s="41"/>
      <c r="E227" s="41"/>
      <c r="F227" s="41"/>
      <c r="G227" s="41"/>
    </row>
    <row r="228" spans="4:7" ht="13">
      <c r="D228" s="41"/>
      <c r="E228" s="41"/>
      <c r="F228" s="41"/>
      <c r="G228" s="41"/>
    </row>
    <row r="229" spans="4:7" ht="13">
      <c r="D229" s="41"/>
      <c r="E229" s="41"/>
      <c r="F229" s="41"/>
      <c r="G229" s="41"/>
    </row>
    <row r="230" spans="4:7" ht="13">
      <c r="D230" s="41"/>
      <c r="E230" s="41"/>
      <c r="F230" s="41"/>
      <c r="G230" s="41"/>
    </row>
    <row r="231" spans="4:7" ht="13">
      <c r="D231" s="41"/>
      <c r="E231" s="41"/>
      <c r="F231" s="41"/>
      <c r="G231" s="41"/>
    </row>
    <row r="232" spans="4:7" ht="13">
      <c r="D232" s="41"/>
      <c r="E232" s="41"/>
      <c r="F232" s="41"/>
      <c r="G232" s="41"/>
    </row>
    <row r="233" spans="4:7" ht="13">
      <c r="D233" s="41"/>
      <c r="E233" s="41"/>
      <c r="F233" s="41"/>
      <c r="G233" s="41"/>
    </row>
    <row r="234" spans="4:7" ht="13">
      <c r="D234" s="41"/>
      <c r="E234" s="41"/>
      <c r="F234" s="41"/>
      <c r="G234" s="41"/>
    </row>
    <row r="235" spans="4:7" ht="13">
      <c r="D235" s="41"/>
      <c r="E235" s="41"/>
      <c r="F235" s="41"/>
      <c r="G235" s="41"/>
    </row>
    <row r="236" spans="4:7" ht="13">
      <c r="D236" s="41"/>
      <c r="E236" s="41"/>
      <c r="F236" s="41"/>
      <c r="G236" s="41"/>
    </row>
    <row r="237" spans="4:7" ht="13">
      <c r="D237" s="41"/>
      <c r="E237" s="41"/>
      <c r="F237" s="41"/>
      <c r="G237" s="41"/>
    </row>
    <row r="238" spans="4:7" ht="13">
      <c r="D238" s="41"/>
      <c r="E238" s="41"/>
      <c r="F238" s="41"/>
      <c r="G238" s="41"/>
    </row>
    <row r="239" spans="4:7" ht="13">
      <c r="D239" s="41"/>
      <c r="E239" s="41"/>
      <c r="F239" s="41"/>
      <c r="G239" s="41"/>
    </row>
    <row r="240" spans="4:7" ht="13">
      <c r="D240" s="41"/>
      <c r="E240" s="41"/>
      <c r="F240" s="41"/>
      <c r="G240" s="41"/>
    </row>
    <row r="241" spans="4:7" ht="13">
      <c r="D241" s="41"/>
      <c r="E241" s="41"/>
      <c r="F241" s="41"/>
      <c r="G241" s="41"/>
    </row>
    <row r="242" spans="4:7" ht="13">
      <c r="D242" s="41"/>
      <c r="E242" s="41"/>
      <c r="F242" s="41"/>
      <c r="G242" s="41"/>
    </row>
    <row r="243" spans="4:7" ht="13">
      <c r="D243" s="41"/>
      <c r="E243" s="41"/>
      <c r="F243" s="41"/>
      <c r="G243" s="41"/>
    </row>
    <row r="244" spans="4:7" ht="13">
      <c r="D244" s="41"/>
      <c r="E244" s="41"/>
      <c r="F244" s="41"/>
      <c r="G244" s="41"/>
    </row>
    <row r="245" spans="4:7" ht="13">
      <c r="D245" s="41"/>
      <c r="E245" s="41"/>
      <c r="F245" s="41"/>
      <c r="G245" s="41"/>
    </row>
    <row r="246" spans="4:7" ht="13">
      <c r="D246" s="41"/>
      <c r="E246" s="41"/>
      <c r="F246" s="41"/>
      <c r="G246" s="41"/>
    </row>
    <row r="247" spans="4:7" ht="13">
      <c r="D247" s="41"/>
      <c r="E247" s="41"/>
      <c r="F247" s="41"/>
      <c r="G247" s="41"/>
    </row>
    <row r="248" spans="4:7" ht="13">
      <c r="D248" s="41"/>
      <c r="E248" s="41"/>
      <c r="F248" s="41"/>
      <c r="G248" s="41"/>
    </row>
    <row r="249" spans="4:7" ht="13">
      <c r="D249" s="41"/>
      <c r="E249" s="41"/>
      <c r="F249" s="41"/>
      <c r="G249" s="41"/>
    </row>
    <row r="250" spans="4:7" ht="13">
      <c r="D250" s="41"/>
      <c r="E250" s="41"/>
      <c r="F250" s="41"/>
      <c r="G250" s="41"/>
    </row>
    <row r="251" spans="4:7" ht="13">
      <c r="D251" s="41"/>
      <c r="E251" s="41"/>
      <c r="F251" s="41"/>
      <c r="G251" s="41"/>
    </row>
    <row r="252" spans="4:7" ht="13">
      <c r="D252" s="41"/>
      <c r="E252" s="41"/>
      <c r="F252" s="41"/>
      <c r="G252" s="41"/>
    </row>
    <row r="253" spans="4:7" ht="13">
      <c r="D253" s="41"/>
      <c r="E253" s="41"/>
      <c r="F253" s="41"/>
      <c r="G253" s="41"/>
    </row>
    <row r="254" spans="4:7" ht="13">
      <c r="D254" s="41"/>
      <c r="E254" s="41"/>
      <c r="F254" s="41"/>
      <c r="G254" s="41"/>
    </row>
    <row r="255" spans="4:7" ht="13">
      <c r="D255" s="41"/>
      <c r="E255" s="41"/>
      <c r="F255" s="41"/>
      <c r="G255" s="41"/>
    </row>
    <row r="256" spans="4:7" ht="13">
      <c r="D256" s="41"/>
      <c r="E256" s="41"/>
      <c r="F256" s="41"/>
      <c r="G256" s="41"/>
    </row>
    <row r="257" spans="4:7" ht="13">
      <c r="D257" s="41"/>
      <c r="E257" s="41"/>
      <c r="F257" s="41"/>
      <c r="G257" s="41"/>
    </row>
    <row r="258" spans="4:7" ht="13">
      <c r="D258" s="41"/>
      <c r="E258" s="41"/>
      <c r="F258" s="41"/>
      <c r="G258" s="41"/>
    </row>
    <row r="259" spans="4:7" ht="13">
      <c r="D259" s="41"/>
      <c r="E259" s="41"/>
      <c r="F259" s="41"/>
      <c r="G259" s="41"/>
    </row>
    <row r="260" spans="4:7" ht="13">
      <c r="D260" s="41"/>
      <c r="E260" s="41"/>
      <c r="F260" s="41"/>
      <c r="G260" s="41"/>
    </row>
    <row r="261" spans="4:7" ht="13">
      <c r="D261" s="41"/>
      <c r="E261" s="41"/>
      <c r="F261" s="41"/>
      <c r="G261" s="41"/>
    </row>
    <row r="262" spans="4:7" ht="13">
      <c r="D262" s="41"/>
      <c r="E262" s="41"/>
      <c r="F262" s="41"/>
      <c r="G262" s="41"/>
    </row>
    <row r="263" spans="4:7" ht="13">
      <c r="D263" s="41"/>
      <c r="E263" s="41"/>
      <c r="F263" s="41"/>
      <c r="G263" s="41"/>
    </row>
    <row r="264" spans="4:7" ht="13">
      <c r="D264" s="41"/>
      <c r="E264" s="41"/>
      <c r="F264" s="41"/>
      <c r="G264" s="41"/>
    </row>
    <row r="265" spans="4:7" ht="13">
      <c r="D265" s="41"/>
      <c r="E265" s="41"/>
      <c r="F265" s="41"/>
      <c r="G265" s="41"/>
    </row>
    <row r="266" spans="4:7" ht="13">
      <c r="D266" s="41"/>
      <c r="E266" s="41"/>
      <c r="F266" s="41"/>
      <c r="G266" s="41"/>
    </row>
    <row r="267" spans="4:7" ht="13">
      <c r="D267" s="41"/>
      <c r="E267" s="41"/>
      <c r="F267" s="41"/>
      <c r="G267" s="41"/>
    </row>
    <row r="268" spans="4:7" ht="13">
      <c r="D268" s="41"/>
      <c r="E268" s="41"/>
      <c r="F268" s="41"/>
      <c r="G268" s="41"/>
    </row>
    <row r="269" spans="4:7" ht="13">
      <c r="D269" s="41"/>
      <c r="E269" s="41"/>
      <c r="F269" s="41"/>
      <c r="G269" s="41"/>
    </row>
    <row r="270" spans="4:7" ht="13">
      <c r="D270" s="41"/>
      <c r="E270" s="41"/>
      <c r="F270" s="41"/>
      <c r="G270" s="41"/>
    </row>
    <row r="271" spans="4:7" ht="13">
      <c r="D271" s="41"/>
      <c r="E271" s="41"/>
      <c r="F271" s="41"/>
      <c r="G271" s="41"/>
    </row>
    <row r="272" spans="4:7" ht="13">
      <c r="D272" s="41"/>
      <c r="E272" s="41"/>
      <c r="F272" s="41"/>
      <c r="G272" s="41"/>
    </row>
    <row r="273" spans="4:7" ht="13">
      <c r="D273" s="41"/>
      <c r="E273" s="41"/>
      <c r="F273" s="41"/>
      <c r="G273" s="41"/>
    </row>
    <row r="274" spans="4:7" ht="13">
      <c r="D274" s="41"/>
      <c r="E274" s="41"/>
      <c r="F274" s="41"/>
      <c r="G274" s="41"/>
    </row>
    <row r="275" spans="4:7" ht="13">
      <c r="D275" s="41"/>
      <c r="E275" s="41"/>
      <c r="F275" s="41"/>
      <c r="G275" s="41"/>
    </row>
    <row r="276" spans="4:7" ht="13">
      <c r="D276" s="41"/>
      <c r="E276" s="41"/>
      <c r="F276" s="41"/>
      <c r="G276" s="41"/>
    </row>
    <row r="277" spans="4:7" ht="13">
      <c r="D277" s="41"/>
      <c r="E277" s="41"/>
      <c r="F277" s="41"/>
      <c r="G277" s="41"/>
    </row>
    <row r="278" spans="4:7" ht="13">
      <c r="D278" s="41"/>
      <c r="E278" s="41"/>
      <c r="F278" s="41"/>
      <c r="G278" s="41"/>
    </row>
    <row r="279" spans="4:7" ht="13">
      <c r="D279" s="41"/>
      <c r="E279" s="41"/>
      <c r="F279" s="41"/>
      <c r="G279" s="41"/>
    </row>
    <row r="280" spans="4:7" ht="13">
      <c r="D280" s="41"/>
      <c r="E280" s="41"/>
      <c r="F280" s="41"/>
      <c r="G280" s="41"/>
    </row>
    <row r="281" spans="4:7" ht="13">
      <c r="D281" s="41"/>
      <c r="E281" s="41"/>
      <c r="F281" s="41"/>
      <c r="G281" s="41"/>
    </row>
    <row r="282" spans="4:7" ht="13">
      <c r="D282" s="41"/>
      <c r="E282" s="41"/>
      <c r="F282" s="41"/>
      <c r="G282" s="41"/>
    </row>
    <row r="283" spans="4:7" ht="13">
      <c r="D283" s="41"/>
      <c r="E283" s="41"/>
      <c r="F283" s="41"/>
      <c r="G283" s="41"/>
    </row>
    <row r="284" spans="4:7" ht="13">
      <c r="D284" s="41"/>
      <c r="E284" s="41"/>
      <c r="F284" s="41"/>
      <c r="G284" s="41"/>
    </row>
    <row r="285" spans="4:7" ht="13">
      <c r="D285" s="41"/>
      <c r="E285" s="41"/>
      <c r="F285" s="41"/>
      <c r="G285" s="41"/>
    </row>
    <row r="286" spans="4:7" ht="13">
      <c r="D286" s="41"/>
      <c r="E286" s="41"/>
      <c r="F286" s="41"/>
      <c r="G286" s="41"/>
    </row>
    <row r="287" spans="4:7" ht="13">
      <c r="D287" s="41"/>
      <c r="E287" s="41"/>
      <c r="F287" s="41"/>
      <c r="G287" s="41"/>
    </row>
    <row r="288" spans="4:7" ht="13">
      <c r="D288" s="41"/>
      <c r="E288" s="41"/>
      <c r="F288" s="41"/>
      <c r="G288" s="41"/>
    </row>
    <row r="289" spans="4:7" ht="13">
      <c r="D289" s="41"/>
      <c r="E289" s="41"/>
      <c r="F289" s="41"/>
      <c r="G289" s="41"/>
    </row>
    <row r="290" spans="4:7" ht="13">
      <c r="D290" s="41"/>
      <c r="E290" s="41"/>
      <c r="F290" s="41"/>
      <c r="G290" s="41"/>
    </row>
    <row r="291" spans="4:7" ht="13">
      <c r="D291" s="41"/>
      <c r="E291" s="41"/>
      <c r="F291" s="41"/>
      <c r="G291" s="41"/>
    </row>
    <row r="292" spans="4:7" ht="13">
      <c r="D292" s="41"/>
      <c r="E292" s="41"/>
      <c r="F292" s="41"/>
      <c r="G292" s="41"/>
    </row>
    <row r="293" spans="4:7" ht="13">
      <c r="D293" s="41"/>
      <c r="E293" s="41"/>
      <c r="F293" s="41"/>
      <c r="G293" s="41"/>
    </row>
    <row r="294" spans="4:7" ht="13">
      <c r="D294" s="41"/>
      <c r="E294" s="41"/>
      <c r="F294" s="41"/>
      <c r="G294" s="41"/>
    </row>
    <row r="295" spans="4:7" ht="13">
      <c r="D295" s="41"/>
      <c r="E295" s="41"/>
      <c r="F295" s="41"/>
      <c r="G295" s="41"/>
    </row>
    <row r="296" spans="4:7" ht="13">
      <c r="D296" s="41"/>
      <c r="E296" s="41"/>
      <c r="F296" s="41"/>
      <c r="G296" s="41"/>
    </row>
    <row r="297" spans="4:7" ht="13">
      <c r="D297" s="41"/>
      <c r="E297" s="41"/>
      <c r="F297" s="41"/>
      <c r="G297" s="41"/>
    </row>
    <row r="298" spans="4:7" ht="13">
      <c r="D298" s="41"/>
      <c r="E298" s="41"/>
      <c r="F298" s="41"/>
      <c r="G298" s="41"/>
    </row>
    <row r="299" spans="4:7" ht="13">
      <c r="D299" s="41"/>
      <c r="E299" s="41"/>
      <c r="F299" s="41"/>
      <c r="G299" s="41"/>
    </row>
    <row r="300" spans="4:7" ht="13">
      <c r="D300" s="41"/>
      <c r="E300" s="41"/>
      <c r="F300" s="41"/>
      <c r="G300" s="41"/>
    </row>
    <row r="301" spans="4:7" ht="13">
      <c r="D301" s="41"/>
      <c r="E301" s="41"/>
      <c r="F301" s="41"/>
      <c r="G301" s="41"/>
    </row>
    <row r="302" spans="4:7" ht="13">
      <c r="D302" s="41"/>
      <c r="E302" s="41"/>
      <c r="F302" s="41"/>
      <c r="G302" s="41"/>
    </row>
    <row r="303" spans="4:7" ht="13">
      <c r="D303" s="41"/>
      <c r="E303" s="41"/>
      <c r="F303" s="41"/>
      <c r="G303" s="41"/>
    </row>
    <row r="304" spans="4:7" ht="13">
      <c r="D304" s="41"/>
      <c r="E304" s="41"/>
      <c r="F304" s="41"/>
      <c r="G304" s="41"/>
    </row>
    <row r="305" spans="4:7" ht="13">
      <c r="D305" s="41"/>
      <c r="E305" s="41"/>
      <c r="F305" s="41"/>
      <c r="G305" s="41"/>
    </row>
    <row r="306" spans="4:7" ht="13">
      <c r="D306" s="41"/>
      <c r="E306" s="41"/>
      <c r="F306" s="41"/>
      <c r="G306" s="41"/>
    </row>
    <row r="307" spans="4:7" ht="13">
      <c r="D307" s="41"/>
      <c r="E307" s="41"/>
      <c r="F307" s="41"/>
      <c r="G307" s="41"/>
    </row>
    <row r="308" spans="4:7" ht="13">
      <c r="D308" s="41"/>
      <c r="E308" s="41"/>
      <c r="F308" s="41"/>
      <c r="G308" s="41"/>
    </row>
    <row r="309" spans="4:7" ht="13">
      <c r="D309" s="41"/>
      <c r="E309" s="41"/>
      <c r="F309" s="41"/>
      <c r="G309" s="41"/>
    </row>
    <row r="310" spans="4:7" ht="13">
      <c r="D310" s="41"/>
      <c r="E310" s="41"/>
      <c r="F310" s="41"/>
      <c r="G310" s="41"/>
    </row>
    <row r="311" spans="4:7" ht="13">
      <c r="D311" s="41"/>
      <c r="E311" s="41"/>
      <c r="F311" s="41"/>
      <c r="G311" s="41"/>
    </row>
    <row r="312" spans="4:7" ht="13">
      <c r="D312" s="41"/>
      <c r="E312" s="41"/>
      <c r="F312" s="41"/>
      <c r="G312" s="41"/>
    </row>
    <row r="313" spans="4:7" ht="13">
      <c r="D313" s="41"/>
      <c r="E313" s="41"/>
      <c r="F313" s="41"/>
      <c r="G313" s="41"/>
    </row>
    <row r="314" spans="4:7" ht="13">
      <c r="D314" s="41"/>
      <c r="E314" s="41"/>
      <c r="F314" s="41"/>
      <c r="G314" s="41"/>
    </row>
    <row r="315" spans="4:7" ht="13">
      <c r="D315" s="41"/>
      <c r="E315" s="41"/>
      <c r="F315" s="41"/>
      <c r="G315" s="41"/>
    </row>
    <row r="316" spans="4:7" ht="13">
      <c r="D316" s="41"/>
      <c r="E316" s="41"/>
      <c r="F316" s="41"/>
      <c r="G316" s="41"/>
    </row>
    <row r="317" spans="4:7" ht="13">
      <c r="D317" s="41"/>
      <c r="E317" s="41"/>
      <c r="F317" s="41"/>
      <c r="G317" s="41"/>
    </row>
    <row r="318" spans="4:7" ht="13">
      <c r="D318" s="41"/>
      <c r="E318" s="41"/>
      <c r="F318" s="41"/>
      <c r="G318" s="41"/>
    </row>
    <row r="319" spans="4:7" ht="13">
      <c r="D319" s="41"/>
      <c r="E319" s="41"/>
      <c r="F319" s="41"/>
      <c r="G319" s="41"/>
    </row>
    <row r="320" spans="4:7" ht="13">
      <c r="D320" s="41"/>
      <c r="E320" s="41"/>
      <c r="F320" s="41"/>
      <c r="G320" s="41"/>
    </row>
    <row r="321" spans="4:7" ht="13">
      <c r="D321" s="41"/>
      <c r="E321" s="41"/>
      <c r="F321" s="41"/>
      <c r="G321" s="41"/>
    </row>
    <row r="322" spans="4:7" ht="13">
      <c r="D322" s="41"/>
      <c r="E322" s="41"/>
      <c r="F322" s="41"/>
      <c r="G322" s="41"/>
    </row>
    <row r="323" spans="4:7" ht="13">
      <c r="D323" s="41"/>
      <c r="E323" s="41"/>
      <c r="F323" s="41"/>
      <c r="G323" s="41"/>
    </row>
    <row r="324" spans="4:7" ht="13">
      <c r="D324" s="41"/>
      <c r="E324" s="41"/>
      <c r="F324" s="41"/>
      <c r="G324" s="41"/>
    </row>
    <row r="325" spans="4:7" ht="13">
      <c r="D325" s="41"/>
      <c r="E325" s="41"/>
      <c r="F325" s="41"/>
      <c r="G325" s="41"/>
    </row>
    <row r="326" spans="4:7" ht="13">
      <c r="D326" s="41"/>
      <c r="E326" s="41"/>
      <c r="F326" s="41"/>
      <c r="G326" s="41"/>
    </row>
    <row r="327" spans="4:7" ht="13">
      <c r="D327" s="41"/>
      <c r="E327" s="41"/>
      <c r="F327" s="41"/>
      <c r="G327" s="41"/>
    </row>
    <row r="328" spans="4:7" ht="13">
      <c r="D328" s="41"/>
      <c r="E328" s="41"/>
      <c r="F328" s="41"/>
      <c r="G328" s="41"/>
    </row>
    <row r="329" spans="4:7" ht="13">
      <c r="D329" s="41"/>
      <c r="E329" s="41"/>
      <c r="F329" s="41"/>
      <c r="G329" s="41"/>
    </row>
    <row r="330" spans="4:7" ht="13">
      <c r="D330" s="41"/>
      <c r="E330" s="41"/>
      <c r="F330" s="41"/>
      <c r="G330" s="41"/>
    </row>
    <row r="331" spans="4:7" ht="13">
      <c r="D331" s="41"/>
      <c r="E331" s="41"/>
      <c r="F331" s="41"/>
      <c r="G331" s="41"/>
    </row>
    <row r="332" spans="4:7" ht="13">
      <c r="D332" s="41"/>
      <c r="E332" s="41"/>
      <c r="F332" s="41"/>
      <c r="G332" s="41"/>
    </row>
    <row r="333" spans="4:7" ht="13">
      <c r="D333" s="41"/>
      <c r="E333" s="41"/>
      <c r="F333" s="41"/>
      <c r="G333" s="41"/>
    </row>
    <row r="334" spans="4:7" ht="13">
      <c r="D334" s="41"/>
      <c r="E334" s="41"/>
      <c r="F334" s="41"/>
      <c r="G334" s="41"/>
    </row>
    <row r="335" spans="4:7" ht="13">
      <c r="D335" s="41"/>
      <c r="E335" s="41"/>
      <c r="F335" s="41"/>
      <c r="G335" s="41"/>
    </row>
    <row r="336" spans="4:7" ht="13">
      <c r="D336" s="41"/>
      <c r="E336" s="41"/>
      <c r="F336" s="41"/>
      <c r="G336" s="41"/>
    </row>
    <row r="337" spans="4:7" ht="13">
      <c r="D337" s="41"/>
      <c r="E337" s="41"/>
      <c r="F337" s="41"/>
      <c r="G337" s="41"/>
    </row>
    <row r="338" spans="4:7" ht="13">
      <c r="D338" s="41"/>
      <c r="E338" s="41"/>
      <c r="F338" s="41"/>
      <c r="G338" s="41"/>
    </row>
    <row r="339" spans="4:7" ht="13">
      <c r="D339" s="41"/>
      <c r="E339" s="41"/>
      <c r="F339" s="41"/>
      <c r="G339" s="41"/>
    </row>
    <row r="340" spans="4:7" ht="13">
      <c r="D340" s="41"/>
      <c r="E340" s="41"/>
      <c r="F340" s="41"/>
      <c r="G340" s="41"/>
    </row>
    <row r="341" spans="4:7" ht="13">
      <c r="D341" s="41"/>
      <c r="E341" s="41"/>
      <c r="F341" s="41"/>
      <c r="G341" s="41"/>
    </row>
    <row r="342" spans="4:7" ht="13">
      <c r="D342" s="41"/>
      <c r="E342" s="41"/>
      <c r="F342" s="41"/>
      <c r="G342" s="41"/>
    </row>
    <row r="343" spans="4:7" ht="13">
      <c r="D343" s="41"/>
      <c r="E343" s="41"/>
      <c r="F343" s="41"/>
      <c r="G343" s="41"/>
    </row>
    <row r="344" spans="4:7" ht="13">
      <c r="D344" s="41"/>
      <c r="E344" s="41"/>
      <c r="F344" s="41"/>
      <c r="G344" s="41"/>
    </row>
    <row r="345" spans="4:7" ht="13">
      <c r="D345" s="41"/>
      <c r="E345" s="41"/>
      <c r="F345" s="41"/>
      <c r="G345" s="41"/>
    </row>
    <row r="346" spans="4:7" ht="13">
      <c r="D346" s="41"/>
      <c r="E346" s="41"/>
      <c r="F346" s="41"/>
      <c r="G346" s="41"/>
    </row>
    <row r="347" spans="4:7" ht="13">
      <c r="D347" s="41"/>
      <c r="E347" s="41"/>
      <c r="F347" s="41"/>
      <c r="G347" s="41"/>
    </row>
    <row r="348" spans="4:7" ht="13">
      <c r="D348" s="41"/>
      <c r="E348" s="41"/>
      <c r="F348" s="41"/>
      <c r="G348" s="41"/>
    </row>
    <row r="349" spans="4:7" ht="13">
      <c r="D349" s="41"/>
      <c r="E349" s="41"/>
      <c r="F349" s="41"/>
      <c r="G349" s="41"/>
    </row>
    <row r="350" spans="4:7" ht="13">
      <c r="D350" s="41"/>
      <c r="E350" s="41"/>
      <c r="F350" s="41"/>
      <c r="G350" s="41"/>
    </row>
    <row r="351" spans="4:7" ht="13">
      <c r="D351" s="41"/>
      <c r="E351" s="41"/>
      <c r="F351" s="41"/>
      <c r="G351" s="41"/>
    </row>
    <row r="352" spans="4:7" ht="13">
      <c r="D352" s="41"/>
      <c r="E352" s="41"/>
      <c r="F352" s="41"/>
      <c r="G352" s="41"/>
    </row>
    <row r="353" spans="4:7" ht="13">
      <c r="D353" s="41"/>
      <c r="E353" s="41"/>
      <c r="F353" s="41"/>
      <c r="G353" s="41"/>
    </row>
    <row r="354" spans="4:7" ht="13">
      <c r="D354" s="41"/>
      <c r="E354" s="41"/>
      <c r="F354" s="41"/>
      <c r="G354" s="41"/>
    </row>
    <row r="355" spans="4:7" ht="13">
      <c r="D355" s="41"/>
      <c r="E355" s="41"/>
      <c r="F355" s="41"/>
      <c r="G355" s="41"/>
    </row>
    <row r="356" spans="4:7" ht="13">
      <c r="D356" s="41"/>
      <c r="E356" s="41"/>
      <c r="F356" s="41"/>
      <c r="G356" s="41"/>
    </row>
    <row r="357" spans="4:7" ht="13">
      <c r="D357" s="41"/>
      <c r="E357" s="41"/>
      <c r="F357" s="41"/>
      <c r="G357" s="41"/>
    </row>
    <row r="358" spans="4:7" ht="13">
      <c r="D358" s="41"/>
      <c r="E358" s="41"/>
      <c r="F358" s="41"/>
      <c r="G358" s="41"/>
    </row>
    <row r="359" spans="4:7" ht="13">
      <c r="D359" s="41"/>
      <c r="E359" s="41"/>
      <c r="F359" s="41"/>
      <c r="G359" s="41"/>
    </row>
    <row r="360" spans="4:7" ht="13">
      <c r="D360" s="41"/>
      <c r="E360" s="41"/>
      <c r="F360" s="41"/>
      <c r="G360" s="41"/>
    </row>
    <row r="361" spans="4:7" ht="13">
      <c r="D361" s="41"/>
      <c r="E361" s="41"/>
      <c r="F361" s="41"/>
      <c r="G361" s="41"/>
    </row>
    <row r="362" spans="4:7" ht="13">
      <c r="D362" s="41"/>
      <c r="E362" s="41"/>
      <c r="F362" s="41"/>
      <c r="G362" s="41"/>
    </row>
    <row r="363" spans="4:7" ht="13">
      <c r="D363" s="41"/>
      <c r="E363" s="41"/>
      <c r="F363" s="41"/>
      <c r="G363" s="41"/>
    </row>
    <row r="364" spans="4:7" ht="13">
      <c r="D364" s="41"/>
      <c r="E364" s="41"/>
      <c r="F364" s="41"/>
      <c r="G364" s="41"/>
    </row>
    <row r="365" spans="4:7" ht="13">
      <c r="D365" s="41"/>
      <c r="E365" s="41"/>
      <c r="F365" s="41"/>
      <c r="G365" s="41"/>
    </row>
    <row r="366" spans="4:7" ht="13">
      <c r="D366" s="41"/>
      <c r="E366" s="41"/>
      <c r="F366" s="41"/>
      <c r="G366" s="41"/>
    </row>
    <row r="367" spans="4:7" ht="13">
      <c r="D367" s="41"/>
      <c r="E367" s="41"/>
      <c r="F367" s="41"/>
      <c r="G367" s="41"/>
    </row>
    <row r="368" spans="4:7" ht="13">
      <c r="D368" s="41"/>
      <c r="E368" s="41"/>
      <c r="F368" s="41"/>
      <c r="G368" s="41"/>
    </row>
    <row r="369" spans="4:7" ht="13">
      <c r="D369" s="41"/>
      <c r="E369" s="41"/>
      <c r="F369" s="41"/>
      <c r="G369" s="41"/>
    </row>
    <row r="370" spans="4:7" ht="13">
      <c r="D370" s="41"/>
      <c r="E370" s="41"/>
      <c r="F370" s="41"/>
      <c r="G370" s="41"/>
    </row>
    <row r="371" spans="4:7" ht="13">
      <c r="D371" s="41"/>
      <c r="E371" s="41"/>
      <c r="F371" s="41"/>
      <c r="G371" s="41"/>
    </row>
    <row r="372" spans="4:7" ht="13">
      <c r="D372" s="41"/>
      <c r="E372" s="41"/>
      <c r="F372" s="41"/>
      <c r="G372" s="41"/>
    </row>
    <row r="373" spans="4:7" ht="13">
      <c r="D373" s="41"/>
      <c r="E373" s="41"/>
      <c r="F373" s="41"/>
      <c r="G373" s="41"/>
    </row>
    <row r="374" spans="4:7" ht="13">
      <c r="D374" s="41"/>
      <c r="E374" s="41"/>
      <c r="F374" s="41"/>
      <c r="G374" s="41"/>
    </row>
    <row r="375" spans="4:7" ht="13">
      <c r="D375" s="41"/>
      <c r="E375" s="41"/>
      <c r="F375" s="41"/>
      <c r="G375" s="41"/>
    </row>
    <row r="376" spans="4:7" ht="13">
      <c r="D376" s="41"/>
      <c r="E376" s="41"/>
      <c r="F376" s="41"/>
      <c r="G376" s="41"/>
    </row>
    <row r="377" spans="4:7" ht="13">
      <c r="D377" s="41"/>
      <c r="E377" s="41"/>
      <c r="F377" s="41"/>
      <c r="G377" s="41"/>
    </row>
    <row r="378" spans="4:7" ht="13">
      <c r="D378" s="41"/>
      <c r="E378" s="41"/>
      <c r="F378" s="41"/>
      <c r="G378" s="41"/>
    </row>
    <row r="379" spans="4:7" ht="13">
      <c r="D379" s="41"/>
      <c r="E379" s="41"/>
      <c r="F379" s="41"/>
      <c r="G379" s="41"/>
    </row>
    <row r="380" spans="4:7" ht="13">
      <c r="D380" s="41"/>
      <c r="E380" s="41"/>
      <c r="F380" s="41"/>
      <c r="G380" s="41"/>
    </row>
    <row r="381" spans="4:7" ht="13">
      <c r="D381" s="41"/>
      <c r="E381" s="41"/>
      <c r="F381" s="41"/>
      <c r="G381" s="41"/>
    </row>
    <row r="382" spans="4:7" ht="13">
      <c r="D382" s="41"/>
      <c r="E382" s="41"/>
      <c r="F382" s="41"/>
      <c r="G382" s="41"/>
    </row>
    <row r="383" spans="4:7" ht="13">
      <c r="D383" s="41"/>
      <c r="E383" s="41"/>
      <c r="F383" s="41"/>
      <c r="G383" s="41"/>
    </row>
    <row r="384" spans="4:7" ht="13">
      <c r="D384" s="41"/>
      <c r="E384" s="41"/>
      <c r="F384" s="41"/>
      <c r="G384" s="41"/>
    </row>
    <row r="385" spans="4:7" ht="13">
      <c r="D385" s="41"/>
      <c r="E385" s="41"/>
      <c r="F385" s="41"/>
      <c r="G385" s="41"/>
    </row>
    <row r="386" spans="4:7" ht="13">
      <c r="D386" s="41"/>
      <c r="E386" s="41"/>
      <c r="F386" s="41"/>
      <c r="G386" s="41"/>
    </row>
    <row r="387" spans="4:7" ht="13">
      <c r="D387" s="41"/>
      <c r="E387" s="41"/>
      <c r="F387" s="41"/>
      <c r="G387" s="41"/>
    </row>
    <row r="388" spans="4:7" ht="13">
      <c r="D388" s="41"/>
      <c r="E388" s="41"/>
      <c r="F388" s="41"/>
      <c r="G388" s="41"/>
    </row>
    <row r="389" spans="4:7" ht="13">
      <c r="D389" s="41"/>
      <c r="E389" s="41"/>
      <c r="F389" s="41"/>
      <c r="G389" s="41"/>
    </row>
    <row r="390" spans="4:7" ht="13">
      <c r="D390" s="41"/>
      <c r="E390" s="41"/>
      <c r="F390" s="41"/>
      <c r="G390" s="41"/>
    </row>
    <row r="391" spans="4:7" ht="13">
      <c r="D391" s="41"/>
      <c r="E391" s="41"/>
      <c r="F391" s="41"/>
      <c r="G391" s="41"/>
    </row>
    <row r="392" spans="4:7" ht="13">
      <c r="D392" s="41"/>
      <c r="E392" s="41"/>
      <c r="F392" s="41"/>
      <c r="G392" s="41"/>
    </row>
    <row r="393" spans="4:7" ht="13">
      <c r="D393" s="41"/>
      <c r="E393" s="41"/>
      <c r="F393" s="41"/>
      <c r="G393" s="41"/>
    </row>
    <row r="394" spans="4:7" ht="13">
      <c r="D394" s="41"/>
      <c r="E394" s="41"/>
      <c r="F394" s="41"/>
      <c r="G394" s="41"/>
    </row>
    <row r="395" spans="4:7" ht="13">
      <c r="D395" s="41"/>
      <c r="E395" s="41"/>
      <c r="F395" s="41"/>
      <c r="G395" s="41"/>
    </row>
    <row r="396" spans="4:7" ht="13">
      <c r="D396" s="41"/>
      <c r="E396" s="41"/>
      <c r="F396" s="41"/>
      <c r="G396" s="41"/>
    </row>
    <row r="397" spans="4:7" ht="13">
      <c r="D397" s="41"/>
      <c r="E397" s="41"/>
      <c r="F397" s="41"/>
      <c r="G397" s="41"/>
    </row>
    <row r="398" spans="4:7" ht="13">
      <c r="D398" s="41"/>
      <c r="E398" s="41"/>
      <c r="F398" s="41"/>
      <c r="G398" s="41"/>
    </row>
    <row r="399" spans="4:7" ht="13">
      <c r="D399" s="41"/>
      <c r="E399" s="41"/>
      <c r="F399" s="41"/>
      <c r="G399" s="41"/>
    </row>
    <row r="400" spans="4:7" ht="13">
      <c r="D400" s="41"/>
      <c r="E400" s="41"/>
      <c r="F400" s="41"/>
      <c r="G400" s="41"/>
    </row>
    <row r="401" spans="4:7" ht="13">
      <c r="D401" s="41"/>
      <c r="E401" s="41"/>
      <c r="F401" s="41"/>
      <c r="G401" s="41"/>
    </row>
    <row r="402" spans="4:7" ht="13">
      <c r="D402" s="41"/>
      <c r="E402" s="41"/>
      <c r="F402" s="41"/>
      <c r="G402" s="41"/>
    </row>
    <row r="403" spans="4:7" ht="13">
      <c r="D403" s="41"/>
      <c r="E403" s="41"/>
      <c r="F403" s="41"/>
      <c r="G403" s="41"/>
    </row>
    <row r="404" spans="4:7" ht="13">
      <c r="D404" s="41"/>
      <c r="E404" s="41"/>
      <c r="F404" s="41"/>
      <c r="G404" s="41"/>
    </row>
    <row r="405" spans="4:7" ht="13">
      <c r="D405" s="41"/>
      <c r="E405" s="41"/>
      <c r="F405" s="41"/>
      <c r="G405" s="41"/>
    </row>
    <row r="406" spans="4:7" ht="13">
      <c r="D406" s="41"/>
      <c r="E406" s="41"/>
      <c r="F406" s="41"/>
      <c r="G406" s="41"/>
    </row>
    <row r="407" spans="4:7" ht="13">
      <c r="D407" s="41"/>
      <c r="E407" s="41"/>
      <c r="F407" s="41"/>
      <c r="G407" s="41"/>
    </row>
    <row r="408" spans="4:7" ht="13">
      <c r="D408" s="41"/>
      <c r="E408" s="41"/>
      <c r="F408" s="41"/>
      <c r="G408" s="41"/>
    </row>
    <row r="409" spans="4:7" ht="13">
      <c r="D409" s="41"/>
      <c r="E409" s="41"/>
      <c r="F409" s="41"/>
      <c r="G409" s="41"/>
    </row>
    <row r="410" spans="4:7" ht="13">
      <c r="D410" s="41"/>
      <c r="E410" s="41"/>
      <c r="F410" s="41"/>
      <c r="G410" s="41"/>
    </row>
    <row r="411" spans="4:7" ht="13">
      <c r="D411" s="41"/>
      <c r="E411" s="41"/>
      <c r="F411" s="41"/>
      <c r="G411" s="41"/>
    </row>
    <row r="412" spans="4:7" ht="13">
      <c r="D412" s="41"/>
      <c r="E412" s="41"/>
      <c r="F412" s="41"/>
      <c r="G412" s="41"/>
    </row>
    <row r="413" spans="4:7" ht="13">
      <c r="D413" s="41"/>
      <c r="E413" s="41"/>
      <c r="F413" s="41"/>
      <c r="G413" s="41"/>
    </row>
    <row r="414" spans="4:7" ht="13">
      <c r="D414" s="41"/>
      <c r="E414" s="41"/>
      <c r="F414" s="41"/>
      <c r="G414" s="41"/>
    </row>
    <row r="415" spans="4:7" ht="13">
      <c r="D415" s="41"/>
      <c r="E415" s="41"/>
      <c r="F415" s="41"/>
      <c r="G415" s="41"/>
    </row>
    <row r="416" spans="4:7" ht="13">
      <c r="D416" s="41"/>
      <c r="E416" s="41"/>
      <c r="F416" s="41"/>
      <c r="G416" s="41"/>
    </row>
    <row r="417" spans="4:7" ht="13">
      <c r="D417" s="41"/>
      <c r="E417" s="41"/>
      <c r="F417" s="41"/>
      <c r="G417" s="41"/>
    </row>
    <row r="418" spans="4:7" ht="13">
      <c r="D418" s="41"/>
      <c r="E418" s="41"/>
      <c r="F418" s="41"/>
      <c r="G418" s="41"/>
    </row>
    <row r="419" spans="4:7" ht="13">
      <c r="D419" s="41"/>
      <c r="E419" s="41"/>
      <c r="F419" s="41"/>
      <c r="G419" s="41"/>
    </row>
    <row r="420" spans="4:7" ht="13">
      <c r="D420" s="41"/>
      <c r="E420" s="41"/>
      <c r="F420" s="41"/>
      <c r="G420" s="41"/>
    </row>
    <row r="421" spans="4:7" ht="13">
      <c r="D421" s="41"/>
      <c r="E421" s="41"/>
      <c r="F421" s="41"/>
      <c r="G421" s="41"/>
    </row>
    <row r="422" spans="4:7" ht="13">
      <c r="D422" s="41"/>
      <c r="E422" s="41"/>
      <c r="F422" s="41"/>
      <c r="G422" s="41"/>
    </row>
    <row r="423" spans="4:7" ht="13">
      <c r="D423" s="41"/>
      <c r="E423" s="41"/>
      <c r="F423" s="41"/>
      <c r="G423" s="41"/>
    </row>
    <row r="424" spans="4:7" ht="13">
      <c r="D424" s="41"/>
      <c r="E424" s="41"/>
      <c r="F424" s="41"/>
      <c r="G424" s="41"/>
    </row>
    <row r="425" spans="4:7" ht="13">
      <c r="D425" s="41"/>
      <c r="E425" s="41"/>
      <c r="F425" s="41"/>
      <c r="G425" s="41"/>
    </row>
    <row r="426" spans="4:7" ht="13">
      <c r="D426" s="41"/>
      <c r="E426" s="41"/>
      <c r="F426" s="41"/>
      <c r="G426" s="41"/>
    </row>
    <row r="427" spans="4:7" ht="13">
      <c r="D427" s="41"/>
      <c r="E427" s="41"/>
      <c r="F427" s="41"/>
      <c r="G427" s="41"/>
    </row>
    <row r="428" spans="4:7" ht="13">
      <c r="D428" s="41"/>
      <c r="E428" s="41"/>
      <c r="F428" s="41"/>
      <c r="G428" s="41"/>
    </row>
    <row r="429" spans="4:7" ht="13">
      <c r="D429" s="41"/>
      <c r="E429" s="41"/>
      <c r="F429" s="41"/>
      <c r="G429" s="41"/>
    </row>
    <row r="430" spans="4:7" ht="13">
      <c r="D430" s="41"/>
      <c r="E430" s="41"/>
      <c r="F430" s="41"/>
      <c r="G430" s="41"/>
    </row>
    <row r="431" spans="4:7" ht="13">
      <c r="D431" s="41"/>
      <c r="E431" s="41"/>
      <c r="F431" s="41"/>
      <c r="G431" s="41"/>
    </row>
    <row r="432" spans="4:7" ht="13">
      <c r="D432" s="41"/>
      <c r="E432" s="41"/>
      <c r="F432" s="41"/>
      <c r="G432" s="41"/>
    </row>
    <row r="433" spans="4:7" ht="13">
      <c r="D433" s="41"/>
      <c r="E433" s="41"/>
      <c r="F433" s="41"/>
      <c r="G433" s="41"/>
    </row>
    <row r="434" spans="4:7" ht="13">
      <c r="D434" s="41"/>
      <c r="E434" s="41"/>
      <c r="F434" s="41"/>
      <c r="G434" s="41"/>
    </row>
    <row r="435" spans="4:7" ht="13">
      <c r="D435" s="41"/>
      <c r="E435" s="41"/>
      <c r="F435" s="41"/>
      <c r="G435" s="41"/>
    </row>
    <row r="436" spans="4:7" ht="13">
      <c r="D436" s="41"/>
      <c r="E436" s="41"/>
      <c r="F436" s="41"/>
      <c r="G436" s="41"/>
    </row>
    <row r="437" spans="4:7" ht="13">
      <c r="D437" s="41"/>
      <c r="E437" s="41"/>
      <c r="F437" s="41"/>
      <c r="G437" s="41"/>
    </row>
    <row r="438" spans="4:7" ht="13">
      <c r="D438" s="41"/>
      <c r="E438" s="41"/>
      <c r="F438" s="41"/>
      <c r="G438" s="41"/>
    </row>
    <row r="439" spans="4:7" ht="13">
      <c r="D439" s="41"/>
      <c r="E439" s="41"/>
      <c r="F439" s="41"/>
      <c r="G439" s="41"/>
    </row>
    <row r="440" spans="4:7" ht="13">
      <c r="D440" s="41"/>
      <c r="E440" s="41"/>
      <c r="F440" s="41"/>
      <c r="G440" s="41"/>
    </row>
    <row r="441" spans="4:7" ht="13">
      <c r="D441" s="41"/>
      <c r="E441" s="41"/>
      <c r="F441" s="41"/>
      <c r="G441" s="41"/>
    </row>
    <row r="442" spans="4:7" ht="13">
      <c r="D442" s="41"/>
      <c r="E442" s="41"/>
      <c r="F442" s="41"/>
      <c r="G442" s="41"/>
    </row>
    <row r="443" spans="4:7" ht="13">
      <c r="D443" s="41"/>
      <c r="E443" s="41"/>
      <c r="F443" s="41"/>
      <c r="G443" s="41"/>
    </row>
    <row r="444" spans="4:7" ht="13">
      <c r="D444" s="41"/>
      <c r="E444" s="41"/>
      <c r="F444" s="41"/>
      <c r="G444" s="41"/>
    </row>
    <row r="445" spans="4:7" ht="13">
      <c r="D445" s="41"/>
      <c r="E445" s="41"/>
      <c r="F445" s="41"/>
      <c r="G445" s="41"/>
    </row>
    <row r="446" spans="4:7" ht="13">
      <c r="D446" s="41"/>
      <c r="E446" s="41"/>
      <c r="F446" s="41"/>
      <c r="G446" s="41"/>
    </row>
    <row r="447" spans="4:7" ht="13">
      <c r="D447" s="41"/>
      <c r="E447" s="41"/>
      <c r="F447" s="41"/>
      <c r="G447" s="41"/>
    </row>
    <row r="448" spans="4:7" ht="13">
      <c r="D448" s="41"/>
      <c r="E448" s="41"/>
      <c r="F448" s="41"/>
      <c r="G448" s="41"/>
    </row>
    <row r="449" spans="4:7" ht="13">
      <c r="D449" s="41"/>
      <c r="E449" s="41"/>
      <c r="F449" s="41"/>
      <c r="G449" s="41"/>
    </row>
    <row r="450" spans="4:7" ht="13">
      <c r="D450" s="41"/>
      <c r="E450" s="41"/>
      <c r="F450" s="41"/>
      <c r="G450" s="41"/>
    </row>
    <row r="451" spans="4:7" ht="13">
      <c r="D451" s="41"/>
      <c r="E451" s="41"/>
      <c r="F451" s="41"/>
      <c r="G451" s="41"/>
    </row>
    <row r="452" spans="4:7" ht="13">
      <c r="D452" s="41"/>
      <c r="E452" s="41"/>
      <c r="F452" s="41"/>
      <c r="G452" s="41"/>
    </row>
    <row r="453" spans="4:7" ht="13">
      <c r="D453" s="41"/>
      <c r="E453" s="41"/>
      <c r="F453" s="41"/>
      <c r="G453" s="41"/>
    </row>
    <row r="454" spans="4:7" ht="13">
      <c r="D454" s="41"/>
      <c r="E454" s="41"/>
      <c r="F454" s="41"/>
      <c r="G454" s="41"/>
    </row>
    <row r="455" spans="4:7" ht="13">
      <c r="D455" s="41"/>
      <c r="E455" s="41"/>
      <c r="F455" s="41"/>
      <c r="G455" s="41"/>
    </row>
    <row r="456" spans="4:7" ht="13">
      <c r="D456" s="41"/>
      <c r="E456" s="41"/>
      <c r="F456" s="41"/>
      <c r="G456" s="41"/>
    </row>
    <row r="457" spans="4:7" ht="13">
      <c r="D457" s="41"/>
      <c r="E457" s="41"/>
      <c r="F457" s="41"/>
      <c r="G457" s="41"/>
    </row>
    <row r="458" spans="4:7" ht="13">
      <c r="D458" s="41"/>
      <c r="E458" s="41"/>
      <c r="F458" s="41"/>
      <c r="G458" s="41"/>
    </row>
    <row r="459" spans="4:7" ht="13">
      <c r="D459" s="41"/>
      <c r="E459" s="41"/>
      <c r="F459" s="41"/>
      <c r="G459" s="41"/>
    </row>
    <row r="460" spans="4:7" ht="13">
      <c r="D460" s="41"/>
      <c r="E460" s="41"/>
      <c r="F460" s="41"/>
      <c r="G460" s="41"/>
    </row>
    <row r="461" spans="4:7" ht="13">
      <c r="D461" s="41"/>
      <c r="E461" s="41"/>
      <c r="F461" s="41"/>
      <c r="G461" s="41"/>
    </row>
    <row r="462" spans="4:7" ht="13">
      <c r="D462" s="41"/>
      <c r="E462" s="41"/>
      <c r="F462" s="41"/>
      <c r="G462" s="41"/>
    </row>
    <row r="463" spans="4:7" ht="13">
      <c r="D463" s="41"/>
      <c r="E463" s="41"/>
      <c r="F463" s="41"/>
      <c r="G463" s="41"/>
    </row>
    <row r="464" spans="4:7" ht="13">
      <c r="D464" s="41"/>
      <c r="E464" s="41"/>
      <c r="F464" s="41"/>
      <c r="G464" s="41"/>
    </row>
    <row r="465" spans="4:7" ht="13">
      <c r="D465" s="41"/>
      <c r="E465" s="41"/>
      <c r="F465" s="41"/>
      <c r="G465" s="41"/>
    </row>
    <row r="466" spans="4:7" ht="13">
      <c r="D466" s="41"/>
      <c r="E466" s="41"/>
      <c r="F466" s="41"/>
      <c r="G466" s="41"/>
    </row>
    <row r="467" spans="4:7" ht="13">
      <c r="D467" s="41"/>
      <c r="E467" s="41"/>
      <c r="F467" s="41"/>
      <c r="G467" s="41"/>
    </row>
    <row r="468" spans="4:7" ht="13">
      <c r="D468" s="41"/>
      <c r="E468" s="41"/>
      <c r="F468" s="41"/>
      <c r="G468" s="41"/>
    </row>
    <row r="469" spans="4:7" ht="13">
      <c r="D469" s="41"/>
      <c r="E469" s="41"/>
      <c r="F469" s="41"/>
      <c r="G469" s="41"/>
    </row>
    <row r="470" spans="4:7" ht="13">
      <c r="D470" s="41"/>
      <c r="E470" s="41"/>
      <c r="F470" s="41"/>
      <c r="G470" s="41"/>
    </row>
    <row r="471" spans="4:7" ht="13">
      <c r="D471" s="41"/>
      <c r="E471" s="41"/>
      <c r="F471" s="41"/>
      <c r="G471" s="41"/>
    </row>
    <row r="472" spans="4:7" ht="13">
      <c r="D472" s="41"/>
      <c r="E472" s="41"/>
      <c r="F472" s="41"/>
      <c r="G472" s="41"/>
    </row>
    <row r="473" spans="4:7" ht="13">
      <c r="D473" s="41"/>
      <c r="E473" s="41"/>
      <c r="F473" s="41"/>
      <c r="G473" s="41"/>
    </row>
    <row r="474" spans="4:7" ht="13">
      <c r="D474" s="41"/>
      <c r="E474" s="41"/>
      <c r="F474" s="41"/>
      <c r="G474" s="41"/>
    </row>
    <row r="475" spans="4:7" ht="13">
      <c r="D475" s="41"/>
      <c r="E475" s="41"/>
      <c r="F475" s="41"/>
      <c r="G475" s="41"/>
    </row>
    <row r="476" spans="4:7" ht="13">
      <c r="D476" s="41"/>
      <c r="E476" s="41"/>
      <c r="F476" s="41"/>
      <c r="G476" s="41"/>
    </row>
    <row r="477" spans="4:7" ht="13">
      <c r="D477" s="41"/>
      <c r="E477" s="41"/>
      <c r="F477" s="41"/>
      <c r="G477" s="41"/>
    </row>
    <row r="478" spans="4:7" ht="13">
      <c r="D478" s="41"/>
      <c r="E478" s="41"/>
      <c r="F478" s="41"/>
      <c r="G478" s="41"/>
    </row>
    <row r="479" spans="4:7" ht="13">
      <c r="D479" s="41"/>
      <c r="E479" s="41"/>
      <c r="F479" s="41"/>
      <c r="G479" s="41"/>
    </row>
    <row r="480" spans="4:7" ht="13">
      <c r="D480" s="41"/>
      <c r="E480" s="41"/>
      <c r="F480" s="41"/>
      <c r="G480" s="41"/>
    </row>
    <row r="481" spans="4:7" ht="13">
      <c r="D481" s="41"/>
      <c r="E481" s="41"/>
      <c r="F481" s="41"/>
      <c r="G481" s="41"/>
    </row>
    <row r="482" spans="4:7" ht="13">
      <c r="D482" s="41"/>
      <c r="E482" s="41"/>
      <c r="F482" s="41"/>
      <c r="G482" s="41"/>
    </row>
    <row r="483" spans="4:7" ht="13">
      <c r="D483" s="41"/>
      <c r="E483" s="41"/>
      <c r="F483" s="41"/>
      <c r="G483" s="41"/>
    </row>
    <row r="484" spans="4:7" ht="13">
      <c r="D484" s="41"/>
      <c r="E484" s="41"/>
      <c r="F484" s="41"/>
      <c r="G484" s="41"/>
    </row>
    <row r="485" spans="4:7" ht="13">
      <c r="D485" s="41"/>
      <c r="E485" s="41"/>
      <c r="F485" s="41"/>
      <c r="G485" s="41"/>
    </row>
    <row r="486" spans="4:7" ht="13">
      <c r="D486" s="41"/>
      <c r="E486" s="41"/>
      <c r="F486" s="41"/>
      <c r="G486" s="41"/>
    </row>
    <row r="487" spans="4:7" ht="13">
      <c r="D487" s="41"/>
      <c r="E487" s="41"/>
      <c r="F487" s="41"/>
      <c r="G487" s="41"/>
    </row>
    <row r="488" spans="4:7" ht="13">
      <c r="D488" s="41"/>
      <c r="E488" s="41"/>
      <c r="F488" s="41"/>
      <c r="G488" s="41"/>
    </row>
    <row r="489" spans="4:7" ht="13">
      <c r="D489" s="41"/>
      <c r="E489" s="41"/>
      <c r="F489" s="41"/>
      <c r="G489" s="41"/>
    </row>
    <row r="490" spans="4:7" ht="13">
      <c r="D490" s="41"/>
      <c r="E490" s="41"/>
      <c r="F490" s="41"/>
      <c r="G490" s="41"/>
    </row>
    <row r="491" spans="4:7" ht="13">
      <c r="D491" s="41"/>
      <c r="E491" s="41"/>
      <c r="F491" s="41"/>
      <c r="G491" s="41"/>
    </row>
    <row r="492" spans="4:7" ht="13">
      <c r="D492" s="41"/>
      <c r="E492" s="41"/>
      <c r="F492" s="41"/>
      <c r="G492" s="41"/>
    </row>
    <row r="493" spans="4:7" ht="13">
      <c r="D493" s="41"/>
      <c r="E493" s="41"/>
      <c r="F493" s="41"/>
      <c r="G493" s="41"/>
    </row>
    <row r="494" spans="4:7" ht="13">
      <c r="D494" s="41"/>
      <c r="E494" s="41"/>
      <c r="F494" s="41"/>
      <c r="G494" s="41"/>
    </row>
    <row r="495" spans="4:7" ht="13">
      <c r="D495" s="41"/>
      <c r="E495" s="41"/>
      <c r="F495" s="41"/>
      <c r="G495" s="41"/>
    </row>
    <row r="496" spans="4:7" ht="13">
      <c r="D496" s="41"/>
      <c r="E496" s="41"/>
      <c r="F496" s="41"/>
      <c r="G496" s="41"/>
    </row>
    <row r="497" spans="4:7" ht="13">
      <c r="D497" s="41"/>
      <c r="E497" s="41"/>
      <c r="F497" s="41"/>
      <c r="G497" s="41"/>
    </row>
    <row r="498" spans="4:7" ht="13">
      <c r="D498" s="41"/>
      <c r="E498" s="41"/>
      <c r="F498" s="41"/>
      <c r="G498" s="41"/>
    </row>
    <row r="499" spans="4:7" ht="13">
      <c r="D499" s="41"/>
      <c r="E499" s="41"/>
      <c r="F499" s="41"/>
      <c r="G499" s="41"/>
    </row>
    <row r="500" spans="4:7" ht="13">
      <c r="D500" s="41"/>
      <c r="E500" s="41"/>
      <c r="F500" s="41"/>
      <c r="G500" s="41"/>
    </row>
    <row r="501" spans="4:7" ht="13">
      <c r="D501" s="41"/>
      <c r="E501" s="41"/>
      <c r="F501" s="41"/>
      <c r="G501" s="41"/>
    </row>
    <row r="502" spans="4:7" ht="13">
      <c r="D502" s="41"/>
      <c r="E502" s="41"/>
      <c r="F502" s="41"/>
      <c r="G502" s="41"/>
    </row>
    <row r="503" spans="4:7" ht="13">
      <c r="D503" s="41"/>
      <c r="E503" s="41"/>
      <c r="F503" s="41"/>
      <c r="G503" s="41"/>
    </row>
    <row r="504" spans="4:7" ht="13">
      <c r="D504" s="41"/>
      <c r="E504" s="41"/>
      <c r="F504" s="41"/>
      <c r="G504" s="41"/>
    </row>
    <row r="505" spans="4:7" ht="13">
      <c r="D505" s="41"/>
      <c r="E505" s="41"/>
      <c r="F505" s="41"/>
      <c r="G505" s="41"/>
    </row>
    <row r="506" spans="4:7" ht="13">
      <c r="D506" s="41"/>
      <c r="E506" s="41"/>
      <c r="F506" s="41"/>
      <c r="G506" s="41"/>
    </row>
    <row r="507" spans="4:7" ht="13">
      <c r="D507" s="41"/>
      <c r="E507" s="41"/>
      <c r="F507" s="41"/>
      <c r="G507" s="41"/>
    </row>
    <row r="508" spans="4:7" ht="13">
      <c r="D508" s="41"/>
      <c r="E508" s="41"/>
      <c r="F508" s="41"/>
      <c r="G508" s="41"/>
    </row>
    <row r="509" spans="4:7" ht="13">
      <c r="D509" s="41"/>
      <c r="E509" s="41"/>
      <c r="F509" s="41"/>
      <c r="G509" s="41"/>
    </row>
    <row r="510" spans="4:7" ht="13">
      <c r="D510" s="41"/>
      <c r="E510" s="41"/>
      <c r="F510" s="41"/>
      <c r="G510" s="41"/>
    </row>
    <row r="511" spans="4:7" ht="13">
      <c r="D511" s="41"/>
      <c r="E511" s="41"/>
      <c r="F511" s="41"/>
      <c r="G511" s="41"/>
    </row>
    <row r="512" spans="4:7" ht="13">
      <c r="D512" s="41"/>
      <c r="E512" s="41"/>
      <c r="F512" s="41"/>
      <c r="G512" s="41"/>
    </row>
    <row r="513" spans="4:7" ht="13">
      <c r="D513" s="41"/>
      <c r="E513" s="41"/>
      <c r="F513" s="41"/>
      <c r="G513" s="41"/>
    </row>
    <row r="514" spans="4:7" ht="13">
      <c r="D514" s="41"/>
      <c r="E514" s="41"/>
      <c r="F514" s="41"/>
      <c r="G514" s="41"/>
    </row>
    <row r="515" spans="4:7" ht="13">
      <c r="D515" s="41"/>
      <c r="E515" s="41"/>
      <c r="F515" s="41"/>
      <c r="G515" s="41"/>
    </row>
    <row r="516" spans="4:7" ht="13">
      <c r="D516" s="41"/>
      <c r="E516" s="41"/>
      <c r="F516" s="41"/>
      <c r="G516" s="41"/>
    </row>
    <row r="517" spans="4:7" ht="13">
      <c r="D517" s="41"/>
      <c r="E517" s="41"/>
      <c r="F517" s="41"/>
      <c r="G517" s="41"/>
    </row>
    <row r="518" spans="4:7" ht="13">
      <c r="D518" s="41"/>
      <c r="E518" s="41"/>
      <c r="F518" s="41"/>
      <c r="G518" s="41"/>
    </row>
    <row r="519" spans="4:7" ht="13">
      <c r="D519" s="41"/>
      <c r="E519" s="41"/>
      <c r="F519" s="41"/>
      <c r="G519" s="41"/>
    </row>
    <row r="520" spans="4:7" ht="13">
      <c r="D520" s="41"/>
      <c r="E520" s="41"/>
      <c r="F520" s="41"/>
      <c r="G520" s="41"/>
    </row>
    <row r="521" spans="4:7" ht="13">
      <c r="D521" s="41"/>
      <c r="E521" s="41"/>
      <c r="F521" s="41"/>
      <c r="G521" s="41"/>
    </row>
    <row r="522" spans="4:7" ht="13">
      <c r="D522" s="41"/>
      <c r="E522" s="41"/>
      <c r="F522" s="41"/>
      <c r="G522" s="41"/>
    </row>
    <row r="523" spans="4:7" ht="13">
      <c r="D523" s="41"/>
      <c r="E523" s="41"/>
      <c r="F523" s="41"/>
      <c r="G523" s="41"/>
    </row>
    <row r="524" spans="4:7" ht="13">
      <c r="D524" s="41"/>
      <c r="E524" s="41"/>
      <c r="F524" s="41"/>
      <c r="G524" s="41"/>
    </row>
    <row r="525" spans="4:7" ht="13">
      <c r="D525" s="41"/>
      <c r="E525" s="41"/>
      <c r="F525" s="41"/>
      <c r="G525" s="41"/>
    </row>
    <row r="526" spans="4:7" ht="13">
      <c r="D526" s="41"/>
      <c r="E526" s="41"/>
      <c r="F526" s="41"/>
      <c r="G526" s="41"/>
    </row>
    <row r="527" spans="4:7" ht="13">
      <c r="D527" s="41"/>
      <c r="E527" s="41"/>
      <c r="F527" s="41"/>
      <c r="G527" s="41"/>
    </row>
    <row r="528" spans="4:7" ht="13">
      <c r="D528" s="41"/>
      <c r="E528" s="41"/>
      <c r="F528" s="41"/>
      <c r="G528" s="41"/>
    </row>
    <row r="529" spans="4:7" ht="13">
      <c r="D529" s="41"/>
      <c r="E529" s="41"/>
      <c r="F529" s="41"/>
      <c r="G529" s="41"/>
    </row>
    <row r="530" spans="4:7" ht="13">
      <c r="D530" s="41"/>
      <c r="E530" s="41"/>
      <c r="F530" s="41"/>
      <c r="G530" s="41"/>
    </row>
    <row r="531" spans="4:7" ht="13">
      <c r="D531" s="41"/>
      <c r="E531" s="41"/>
      <c r="F531" s="41"/>
      <c r="G531" s="41"/>
    </row>
    <row r="532" spans="4:7" ht="13">
      <c r="D532" s="41"/>
      <c r="E532" s="41"/>
      <c r="F532" s="41"/>
      <c r="G532" s="41"/>
    </row>
    <row r="533" spans="4:7" ht="13">
      <c r="D533" s="41"/>
      <c r="E533" s="41"/>
      <c r="F533" s="41"/>
      <c r="G533" s="41"/>
    </row>
    <row r="534" spans="4:7" ht="13">
      <c r="D534" s="41"/>
      <c r="E534" s="41"/>
      <c r="F534" s="41"/>
      <c r="G534" s="41"/>
    </row>
    <row r="535" spans="4:7" ht="13">
      <c r="D535" s="41"/>
      <c r="E535" s="41"/>
      <c r="F535" s="41"/>
      <c r="G535" s="41"/>
    </row>
    <row r="536" spans="4:7" ht="13">
      <c r="D536" s="41"/>
      <c r="E536" s="41"/>
      <c r="F536" s="41"/>
      <c r="G536" s="41"/>
    </row>
    <row r="537" spans="4:7" ht="13">
      <c r="D537" s="41"/>
      <c r="E537" s="41"/>
      <c r="F537" s="41"/>
      <c r="G537" s="41"/>
    </row>
    <row r="538" spans="4:7" ht="13">
      <c r="D538" s="41"/>
      <c r="E538" s="41"/>
      <c r="F538" s="41"/>
      <c r="G538" s="41"/>
    </row>
    <row r="539" spans="4:7" ht="13">
      <c r="D539" s="41"/>
      <c r="E539" s="41"/>
      <c r="F539" s="41"/>
      <c r="G539" s="41"/>
    </row>
    <row r="540" spans="4:7" ht="13">
      <c r="D540" s="41"/>
      <c r="E540" s="41"/>
      <c r="F540" s="41"/>
      <c r="G540" s="41"/>
    </row>
    <row r="541" spans="4:7" ht="13">
      <c r="D541" s="41"/>
      <c r="E541" s="41"/>
      <c r="F541" s="41"/>
      <c r="G541" s="41"/>
    </row>
    <row r="542" spans="4:7" ht="13">
      <c r="D542" s="41"/>
      <c r="E542" s="41"/>
      <c r="F542" s="41"/>
      <c r="G542" s="41"/>
    </row>
    <row r="543" spans="4:7" ht="13">
      <c r="D543" s="41"/>
      <c r="E543" s="41"/>
      <c r="F543" s="41"/>
      <c r="G543" s="41"/>
    </row>
    <row r="544" spans="4:7" ht="13">
      <c r="D544" s="41"/>
      <c r="E544" s="41"/>
      <c r="F544" s="41"/>
      <c r="G544" s="41"/>
    </row>
    <row r="545" spans="4:7" ht="13">
      <c r="D545" s="41"/>
      <c r="E545" s="41"/>
      <c r="F545" s="41"/>
      <c r="G545" s="41"/>
    </row>
    <row r="546" spans="4:7" ht="13">
      <c r="D546" s="41"/>
      <c r="E546" s="41"/>
      <c r="F546" s="41"/>
      <c r="G546" s="41"/>
    </row>
    <row r="547" spans="4:7" ht="13">
      <c r="D547" s="41"/>
      <c r="E547" s="41"/>
      <c r="F547" s="41"/>
      <c r="G547" s="41"/>
    </row>
    <row r="548" spans="4:7" ht="13">
      <c r="D548" s="41"/>
      <c r="E548" s="41"/>
      <c r="F548" s="41"/>
      <c r="G548" s="41"/>
    </row>
    <row r="549" spans="4:7" ht="13">
      <c r="D549" s="41"/>
      <c r="E549" s="41"/>
      <c r="F549" s="41"/>
      <c r="G549" s="41"/>
    </row>
    <row r="550" spans="4:7" ht="13">
      <c r="D550" s="41"/>
      <c r="E550" s="41"/>
      <c r="F550" s="41"/>
      <c r="G550" s="41"/>
    </row>
    <row r="551" spans="4:7" ht="13">
      <c r="D551" s="41"/>
      <c r="E551" s="41"/>
      <c r="F551" s="41"/>
      <c r="G551" s="41"/>
    </row>
    <row r="552" spans="4:7" ht="13">
      <c r="D552" s="41"/>
      <c r="E552" s="41"/>
      <c r="F552" s="41"/>
      <c r="G552" s="41"/>
    </row>
    <row r="553" spans="4:7" ht="13">
      <c r="D553" s="41"/>
      <c r="E553" s="41"/>
      <c r="F553" s="41"/>
      <c r="G553" s="41"/>
    </row>
    <row r="554" spans="4:7" ht="13">
      <c r="D554" s="41"/>
      <c r="E554" s="41"/>
      <c r="F554" s="41"/>
      <c r="G554" s="41"/>
    </row>
    <row r="555" spans="4:7" ht="13">
      <c r="D555" s="41"/>
      <c r="E555" s="41"/>
      <c r="F555" s="41"/>
      <c r="G555" s="41"/>
    </row>
    <row r="556" spans="4:7" ht="13">
      <c r="D556" s="41"/>
      <c r="E556" s="41"/>
      <c r="F556" s="41"/>
      <c r="G556" s="41"/>
    </row>
    <row r="557" spans="4:7" ht="13">
      <c r="D557" s="41"/>
      <c r="E557" s="41"/>
      <c r="F557" s="41"/>
      <c r="G557" s="41"/>
    </row>
    <row r="558" spans="4:7" ht="13">
      <c r="D558" s="41"/>
      <c r="E558" s="41"/>
      <c r="F558" s="41"/>
      <c r="G558" s="41"/>
    </row>
    <row r="559" spans="4:7" ht="13">
      <c r="D559" s="41"/>
      <c r="E559" s="41"/>
      <c r="F559" s="41"/>
      <c r="G559" s="41"/>
    </row>
    <row r="560" spans="4:7" ht="13">
      <c r="D560" s="41"/>
      <c r="E560" s="41"/>
      <c r="F560" s="41"/>
      <c r="G560" s="41"/>
    </row>
    <row r="561" spans="4:7" ht="13">
      <c r="D561" s="41"/>
      <c r="E561" s="41"/>
      <c r="F561" s="41"/>
      <c r="G561" s="41"/>
    </row>
    <row r="562" spans="4:7" ht="13">
      <c r="D562" s="41"/>
      <c r="E562" s="41"/>
      <c r="F562" s="41"/>
      <c r="G562" s="41"/>
    </row>
    <row r="563" spans="4:7" ht="13">
      <c r="D563" s="41"/>
      <c r="E563" s="41"/>
      <c r="F563" s="41"/>
      <c r="G563" s="41"/>
    </row>
    <row r="564" spans="4:7" ht="13">
      <c r="D564" s="41"/>
      <c r="E564" s="41"/>
      <c r="F564" s="41"/>
      <c r="G564" s="41"/>
    </row>
    <row r="565" spans="4:7" ht="13">
      <c r="D565" s="41"/>
      <c r="E565" s="41"/>
      <c r="F565" s="41"/>
      <c r="G565" s="41"/>
    </row>
    <row r="566" spans="4:7" ht="13">
      <c r="D566" s="41"/>
      <c r="E566" s="41"/>
      <c r="F566" s="41"/>
      <c r="G566" s="41"/>
    </row>
    <row r="567" spans="4:7" ht="13">
      <c r="D567" s="41"/>
      <c r="E567" s="41"/>
      <c r="F567" s="41"/>
      <c r="G567" s="41"/>
    </row>
    <row r="568" spans="4:7" ht="13">
      <c r="D568" s="41"/>
      <c r="E568" s="41"/>
      <c r="F568" s="41"/>
      <c r="G568" s="41"/>
    </row>
    <row r="569" spans="4:7" ht="13">
      <c r="D569" s="41"/>
      <c r="E569" s="41"/>
      <c r="F569" s="41"/>
      <c r="G569" s="41"/>
    </row>
    <row r="570" spans="4:7" ht="13">
      <c r="D570" s="41"/>
      <c r="E570" s="41"/>
      <c r="F570" s="41"/>
      <c r="G570" s="41"/>
    </row>
    <row r="571" spans="4:7" ht="13">
      <c r="D571" s="41"/>
      <c r="E571" s="41"/>
      <c r="F571" s="41"/>
      <c r="G571" s="41"/>
    </row>
    <row r="572" spans="4:7" ht="13">
      <c r="D572" s="41"/>
      <c r="E572" s="41"/>
      <c r="F572" s="41"/>
      <c r="G572" s="41"/>
    </row>
    <row r="573" spans="4:7" ht="13">
      <c r="D573" s="41"/>
      <c r="E573" s="41"/>
      <c r="F573" s="41"/>
      <c r="G573" s="41"/>
    </row>
    <row r="574" spans="4:7" ht="13">
      <c r="D574" s="41"/>
      <c r="E574" s="41"/>
      <c r="F574" s="41"/>
      <c r="G574" s="41"/>
    </row>
    <row r="575" spans="4:7" ht="13">
      <c r="D575" s="41"/>
      <c r="E575" s="41"/>
      <c r="F575" s="41"/>
      <c r="G575" s="41"/>
    </row>
    <row r="576" spans="4:7" ht="13">
      <c r="D576" s="41"/>
      <c r="E576" s="41"/>
      <c r="F576" s="41"/>
      <c r="G576" s="41"/>
    </row>
    <row r="577" spans="4:7" ht="13">
      <c r="D577" s="41"/>
      <c r="E577" s="41"/>
      <c r="F577" s="41"/>
      <c r="G577" s="41"/>
    </row>
    <row r="578" spans="4:7" ht="13">
      <c r="D578" s="41"/>
      <c r="E578" s="41"/>
      <c r="F578" s="41"/>
      <c r="G578" s="41"/>
    </row>
    <row r="579" spans="4:7" ht="13">
      <c r="D579" s="41"/>
      <c r="E579" s="41"/>
      <c r="F579" s="41"/>
      <c r="G579" s="41"/>
    </row>
    <row r="580" spans="4:7" ht="13">
      <c r="D580" s="41"/>
      <c r="E580" s="41"/>
      <c r="F580" s="41"/>
      <c r="G580" s="41"/>
    </row>
    <row r="581" spans="4:7" ht="13">
      <c r="D581" s="41"/>
      <c r="E581" s="41"/>
      <c r="F581" s="41"/>
      <c r="G581" s="41"/>
    </row>
    <row r="582" spans="4:7" ht="13">
      <c r="D582" s="41"/>
      <c r="E582" s="41"/>
      <c r="F582" s="41"/>
      <c r="G582" s="41"/>
    </row>
    <row r="583" spans="4:7" ht="13">
      <c r="D583" s="41"/>
      <c r="E583" s="41"/>
      <c r="F583" s="41"/>
      <c r="G583" s="41"/>
    </row>
    <row r="584" spans="4:7" ht="13">
      <c r="D584" s="41"/>
      <c r="E584" s="41"/>
      <c r="F584" s="41"/>
      <c r="G584" s="41"/>
    </row>
    <row r="585" spans="4:7" ht="13">
      <c r="D585" s="41"/>
      <c r="E585" s="41"/>
      <c r="F585" s="41"/>
      <c r="G585" s="41"/>
    </row>
    <row r="586" spans="4:7" ht="13">
      <c r="D586" s="41"/>
      <c r="E586" s="41"/>
      <c r="F586" s="41"/>
      <c r="G586" s="41"/>
    </row>
    <row r="587" spans="4:7" ht="13">
      <c r="D587" s="41"/>
      <c r="E587" s="41"/>
      <c r="F587" s="41"/>
      <c r="G587" s="41"/>
    </row>
    <row r="588" spans="4:7" ht="13">
      <c r="D588" s="41"/>
      <c r="E588" s="41"/>
      <c r="F588" s="41"/>
      <c r="G588" s="41"/>
    </row>
    <row r="589" spans="4:7" ht="13">
      <c r="D589" s="41"/>
      <c r="E589" s="41"/>
      <c r="F589" s="41"/>
      <c r="G589" s="41"/>
    </row>
    <row r="590" spans="4:7" ht="13">
      <c r="D590" s="41"/>
      <c r="E590" s="41"/>
      <c r="F590" s="41"/>
      <c r="G590" s="41"/>
    </row>
    <row r="591" spans="4:7" ht="13">
      <c r="D591" s="41"/>
      <c r="E591" s="41"/>
      <c r="F591" s="41"/>
      <c r="G591" s="41"/>
    </row>
    <row r="592" spans="4:7" ht="13">
      <c r="D592" s="41"/>
      <c r="E592" s="41"/>
      <c r="F592" s="41"/>
      <c r="G592" s="41"/>
    </row>
    <row r="593" spans="4:7" ht="13">
      <c r="D593" s="41"/>
      <c r="E593" s="41"/>
      <c r="F593" s="41"/>
      <c r="G593" s="41"/>
    </row>
    <row r="594" spans="4:7" ht="13">
      <c r="D594" s="41"/>
      <c r="E594" s="41"/>
      <c r="F594" s="41"/>
      <c r="G594" s="41"/>
    </row>
    <row r="595" spans="4:7" ht="13">
      <c r="D595" s="41"/>
      <c r="E595" s="41"/>
      <c r="F595" s="41"/>
      <c r="G595" s="41"/>
    </row>
    <row r="596" spans="4:7" ht="13">
      <c r="D596" s="41"/>
      <c r="E596" s="41"/>
      <c r="F596" s="41"/>
      <c r="G596" s="41"/>
    </row>
    <row r="597" spans="4:7" ht="13">
      <c r="D597" s="41"/>
      <c r="E597" s="41"/>
      <c r="F597" s="41"/>
      <c r="G597" s="41"/>
    </row>
    <row r="598" spans="4:7" ht="13">
      <c r="D598" s="41"/>
      <c r="E598" s="41"/>
      <c r="F598" s="41"/>
      <c r="G598" s="41"/>
    </row>
    <row r="599" spans="4:7" ht="13">
      <c r="D599" s="41"/>
      <c r="E599" s="41"/>
      <c r="F599" s="41"/>
      <c r="G599" s="41"/>
    </row>
    <row r="600" spans="4:7" ht="13">
      <c r="D600" s="41"/>
      <c r="E600" s="41"/>
      <c r="F600" s="41"/>
      <c r="G600" s="41"/>
    </row>
    <row r="601" spans="4:7" ht="13">
      <c r="D601" s="41"/>
      <c r="E601" s="41"/>
      <c r="F601" s="41"/>
      <c r="G601" s="41"/>
    </row>
    <row r="602" spans="4:7" ht="13">
      <c r="D602" s="41"/>
      <c r="E602" s="41"/>
      <c r="F602" s="41"/>
      <c r="G602" s="41"/>
    </row>
    <row r="603" spans="4:7" ht="13">
      <c r="D603" s="41"/>
      <c r="E603" s="41"/>
      <c r="F603" s="41"/>
      <c r="G603" s="41"/>
    </row>
    <row r="604" spans="4:7" ht="13">
      <c r="D604" s="41"/>
      <c r="E604" s="41"/>
      <c r="F604" s="41"/>
      <c r="G604" s="41"/>
    </row>
    <row r="605" spans="4:7" ht="13">
      <c r="D605" s="41"/>
      <c r="E605" s="41"/>
      <c r="F605" s="41"/>
      <c r="G605" s="41"/>
    </row>
    <row r="606" spans="4:7" ht="13">
      <c r="D606" s="41"/>
      <c r="E606" s="41"/>
      <c r="F606" s="41"/>
      <c r="G606" s="41"/>
    </row>
    <row r="607" spans="4:7" ht="13">
      <c r="D607" s="41"/>
      <c r="E607" s="41"/>
      <c r="F607" s="41"/>
      <c r="G607" s="41"/>
    </row>
    <row r="608" spans="4:7" ht="13">
      <c r="D608" s="41"/>
      <c r="E608" s="41"/>
      <c r="F608" s="41"/>
      <c r="G608" s="41"/>
    </row>
    <row r="609" spans="4:7" ht="13">
      <c r="D609" s="41"/>
      <c r="E609" s="41"/>
      <c r="F609" s="41"/>
      <c r="G609" s="41"/>
    </row>
    <row r="610" spans="4:7" ht="13">
      <c r="D610" s="41"/>
      <c r="E610" s="41"/>
      <c r="F610" s="41"/>
      <c r="G610" s="41"/>
    </row>
    <row r="611" spans="4:7" ht="13">
      <c r="D611" s="41"/>
      <c r="E611" s="41"/>
      <c r="F611" s="41"/>
      <c r="G611" s="41"/>
    </row>
    <row r="612" spans="4:7" ht="13">
      <c r="D612" s="41"/>
      <c r="E612" s="41"/>
      <c r="F612" s="41"/>
      <c r="G612" s="41"/>
    </row>
    <row r="613" spans="4:7" ht="13">
      <c r="D613" s="41"/>
      <c r="E613" s="41"/>
      <c r="F613" s="41"/>
      <c r="G613" s="41"/>
    </row>
    <row r="614" spans="4:7" ht="13">
      <c r="D614" s="41"/>
      <c r="E614" s="41"/>
      <c r="F614" s="41"/>
      <c r="G614" s="41"/>
    </row>
    <row r="615" spans="4:7" ht="13">
      <c r="D615" s="41"/>
      <c r="E615" s="41"/>
      <c r="F615" s="41"/>
      <c r="G615" s="41"/>
    </row>
    <row r="616" spans="4:7" ht="13">
      <c r="D616" s="41"/>
      <c r="E616" s="41"/>
      <c r="F616" s="41"/>
      <c r="G616" s="41"/>
    </row>
    <row r="617" spans="4:7" ht="13">
      <c r="D617" s="41"/>
      <c r="E617" s="41"/>
      <c r="F617" s="41"/>
      <c r="G617" s="41"/>
    </row>
    <row r="618" spans="4:7" ht="13">
      <c r="D618" s="41"/>
      <c r="E618" s="41"/>
      <c r="F618" s="41"/>
      <c r="G618" s="41"/>
    </row>
    <row r="619" spans="4:7" ht="13">
      <c r="D619" s="41"/>
      <c r="E619" s="41"/>
      <c r="F619" s="41"/>
      <c r="G619" s="41"/>
    </row>
    <row r="620" spans="4:7" ht="13">
      <c r="D620" s="41"/>
      <c r="E620" s="41"/>
      <c r="F620" s="41"/>
      <c r="G620" s="41"/>
    </row>
    <row r="621" spans="4:7" ht="13">
      <c r="D621" s="41"/>
      <c r="E621" s="41"/>
      <c r="F621" s="41"/>
      <c r="G621" s="41"/>
    </row>
    <row r="622" spans="4:7" ht="13">
      <c r="D622" s="41"/>
      <c r="E622" s="41"/>
      <c r="F622" s="41"/>
      <c r="G622" s="41"/>
    </row>
    <row r="623" spans="4:7" ht="13">
      <c r="D623" s="41"/>
      <c r="E623" s="41"/>
      <c r="F623" s="41"/>
      <c r="G623" s="41"/>
    </row>
    <row r="624" spans="4:7" ht="13">
      <c r="D624" s="41"/>
      <c r="E624" s="41"/>
      <c r="F624" s="41"/>
      <c r="G624" s="41"/>
    </row>
    <row r="625" spans="4:7" ht="13">
      <c r="D625" s="41"/>
      <c r="E625" s="41"/>
      <c r="F625" s="41"/>
      <c r="G625" s="41"/>
    </row>
    <row r="626" spans="4:7" ht="13">
      <c r="D626" s="41"/>
      <c r="E626" s="41"/>
      <c r="F626" s="41"/>
      <c r="G626" s="41"/>
    </row>
    <row r="627" spans="4:7" ht="13">
      <c r="D627" s="41"/>
      <c r="E627" s="41"/>
      <c r="F627" s="41"/>
      <c r="G627" s="41"/>
    </row>
    <row r="628" spans="4:7" ht="13">
      <c r="D628" s="41"/>
      <c r="E628" s="41"/>
      <c r="F628" s="41"/>
      <c r="G628" s="41"/>
    </row>
    <row r="629" spans="4:7" ht="13">
      <c r="D629" s="41"/>
      <c r="E629" s="41"/>
      <c r="F629" s="41"/>
      <c r="G629" s="41"/>
    </row>
    <row r="630" spans="4:7" ht="13">
      <c r="D630" s="41"/>
      <c r="E630" s="41"/>
      <c r="F630" s="41"/>
      <c r="G630" s="41"/>
    </row>
    <row r="631" spans="4:7" ht="13">
      <c r="D631" s="41"/>
      <c r="E631" s="41"/>
      <c r="F631" s="41"/>
      <c r="G631" s="41"/>
    </row>
    <row r="632" spans="4:7" ht="13">
      <c r="D632" s="41"/>
      <c r="E632" s="41"/>
      <c r="F632" s="41"/>
      <c r="G632" s="41"/>
    </row>
    <row r="633" spans="4:7" ht="13">
      <c r="D633" s="41"/>
      <c r="E633" s="41"/>
      <c r="F633" s="41"/>
      <c r="G633" s="41"/>
    </row>
    <row r="634" spans="4:7" ht="13">
      <c r="D634" s="41"/>
      <c r="E634" s="41"/>
      <c r="F634" s="41"/>
      <c r="G634" s="41"/>
    </row>
    <row r="635" spans="4:7" ht="13">
      <c r="D635" s="41"/>
      <c r="E635" s="41"/>
      <c r="F635" s="41"/>
      <c r="G635" s="41"/>
    </row>
    <row r="636" spans="4:7" ht="13">
      <c r="D636" s="41"/>
      <c r="E636" s="41"/>
      <c r="F636" s="41"/>
      <c r="G636" s="41"/>
    </row>
    <row r="637" spans="4:7" ht="13">
      <c r="D637" s="41"/>
      <c r="E637" s="41"/>
      <c r="F637" s="41"/>
      <c r="G637" s="41"/>
    </row>
    <row r="638" spans="4:7" ht="13">
      <c r="D638" s="41"/>
      <c r="E638" s="41"/>
      <c r="F638" s="41"/>
      <c r="G638" s="41"/>
    </row>
    <row r="639" spans="4:7" ht="13">
      <c r="D639" s="41"/>
      <c r="E639" s="41"/>
      <c r="F639" s="41"/>
      <c r="G639" s="41"/>
    </row>
    <row r="640" spans="4:7" ht="13">
      <c r="D640" s="41"/>
      <c r="E640" s="41"/>
      <c r="F640" s="41"/>
      <c r="G640" s="41"/>
    </row>
    <row r="641" spans="4:7" ht="13">
      <c r="D641" s="41"/>
      <c r="E641" s="41"/>
      <c r="F641" s="41"/>
      <c r="G641" s="41"/>
    </row>
    <row r="642" spans="4:7" ht="13">
      <c r="D642" s="41"/>
      <c r="E642" s="41"/>
      <c r="F642" s="41"/>
      <c r="G642" s="41"/>
    </row>
    <row r="643" spans="4:7" ht="13">
      <c r="D643" s="41"/>
      <c r="E643" s="41"/>
      <c r="F643" s="41"/>
      <c r="G643" s="41"/>
    </row>
    <row r="644" spans="4:7" ht="13">
      <c r="D644" s="41"/>
      <c r="E644" s="41"/>
      <c r="F644" s="41"/>
      <c r="G644" s="41"/>
    </row>
    <row r="645" spans="4:7" ht="13">
      <c r="D645" s="41"/>
      <c r="E645" s="41"/>
      <c r="F645" s="41"/>
      <c r="G645" s="41"/>
    </row>
    <row r="646" spans="4:7" ht="13">
      <c r="D646" s="41"/>
      <c r="E646" s="41"/>
      <c r="F646" s="41"/>
      <c r="G646" s="41"/>
    </row>
    <row r="647" spans="4:7" ht="13">
      <c r="D647" s="41"/>
      <c r="E647" s="41"/>
      <c r="F647" s="41"/>
      <c r="G647" s="41"/>
    </row>
    <row r="648" spans="4:7" ht="13">
      <c r="D648" s="41"/>
      <c r="E648" s="41"/>
      <c r="F648" s="41"/>
      <c r="G648" s="41"/>
    </row>
    <row r="649" spans="4:7" ht="13">
      <c r="D649" s="41"/>
      <c r="E649" s="41"/>
      <c r="F649" s="41"/>
      <c r="G649" s="41"/>
    </row>
    <row r="650" spans="4:7" ht="13">
      <c r="D650" s="41"/>
      <c r="E650" s="41"/>
      <c r="F650" s="41"/>
      <c r="G650" s="41"/>
    </row>
    <row r="651" spans="4:7" ht="13">
      <c r="D651" s="41"/>
      <c r="E651" s="41"/>
      <c r="F651" s="41"/>
      <c r="G651" s="41"/>
    </row>
    <row r="652" spans="4:7" ht="13">
      <c r="D652" s="41"/>
      <c r="E652" s="41"/>
      <c r="F652" s="41"/>
      <c r="G652" s="41"/>
    </row>
    <row r="653" spans="4:7" ht="13">
      <c r="D653" s="41"/>
      <c r="E653" s="41"/>
      <c r="F653" s="41"/>
      <c r="G653" s="41"/>
    </row>
    <row r="654" spans="4:7" ht="13">
      <c r="D654" s="41"/>
      <c r="E654" s="41"/>
      <c r="F654" s="41"/>
      <c r="G654" s="41"/>
    </row>
    <row r="655" spans="4:7" ht="13">
      <c r="D655" s="41"/>
      <c r="E655" s="41"/>
      <c r="F655" s="41"/>
      <c r="G655" s="41"/>
    </row>
    <row r="656" spans="4:7" ht="13">
      <c r="D656" s="41"/>
      <c r="E656" s="41"/>
      <c r="F656" s="41"/>
      <c r="G656" s="41"/>
    </row>
    <row r="657" spans="4:7" ht="13">
      <c r="D657" s="41"/>
      <c r="E657" s="41"/>
      <c r="F657" s="41"/>
      <c r="G657" s="41"/>
    </row>
    <row r="658" spans="4:7" ht="13">
      <c r="D658" s="41"/>
      <c r="E658" s="41"/>
      <c r="F658" s="41"/>
      <c r="G658" s="41"/>
    </row>
    <row r="659" spans="4:7" ht="13">
      <c r="D659" s="41"/>
      <c r="E659" s="41"/>
      <c r="F659" s="41"/>
      <c r="G659" s="41"/>
    </row>
    <row r="660" spans="4:7" ht="13">
      <c r="D660" s="41"/>
      <c r="E660" s="41"/>
      <c r="F660" s="41"/>
      <c r="G660" s="41"/>
    </row>
    <row r="661" spans="4:7" ht="13">
      <c r="D661" s="41"/>
      <c r="E661" s="41"/>
      <c r="F661" s="41"/>
      <c r="G661" s="41"/>
    </row>
    <row r="662" spans="4:7" ht="13">
      <c r="D662" s="41"/>
      <c r="E662" s="41"/>
      <c r="F662" s="41"/>
      <c r="G662" s="41"/>
    </row>
    <row r="663" spans="4:7" ht="13">
      <c r="D663" s="41"/>
      <c r="E663" s="41"/>
      <c r="F663" s="41"/>
      <c r="G663" s="41"/>
    </row>
    <row r="664" spans="4:7" ht="13">
      <c r="D664" s="41"/>
      <c r="E664" s="41"/>
      <c r="F664" s="41"/>
      <c r="G664" s="41"/>
    </row>
    <row r="665" spans="4:7" ht="13">
      <c r="D665" s="41"/>
      <c r="E665" s="41"/>
      <c r="F665" s="41"/>
      <c r="G665" s="41"/>
    </row>
    <row r="666" spans="4:7" ht="13">
      <c r="D666" s="41"/>
      <c r="E666" s="41"/>
      <c r="F666" s="41"/>
      <c r="G666" s="41"/>
    </row>
    <row r="667" spans="4:7" ht="13">
      <c r="D667" s="41"/>
      <c r="E667" s="41"/>
      <c r="F667" s="41"/>
      <c r="G667" s="41"/>
    </row>
    <row r="668" spans="4:7" ht="13">
      <c r="D668" s="41"/>
      <c r="E668" s="41"/>
      <c r="F668" s="41"/>
      <c r="G668" s="41"/>
    </row>
    <row r="669" spans="4:7" ht="13">
      <c r="D669" s="41"/>
      <c r="E669" s="41"/>
      <c r="F669" s="41"/>
      <c r="G669" s="41"/>
    </row>
    <row r="670" spans="4:7" ht="13">
      <c r="D670" s="41"/>
      <c r="E670" s="41"/>
      <c r="F670" s="41"/>
      <c r="G670" s="41"/>
    </row>
    <row r="671" spans="4:7" ht="13">
      <c r="D671" s="41"/>
      <c r="E671" s="41"/>
      <c r="F671" s="41"/>
      <c r="G671" s="41"/>
    </row>
    <row r="672" spans="4:7" ht="13">
      <c r="D672" s="41"/>
      <c r="E672" s="41"/>
      <c r="F672" s="41"/>
      <c r="G672" s="41"/>
    </row>
    <row r="673" spans="4:7" ht="13">
      <c r="D673" s="41"/>
      <c r="E673" s="41"/>
      <c r="F673" s="41"/>
      <c r="G673" s="41"/>
    </row>
    <row r="674" spans="4:7" ht="13">
      <c r="D674" s="41"/>
      <c r="E674" s="41"/>
      <c r="F674" s="41"/>
      <c r="G674" s="41"/>
    </row>
    <row r="675" spans="4:7" ht="13">
      <c r="D675" s="41"/>
      <c r="E675" s="41"/>
      <c r="F675" s="41"/>
      <c r="G675" s="41"/>
    </row>
    <row r="676" spans="4:7" ht="13">
      <c r="D676" s="41"/>
      <c r="E676" s="41"/>
      <c r="F676" s="41"/>
      <c r="G676" s="41"/>
    </row>
    <row r="677" spans="4:7" ht="13">
      <c r="D677" s="41"/>
      <c r="E677" s="41"/>
      <c r="F677" s="41"/>
      <c r="G677" s="41"/>
    </row>
    <row r="678" spans="4:7" ht="13">
      <c r="D678" s="41"/>
      <c r="E678" s="41"/>
      <c r="F678" s="41"/>
      <c r="G678" s="41"/>
    </row>
    <row r="679" spans="4:7" ht="13">
      <c r="D679" s="41"/>
      <c r="E679" s="41"/>
      <c r="F679" s="41"/>
      <c r="G679" s="41"/>
    </row>
    <row r="680" spans="4:7" ht="13">
      <c r="D680" s="41"/>
      <c r="E680" s="41"/>
      <c r="F680" s="41"/>
      <c r="G680" s="41"/>
    </row>
    <row r="681" spans="4:7" ht="13">
      <c r="D681" s="41"/>
      <c r="E681" s="41"/>
      <c r="F681" s="41"/>
      <c r="G681" s="41"/>
    </row>
    <row r="682" spans="4:7" ht="13">
      <c r="D682" s="41"/>
      <c r="E682" s="41"/>
      <c r="F682" s="41"/>
      <c r="G682" s="41"/>
    </row>
    <row r="683" spans="4:7" ht="13">
      <c r="D683" s="41"/>
      <c r="E683" s="41"/>
      <c r="F683" s="41"/>
      <c r="G683" s="41"/>
    </row>
    <row r="684" spans="4:7" ht="13">
      <c r="D684" s="41"/>
      <c r="E684" s="41"/>
      <c r="F684" s="41"/>
      <c r="G684" s="41"/>
    </row>
    <row r="685" spans="4:7" ht="13">
      <c r="D685" s="41"/>
      <c r="E685" s="41"/>
      <c r="F685" s="41"/>
      <c r="G685" s="41"/>
    </row>
    <row r="686" spans="4:7" ht="13">
      <c r="D686" s="41"/>
      <c r="E686" s="41"/>
      <c r="F686" s="41"/>
      <c r="G686" s="41"/>
    </row>
    <row r="687" spans="4:7" ht="13">
      <c r="D687" s="41"/>
      <c r="E687" s="41"/>
      <c r="F687" s="41"/>
      <c r="G687" s="41"/>
    </row>
    <row r="688" spans="4:7" ht="13">
      <c r="D688" s="41"/>
      <c r="E688" s="41"/>
      <c r="F688" s="41"/>
      <c r="G688" s="41"/>
    </row>
    <row r="689" spans="4:7" ht="13">
      <c r="D689" s="41"/>
      <c r="E689" s="41"/>
      <c r="F689" s="41"/>
      <c r="G689" s="41"/>
    </row>
    <row r="690" spans="4:7" ht="13">
      <c r="D690" s="41"/>
      <c r="E690" s="41"/>
      <c r="F690" s="41"/>
      <c r="G690" s="41"/>
    </row>
    <row r="691" spans="4:7" ht="13">
      <c r="D691" s="41"/>
      <c r="E691" s="41"/>
      <c r="F691" s="41"/>
      <c r="G691" s="41"/>
    </row>
    <row r="692" spans="4:7" ht="13">
      <c r="D692" s="41"/>
      <c r="E692" s="41"/>
      <c r="F692" s="41"/>
      <c r="G692" s="41"/>
    </row>
    <row r="693" spans="4:7" ht="13">
      <c r="D693" s="41"/>
      <c r="E693" s="41"/>
      <c r="F693" s="41"/>
      <c r="G693" s="41"/>
    </row>
    <row r="694" spans="4:7" ht="13">
      <c r="D694" s="41"/>
      <c r="E694" s="41"/>
      <c r="F694" s="41"/>
      <c r="G694" s="41"/>
    </row>
    <row r="695" spans="4:7" ht="13">
      <c r="D695" s="41"/>
      <c r="E695" s="41"/>
      <c r="F695" s="41"/>
      <c r="G695" s="41"/>
    </row>
    <row r="696" spans="4:7" ht="13">
      <c r="D696" s="41"/>
      <c r="E696" s="41"/>
      <c r="F696" s="41"/>
      <c r="G696" s="41"/>
    </row>
    <row r="697" spans="4:7" ht="13">
      <c r="D697" s="41"/>
      <c r="E697" s="41"/>
      <c r="F697" s="41"/>
      <c r="G697" s="41"/>
    </row>
    <row r="698" spans="4:7" ht="13">
      <c r="D698" s="41"/>
      <c r="E698" s="41"/>
      <c r="F698" s="41"/>
      <c r="G698" s="41"/>
    </row>
    <row r="699" spans="4:7" ht="13">
      <c r="D699" s="41"/>
      <c r="E699" s="41"/>
      <c r="F699" s="41"/>
      <c r="G699" s="41"/>
    </row>
    <row r="700" spans="4:7" ht="13">
      <c r="D700" s="41"/>
      <c r="E700" s="41"/>
      <c r="F700" s="41"/>
      <c r="G700" s="41"/>
    </row>
    <row r="701" spans="4:7" ht="13">
      <c r="D701" s="41"/>
      <c r="E701" s="41"/>
      <c r="F701" s="41"/>
      <c r="G701" s="41"/>
    </row>
    <row r="702" spans="4:7" ht="13">
      <c r="D702" s="41"/>
      <c r="E702" s="41"/>
      <c r="F702" s="41"/>
      <c r="G702" s="41"/>
    </row>
    <row r="703" spans="4:7" ht="13">
      <c r="D703" s="41"/>
      <c r="E703" s="41"/>
      <c r="F703" s="41"/>
      <c r="G703" s="41"/>
    </row>
    <row r="704" spans="4:7" ht="13">
      <c r="D704" s="41"/>
      <c r="E704" s="41"/>
      <c r="F704" s="41"/>
      <c r="G704" s="41"/>
    </row>
    <row r="705" spans="4:7" ht="13">
      <c r="D705" s="41"/>
      <c r="E705" s="41"/>
      <c r="F705" s="41"/>
      <c r="G705" s="41"/>
    </row>
    <row r="706" spans="4:7" ht="13">
      <c r="D706" s="41"/>
      <c r="E706" s="41"/>
      <c r="F706" s="41"/>
      <c r="G706" s="41"/>
    </row>
    <row r="707" spans="4:7" ht="13">
      <c r="D707" s="41"/>
      <c r="E707" s="41"/>
      <c r="F707" s="41"/>
      <c r="G707" s="41"/>
    </row>
    <row r="708" spans="4:7" ht="13">
      <c r="D708" s="41"/>
      <c r="E708" s="41"/>
      <c r="F708" s="41"/>
      <c r="G708" s="41"/>
    </row>
    <row r="709" spans="4:7" ht="13">
      <c r="D709" s="41"/>
      <c r="E709" s="41"/>
      <c r="F709" s="41"/>
      <c r="G709" s="41"/>
    </row>
    <row r="710" spans="4:7" ht="13">
      <c r="D710" s="41"/>
      <c r="E710" s="41"/>
      <c r="F710" s="41"/>
      <c r="G710" s="41"/>
    </row>
    <row r="711" spans="4:7" ht="13">
      <c r="D711" s="41"/>
      <c r="E711" s="41"/>
      <c r="F711" s="41"/>
      <c r="G711" s="41"/>
    </row>
    <row r="712" spans="4:7" ht="13">
      <c r="D712" s="41"/>
      <c r="E712" s="41"/>
      <c r="F712" s="41"/>
      <c r="G712" s="41"/>
    </row>
    <row r="713" spans="4:7" ht="13">
      <c r="D713" s="41"/>
      <c r="E713" s="41"/>
      <c r="F713" s="41"/>
      <c r="G713" s="41"/>
    </row>
    <row r="714" spans="4:7" ht="13">
      <c r="D714" s="41"/>
      <c r="E714" s="41"/>
      <c r="F714" s="41"/>
      <c r="G714" s="41"/>
    </row>
    <row r="715" spans="4:7" ht="13">
      <c r="D715" s="41"/>
      <c r="E715" s="41"/>
      <c r="F715" s="41"/>
      <c r="G715" s="41"/>
    </row>
    <row r="716" spans="4:7" ht="13">
      <c r="D716" s="41"/>
      <c r="E716" s="41"/>
      <c r="F716" s="41"/>
      <c r="G716" s="41"/>
    </row>
    <row r="717" spans="4:7" ht="13">
      <c r="D717" s="41"/>
      <c r="E717" s="41"/>
      <c r="F717" s="41"/>
      <c r="G717" s="41"/>
    </row>
    <row r="718" spans="4:7" ht="13">
      <c r="D718" s="41"/>
      <c r="E718" s="41"/>
      <c r="F718" s="41"/>
      <c r="G718" s="41"/>
    </row>
    <row r="719" spans="4:7" ht="13">
      <c r="D719" s="41"/>
      <c r="E719" s="41"/>
      <c r="F719" s="41"/>
      <c r="G719" s="41"/>
    </row>
    <row r="720" spans="4:7" ht="13">
      <c r="D720" s="41"/>
      <c r="E720" s="41"/>
      <c r="F720" s="41"/>
      <c r="G720" s="41"/>
    </row>
    <row r="721" spans="4:7" ht="13">
      <c r="D721" s="41"/>
      <c r="E721" s="41"/>
      <c r="F721" s="41"/>
      <c r="G721" s="41"/>
    </row>
    <row r="722" spans="4:7" ht="13">
      <c r="D722" s="41"/>
      <c r="E722" s="41"/>
      <c r="F722" s="41"/>
      <c r="G722" s="41"/>
    </row>
    <row r="723" spans="4:7" ht="13">
      <c r="D723" s="41"/>
      <c r="E723" s="41"/>
      <c r="F723" s="41"/>
      <c r="G723" s="41"/>
    </row>
    <row r="724" spans="4:7" ht="13">
      <c r="D724" s="41"/>
      <c r="E724" s="41"/>
      <c r="F724" s="41"/>
      <c r="G724" s="41"/>
    </row>
    <row r="725" spans="4:7" ht="13">
      <c r="D725" s="41"/>
      <c r="E725" s="41"/>
      <c r="F725" s="41"/>
      <c r="G725" s="41"/>
    </row>
    <row r="726" spans="4:7" ht="13">
      <c r="D726" s="41"/>
      <c r="E726" s="41"/>
      <c r="F726" s="41"/>
      <c r="G726" s="41"/>
    </row>
    <row r="727" spans="4:7" ht="13">
      <c r="D727" s="41"/>
      <c r="E727" s="41"/>
      <c r="F727" s="41"/>
      <c r="G727" s="41"/>
    </row>
    <row r="728" spans="4:7" ht="13">
      <c r="D728" s="41"/>
      <c r="E728" s="41"/>
      <c r="F728" s="41"/>
      <c r="G728" s="41"/>
    </row>
    <row r="729" spans="4:7" ht="13">
      <c r="D729" s="41"/>
      <c r="E729" s="41"/>
      <c r="F729" s="41"/>
      <c r="G729" s="41"/>
    </row>
    <row r="730" spans="4:7" ht="13">
      <c r="D730" s="41"/>
      <c r="E730" s="41"/>
      <c r="F730" s="41"/>
      <c r="G730" s="41"/>
    </row>
    <row r="731" spans="4:7" ht="13">
      <c r="D731" s="41"/>
      <c r="E731" s="41"/>
      <c r="F731" s="41"/>
      <c r="G731" s="41"/>
    </row>
    <row r="732" spans="4:7" ht="13">
      <c r="D732" s="41"/>
      <c r="E732" s="41"/>
      <c r="F732" s="41"/>
      <c r="G732" s="41"/>
    </row>
    <row r="733" spans="4:7" ht="13">
      <c r="D733" s="41"/>
      <c r="E733" s="41"/>
      <c r="F733" s="41"/>
      <c r="G733" s="41"/>
    </row>
    <row r="734" spans="4:7" ht="13">
      <c r="D734" s="41"/>
      <c r="E734" s="41"/>
      <c r="F734" s="41"/>
      <c r="G734" s="41"/>
    </row>
    <row r="735" spans="4:7" ht="13">
      <c r="D735" s="41"/>
      <c r="E735" s="41"/>
      <c r="F735" s="41"/>
      <c r="G735" s="41"/>
    </row>
    <row r="736" spans="4:7" ht="13">
      <c r="D736" s="41"/>
      <c r="E736" s="41"/>
      <c r="F736" s="41"/>
      <c r="G736" s="41"/>
    </row>
    <row r="737" spans="4:7" ht="13">
      <c r="D737" s="41"/>
      <c r="E737" s="41"/>
      <c r="F737" s="41"/>
      <c r="G737" s="41"/>
    </row>
    <row r="738" spans="4:7" ht="13">
      <c r="D738" s="41"/>
      <c r="E738" s="41"/>
      <c r="F738" s="41"/>
      <c r="G738" s="41"/>
    </row>
    <row r="739" spans="4:7" ht="13">
      <c r="D739" s="41"/>
      <c r="E739" s="41"/>
      <c r="F739" s="41"/>
      <c r="G739" s="41"/>
    </row>
    <row r="740" spans="4:7" ht="13">
      <c r="D740" s="41"/>
      <c r="E740" s="41"/>
      <c r="F740" s="41"/>
      <c r="G740" s="41"/>
    </row>
    <row r="741" spans="4:7" ht="13">
      <c r="D741" s="41"/>
      <c r="E741" s="41"/>
      <c r="F741" s="41"/>
      <c r="G741" s="41"/>
    </row>
    <row r="742" spans="4:7" ht="13">
      <c r="D742" s="41"/>
      <c r="E742" s="41"/>
      <c r="F742" s="41"/>
      <c r="G742" s="41"/>
    </row>
    <row r="743" spans="4:7" ht="13">
      <c r="D743" s="41"/>
      <c r="E743" s="41"/>
      <c r="F743" s="41"/>
      <c r="G743" s="41"/>
    </row>
    <row r="744" spans="4:7" ht="13">
      <c r="D744" s="41"/>
      <c r="E744" s="41"/>
      <c r="F744" s="41"/>
      <c r="G744" s="41"/>
    </row>
    <row r="745" spans="4:7" ht="13">
      <c r="D745" s="41"/>
      <c r="E745" s="41"/>
      <c r="F745" s="41"/>
      <c r="G745" s="41"/>
    </row>
    <row r="746" spans="4:7" ht="13">
      <c r="D746" s="41"/>
      <c r="E746" s="41"/>
      <c r="F746" s="41"/>
      <c r="G746" s="41"/>
    </row>
    <row r="747" spans="4:7" ht="13">
      <c r="D747" s="41"/>
      <c r="E747" s="41"/>
      <c r="F747" s="41"/>
      <c r="G747" s="41"/>
    </row>
    <row r="748" spans="4:7" ht="13">
      <c r="D748" s="41"/>
      <c r="E748" s="41"/>
      <c r="F748" s="41"/>
      <c r="G748" s="41"/>
    </row>
    <row r="749" spans="4:7" ht="13">
      <c r="D749" s="41"/>
      <c r="E749" s="41"/>
      <c r="F749" s="41"/>
      <c r="G749" s="41"/>
    </row>
    <row r="750" spans="4:7" ht="13">
      <c r="D750" s="41"/>
      <c r="E750" s="41"/>
      <c r="F750" s="41"/>
      <c r="G750" s="41"/>
    </row>
    <row r="751" spans="4:7" ht="13">
      <c r="D751" s="41"/>
      <c r="E751" s="41"/>
      <c r="F751" s="41"/>
      <c r="G751" s="41"/>
    </row>
    <row r="752" spans="4:7" ht="13">
      <c r="D752" s="41"/>
      <c r="E752" s="41"/>
      <c r="F752" s="41"/>
      <c r="G752" s="41"/>
    </row>
    <row r="753" spans="4:7" ht="13">
      <c r="D753" s="41"/>
      <c r="E753" s="41"/>
      <c r="F753" s="41"/>
      <c r="G753" s="41"/>
    </row>
    <row r="754" spans="4:7" ht="13">
      <c r="D754" s="41"/>
      <c r="E754" s="41"/>
      <c r="F754" s="41"/>
      <c r="G754" s="41"/>
    </row>
    <row r="755" spans="4:7" ht="13">
      <c r="D755" s="41"/>
      <c r="E755" s="41"/>
      <c r="F755" s="41"/>
      <c r="G755" s="41"/>
    </row>
    <row r="756" spans="4:7" ht="13">
      <c r="D756" s="41"/>
      <c r="E756" s="41"/>
      <c r="F756" s="41"/>
      <c r="G756" s="41"/>
    </row>
    <row r="757" spans="4:7" ht="13">
      <c r="D757" s="41"/>
      <c r="E757" s="41"/>
      <c r="F757" s="41"/>
      <c r="G757" s="41"/>
    </row>
    <row r="758" spans="4:7" ht="13">
      <c r="D758" s="41"/>
      <c r="E758" s="41"/>
      <c r="F758" s="41"/>
      <c r="G758" s="41"/>
    </row>
    <row r="759" spans="4:7" ht="13">
      <c r="D759" s="41"/>
      <c r="E759" s="41"/>
      <c r="F759" s="41"/>
      <c r="G759" s="41"/>
    </row>
    <row r="760" spans="4:7" ht="13">
      <c r="D760" s="41"/>
      <c r="E760" s="41"/>
      <c r="F760" s="41"/>
      <c r="G760" s="41"/>
    </row>
    <row r="761" spans="4:7" ht="13">
      <c r="D761" s="41"/>
      <c r="E761" s="41"/>
      <c r="F761" s="41"/>
      <c r="G761" s="41"/>
    </row>
    <row r="762" spans="4:7" ht="13">
      <c r="D762" s="41"/>
      <c r="E762" s="41"/>
      <c r="F762" s="41"/>
      <c r="G762" s="41"/>
    </row>
    <row r="763" spans="4:7" ht="13">
      <c r="D763" s="41"/>
      <c r="E763" s="41"/>
      <c r="F763" s="41"/>
      <c r="G763" s="41"/>
    </row>
    <row r="764" spans="4:7" ht="13">
      <c r="D764" s="41"/>
      <c r="E764" s="41"/>
      <c r="F764" s="41"/>
      <c r="G764" s="41"/>
    </row>
    <row r="765" spans="4:7" ht="13">
      <c r="D765" s="41"/>
      <c r="E765" s="41"/>
      <c r="F765" s="41"/>
      <c r="G765" s="41"/>
    </row>
    <row r="766" spans="4:7" ht="13">
      <c r="D766" s="41"/>
      <c r="E766" s="41"/>
      <c r="F766" s="41"/>
      <c r="G766" s="41"/>
    </row>
    <row r="767" spans="4:7" ht="13">
      <c r="D767" s="41"/>
      <c r="E767" s="41"/>
      <c r="F767" s="41"/>
      <c r="G767" s="41"/>
    </row>
    <row r="768" spans="4:7" ht="13">
      <c r="D768" s="41"/>
      <c r="E768" s="41"/>
      <c r="F768" s="41"/>
      <c r="G768" s="41"/>
    </row>
    <row r="769" spans="4:7" ht="13">
      <c r="D769" s="41"/>
      <c r="E769" s="41"/>
      <c r="F769" s="41"/>
      <c r="G769" s="41"/>
    </row>
    <row r="770" spans="4:7" ht="13">
      <c r="D770" s="41"/>
      <c r="E770" s="41"/>
      <c r="F770" s="41"/>
      <c r="G770" s="41"/>
    </row>
    <row r="771" spans="4:7" ht="13">
      <c r="D771" s="41"/>
      <c r="E771" s="41"/>
      <c r="F771" s="41"/>
      <c r="G771" s="41"/>
    </row>
    <row r="772" spans="4:7" ht="13">
      <c r="D772" s="41"/>
      <c r="E772" s="41"/>
      <c r="F772" s="41"/>
      <c r="G772" s="41"/>
    </row>
    <row r="773" spans="4:7" ht="13">
      <c r="D773" s="41"/>
      <c r="E773" s="41"/>
      <c r="F773" s="41"/>
      <c r="G773" s="41"/>
    </row>
    <row r="774" spans="4:7" ht="13">
      <c r="D774" s="41"/>
      <c r="E774" s="41"/>
      <c r="F774" s="41"/>
      <c r="G774" s="41"/>
    </row>
    <row r="775" spans="4:7" ht="13">
      <c r="D775" s="41"/>
      <c r="E775" s="41"/>
      <c r="F775" s="41"/>
      <c r="G775" s="41"/>
    </row>
    <row r="776" spans="4:7" ht="13">
      <c r="D776" s="41"/>
      <c r="E776" s="41"/>
      <c r="F776" s="41"/>
      <c r="G776" s="41"/>
    </row>
    <row r="777" spans="4:7" ht="13">
      <c r="D777" s="41"/>
      <c r="E777" s="41"/>
      <c r="F777" s="41"/>
      <c r="G777" s="41"/>
    </row>
    <row r="778" spans="4:7" ht="13">
      <c r="D778" s="41"/>
      <c r="E778" s="41"/>
      <c r="F778" s="41"/>
      <c r="G778" s="41"/>
    </row>
    <row r="779" spans="4:7" ht="13">
      <c r="D779" s="41"/>
      <c r="E779" s="41"/>
      <c r="F779" s="41"/>
      <c r="G779" s="41"/>
    </row>
    <row r="780" spans="4:7" ht="13">
      <c r="D780" s="41"/>
      <c r="E780" s="41"/>
      <c r="F780" s="41"/>
      <c r="G780" s="41"/>
    </row>
    <row r="781" spans="4:7" ht="13">
      <c r="D781" s="41"/>
      <c r="E781" s="41"/>
      <c r="F781" s="41"/>
      <c r="G781" s="41"/>
    </row>
    <row r="782" spans="4:7" ht="13">
      <c r="D782" s="41"/>
      <c r="E782" s="41"/>
      <c r="F782" s="41"/>
      <c r="G782" s="41"/>
    </row>
    <row r="783" spans="4:7" ht="13">
      <c r="D783" s="41"/>
      <c r="E783" s="41"/>
      <c r="F783" s="41"/>
      <c r="G783" s="41"/>
    </row>
    <row r="784" spans="4:7" ht="13">
      <c r="D784" s="41"/>
      <c r="E784" s="41"/>
      <c r="F784" s="41"/>
      <c r="G784" s="41"/>
    </row>
    <row r="785" spans="4:7" ht="13">
      <c r="D785" s="41"/>
      <c r="E785" s="41"/>
      <c r="F785" s="41"/>
      <c r="G785" s="41"/>
    </row>
    <row r="786" spans="4:7" ht="13">
      <c r="D786" s="41"/>
      <c r="E786" s="41"/>
      <c r="F786" s="41"/>
      <c r="G786" s="41"/>
    </row>
    <row r="787" spans="4:7" ht="13">
      <c r="D787" s="41"/>
      <c r="E787" s="41"/>
      <c r="F787" s="41"/>
      <c r="G787" s="41"/>
    </row>
    <row r="788" spans="4:7" ht="13">
      <c r="D788" s="41"/>
      <c r="E788" s="41"/>
      <c r="F788" s="41"/>
      <c r="G788" s="41"/>
    </row>
    <row r="789" spans="4:7" ht="13">
      <c r="D789" s="41"/>
      <c r="E789" s="41"/>
      <c r="F789" s="41"/>
      <c r="G789" s="41"/>
    </row>
    <row r="790" spans="4:7" ht="13">
      <c r="D790" s="41"/>
      <c r="E790" s="41"/>
      <c r="F790" s="41"/>
      <c r="G790" s="41"/>
    </row>
    <row r="791" spans="4:7" ht="13">
      <c r="D791" s="41"/>
      <c r="E791" s="41"/>
      <c r="F791" s="41"/>
      <c r="G791" s="41"/>
    </row>
    <row r="792" spans="4:7" ht="13">
      <c r="D792" s="41"/>
      <c r="E792" s="41"/>
      <c r="F792" s="41"/>
      <c r="G792" s="41"/>
    </row>
    <row r="793" spans="4:7" ht="13">
      <c r="D793" s="41"/>
      <c r="E793" s="41"/>
      <c r="F793" s="41"/>
      <c r="G793" s="41"/>
    </row>
    <row r="794" spans="4:7" ht="13">
      <c r="D794" s="41"/>
      <c r="E794" s="41"/>
      <c r="F794" s="41"/>
      <c r="G794" s="41"/>
    </row>
    <row r="795" spans="4:7" ht="13">
      <c r="D795" s="41"/>
      <c r="E795" s="41"/>
      <c r="F795" s="41"/>
      <c r="G795" s="41"/>
    </row>
    <row r="796" spans="4:7" ht="13">
      <c r="D796" s="41"/>
      <c r="E796" s="41"/>
      <c r="F796" s="41"/>
      <c r="G796" s="41"/>
    </row>
    <row r="797" spans="4:7" ht="13">
      <c r="D797" s="41"/>
      <c r="E797" s="41"/>
      <c r="F797" s="41"/>
      <c r="G797" s="41"/>
    </row>
    <row r="798" spans="4:7" ht="13">
      <c r="D798" s="41"/>
      <c r="E798" s="41"/>
      <c r="F798" s="41"/>
      <c r="G798" s="41"/>
    </row>
    <row r="799" spans="4:7" ht="13">
      <c r="D799" s="41"/>
      <c r="E799" s="41"/>
      <c r="F799" s="41"/>
      <c r="G799" s="41"/>
    </row>
    <row r="800" spans="4:7" ht="13">
      <c r="D800" s="41"/>
      <c r="E800" s="41"/>
      <c r="F800" s="41"/>
      <c r="G800" s="41"/>
    </row>
    <row r="801" spans="4:7" ht="13">
      <c r="D801" s="41"/>
      <c r="E801" s="41"/>
      <c r="F801" s="41"/>
      <c r="G801" s="41"/>
    </row>
    <row r="802" spans="4:7" ht="13">
      <c r="D802" s="41"/>
      <c r="E802" s="41"/>
      <c r="F802" s="41"/>
      <c r="G802" s="41"/>
    </row>
    <row r="803" spans="4:7" ht="13">
      <c r="D803" s="41"/>
      <c r="E803" s="41"/>
      <c r="F803" s="41"/>
      <c r="G803" s="41"/>
    </row>
    <row r="804" spans="4:7" ht="13">
      <c r="D804" s="41"/>
      <c r="E804" s="41"/>
      <c r="F804" s="41"/>
      <c r="G804" s="41"/>
    </row>
    <row r="805" spans="4:7" ht="13">
      <c r="D805" s="41"/>
      <c r="E805" s="41"/>
      <c r="F805" s="41"/>
      <c r="G805" s="41"/>
    </row>
    <row r="806" spans="4:7" ht="13">
      <c r="D806" s="41"/>
      <c r="E806" s="41"/>
      <c r="F806" s="41"/>
      <c r="G806" s="41"/>
    </row>
    <row r="807" spans="4:7" ht="13">
      <c r="D807" s="41"/>
      <c r="E807" s="41"/>
      <c r="F807" s="41"/>
      <c r="G807" s="41"/>
    </row>
    <row r="808" spans="4:7" ht="13">
      <c r="D808" s="41"/>
      <c r="E808" s="41"/>
      <c r="F808" s="41"/>
      <c r="G808" s="41"/>
    </row>
    <row r="809" spans="4:7" ht="13">
      <c r="D809" s="41"/>
      <c r="E809" s="41"/>
      <c r="F809" s="41"/>
      <c r="G809" s="41"/>
    </row>
    <row r="810" spans="4:7" ht="13">
      <c r="D810" s="41"/>
      <c r="E810" s="41"/>
      <c r="F810" s="41"/>
      <c r="G810" s="41"/>
    </row>
    <row r="811" spans="4:7" ht="13">
      <c r="D811" s="41"/>
      <c r="E811" s="41"/>
      <c r="F811" s="41"/>
      <c r="G811" s="41"/>
    </row>
    <row r="812" spans="4:7" ht="13">
      <c r="D812" s="41"/>
      <c r="E812" s="41"/>
      <c r="F812" s="41"/>
      <c r="G812" s="41"/>
    </row>
    <row r="813" spans="4:7" ht="13">
      <c r="D813" s="41"/>
      <c r="E813" s="41"/>
      <c r="F813" s="41"/>
      <c r="G813" s="41"/>
    </row>
    <row r="814" spans="4:7" ht="13">
      <c r="D814" s="41"/>
      <c r="E814" s="41"/>
      <c r="F814" s="41"/>
      <c r="G814" s="41"/>
    </row>
    <row r="815" spans="4:7" ht="13">
      <c r="D815" s="41"/>
      <c r="E815" s="41"/>
      <c r="F815" s="41"/>
      <c r="G815" s="41"/>
    </row>
    <row r="816" spans="4:7" ht="13">
      <c r="D816" s="41"/>
      <c r="E816" s="41"/>
      <c r="F816" s="41"/>
      <c r="G816" s="41"/>
    </row>
    <row r="817" spans="4:7" ht="13">
      <c r="D817" s="41"/>
      <c r="E817" s="41"/>
      <c r="F817" s="41"/>
      <c r="G817" s="41"/>
    </row>
    <row r="818" spans="4:7" ht="13">
      <c r="D818" s="41"/>
      <c r="E818" s="41"/>
      <c r="F818" s="41"/>
      <c r="G818" s="41"/>
    </row>
    <row r="819" spans="4:7" ht="13">
      <c r="D819" s="41"/>
      <c r="E819" s="41"/>
      <c r="F819" s="41"/>
      <c r="G819" s="41"/>
    </row>
    <row r="820" spans="4:7" ht="13">
      <c r="D820" s="41"/>
      <c r="E820" s="41"/>
      <c r="F820" s="41"/>
      <c r="G820" s="41"/>
    </row>
    <row r="821" spans="4:7" ht="13">
      <c r="D821" s="41"/>
      <c r="E821" s="41"/>
      <c r="F821" s="41"/>
      <c r="G821" s="41"/>
    </row>
    <row r="822" spans="4:7" ht="13">
      <c r="D822" s="41"/>
      <c r="E822" s="41"/>
      <c r="F822" s="41"/>
      <c r="G822" s="41"/>
    </row>
    <row r="823" spans="4:7" ht="13">
      <c r="D823" s="41"/>
      <c r="E823" s="41"/>
      <c r="F823" s="41"/>
      <c r="G823" s="41"/>
    </row>
    <row r="824" spans="4:7" ht="13">
      <c r="D824" s="41"/>
      <c r="E824" s="41"/>
      <c r="F824" s="41"/>
      <c r="G824" s="41"/>
    </row>
    <row r="825" spans="4:7" ht="13">
      <c r="D825" s="41"/>
      <c r="E825" s="41"/>
      <c r="F825" s="41"/>
      <c r="G825" s="41"/>
    </row>
    <row r="826" spans="4:7" ht="13">
      <c r="D826" s="41"/>
      <c r="E826" s="41"/>
      <c r="F826" s="41"/>
      <c r="G826" s="41"/>
    </row>
    <row r="827" spans="4:7" ht="13">
      <c r="D827" s="41"/>
      <c r="E827" s="41"/>
      <c r="F827" s="41"/>
      <c r="G827" s="41"/>
    </row>
    <row r="828" spans="4:7" ht="13">
      <c r="D828" s="41"/>
      <c r="E828" s="41"/>
      <c r="F828" s="41"/>
      <c r="G828" s="41"/>
    </row>
    <row r="829" spans="4:7" ht="13">
      <c r="D829" s="41"/>
      <c r="E829" s="41"/>
      <c r="F829" s="41"/>
      <c r="G829" s="41"/>
    </row>
    <row r="830" spans="4:7" ht="13">
      <c r="D830" s="41"/>
      <c r="E830" s="41"/>
      <c r="F830" s="41"/>
      <c r="G830" s="41"/>
    </row>
    <row r="831" spans="4:7" ht="13">
      <c r="D831" s="41"/>
      <c r="E831" s="41"/>
      <c r="F831" s="41"/>
      <c r="G831" s="41"/>
    </row>
    <row r="832" spans="4:7" ht="13">
      <c r="D832" s="41"/>
      <c r="E832" s="41"/>
      <c r="F832" s="41"/>
      <c r="G832" s="41"/>
    </row>
    <row r="833" spans="4:7" ht="13">
      <c r="D833" s="41"/>
      <c r="E833" s="41"/>
      <c r="F833" s="41"/>
      <c r="G833" s="41"/>
    </row>
    <row r="834" spans="4:7" ht="13">
      <c r="D834" s="41"/>
      <c r="E834" s="41"/>
      <c r="F834" s="41"/>
      <c r="G834" s="41"/>
    </row>
    <row r="835" spans="4:7" ht="13">
      <c r="D835" s="41"/>
      <c r="E835" s="41"/>
      <c r="F835" s="41"/>
      <c r="G835" s="41"/>
    </row>
    <row r="836" spans="4:7" ht="13">
      <c r="D836" s="41"/>
      <c r="E836" s="41"/>
      <c r="F836" s="41"/>
      <c r="G836" s="41"/>
    </row>
    <row r="837" spans="4:7" ht="13">
      <c r="D837" s="41"/>
      <c r="E837" s="41"/>
      <c r="F837" s="41"/>
      <c r="G837" s="41"/>
    </row>
    <row r="838" spans="4:7" ht="13">
      <c r="D838" s="41"/>
      <c r="E838" s="41"/>
      <c r="F838" s="41"/>
      <c r="G838" s="41"/>
    </row>
    <row r="839" spans="4:7" ht="13">
      <c r="D839" s="41"/>
      <c r="E839" s="41"/>
      <c r="F839" s="41"/>
      <c r="G839" s="41"/>
    </row>
    <row r="840" spans="4:7" ht="13">
      <c r="D840" s="41"/>
      <c r="E840" s="41"/>
      <c r="F840" s="41"/>
      <c r="G840" s="41"/>
    </row>
    <row r="841" spans="4:7" ht="13">
      <c r="D841" s="41"/>
      <c r="E841" s="41"/>
      <c r="F841" s="41"/>
      <c r="G841" s="41"/>
    </row>
    <row r="842" spans="4:7" ht="13">
      <c r="D842" s="41"/>
      <c r="E842" s="41"/>
      <c r="F842" s="41"/>
      <c r="G842" s="41"/>
    </row>
    <row r="843" spans="4:7" ht="13">
      <c r="D843" s="41"/>
      <c r="E843" s="41"/>
      <c r="F843" s="41"/>
      <c r="G843" s="41"/>
    </row>
    <row r="844" spans="4:7" ht="13">
      <c r="D844" s="41"/>
      <c r="E844" s="41"/>
      <c r="F844" s="41"/>
      <c r="G844" s="41"/>
    </row>
    <row r="845" spans="4:7" ht="13">
      <c r="D845" s="41"/>
      <c r="E845" s="41"/>
      <c r="F845" s="41"/>
      <c r="G845" s="41"/>
    </row>
    <row r="846" spans="4:7" ht="13">
      <c r="D846" s="41"/>
      <c r="E846" s="41"/>
      <c r="F846" s="41"/>
      <c r="G846" s="41"/>
    </row>
    <row r="847" spans="4:7" ht="13">
      <c r="D847" s="41"/>
      <c r="E847" s="41"/>
      <c r="F847" s="41"/>
      <c r="G847" s="41"/>
    </row>
    <row r="848" spans="4:7" ht="13">
      <c r="D848" s="41"/>
      <c r="E848" s="41"/>
      <c r="F848" s="41"/>
      <c r="G848" s="41"/>
    </row>
    <row r="849" spans="4:7" ht="13">
      <c r="D849" s="41"/>
      <c r="E849" s="41"/>
      <c r="F849" s="41"/>
      <c r="G849" s="41"/>
    </row>
    <row r="850" spans="4:7" ht="13">
      <c r="D850" s="41"/>
      <c r="E850" s="41"/>
      <c r="F850" s="41"/>
      <c r="G850" s="41"/>
    </row>
    <row r="851" spans="4:7" ht="13">
      <c r="D851" s="41"/>
      <c r="E851" s="41"/>
      <c r="F851" s="41"/>
      <c r="G851" s="41"/>
    </row>
    <row r="852" spans="4:7" ht="13">
      <c r="D852" s="41"/>
      <c r="E852" s="41"/>
      <c r="F852" s="41"/>
      <c r="G852" s="41"/>
    </row>
    <row r="853" spans="4:7" ht="13">
      <c r="D853" s="41"/>
      <c r="E853" s="41"/>
      <c r="F853" s="41"/>
      <c r="G853" s="41"/>
    </row>
    <row r="854" spans="4:7" ht="13">
      <c r="D854" s="41"/>
      <c r="E854" s="41"/>
      <c r="F854" s="41"/>
      <c r="G854" s="41"/>
    </row>
    <row r="855" spans="4:7" ht="13">
      <c r="D855" s="41"/>
      <c r="E855" s="41"/>
      <c r="F855" s="41"/>
      <c r="G855" s="41"/>
    </row>
    <row r="856" spans="4:7" ht="13">
      <c r="D856" s="41"/>
      <c r="E856" s="41"/>
      <c r="F856" s="41"/>
      <c r="G856" s="41"/>
    </row>
    <row r="857" spans="4:7" ht="13">
      <c r="D857" s="41"/>
      <c r="E857" s="41"/>
      <c r="F857" s="41"/>
      <c r="G857" s="41"/>
    </row>
    <row r="858" spans="4:7" ht="13">
      <c r="D858" s="41"/>
      <c r="E858" s="41"/>
      <c r="F858" s="41"/>
      <c r="G858" s="41"/>
    </row>
    <row r="859" spans="4:7" ht="13">
      <c r="D859" s="41"/>
      <c r="E859" s="41"/>
      <c r="F859" s="41"/>
      <c r="G859" s="41"/>
    </row>
    <row r="860" spans="4:7" ht="13">
      <c r="D860" s="41"/>
      <c r="E860" s="41"/>
      <c r="F860" s="41"/>
      <c r="G860" s="41"/>
    </row>
    <row r="861" spans="4:7" ht="13">
      <c r="D861" s="41"/>
      <c r="E861" s="41"/>
      <c r="F861" s="41"/>
      <c r="G861" s="41"/>
    </row>
    <row r="862" spans="4:7" ht="13">
      <c r="D862" s="41"/>
      <c r="E862" s="41"/>
      <c r="F862" s="41"/>
      <c r="G862" s="41"/>
    </row>
    <row r="863" spans="4:7" ht="13">
      <c r="D863" s="41"/>
      <c r="E863" s="41"/>
      <c r="F863" s="41"/>
      <c r="G863" s="41"/>
    </row>
    <row r="864" spans="4:7" ht="13">
      <c r="D864" s="41"/>
      <c r="E864" s="41"/>
      <c r="F864" s="41"/>
      <c r="G864" s="41"/>
    </row>
    <row r="865" spans="4:7" ht="13">
      <c r="D865" s="41"/>
      <c r="E865" s="41"/>
      <c r="F865" s="41"/>
      <c r="G865" s="41"/>
    </row>
    <row r="866" spans="4:7" ht="13">
      <c r="D866" s="41"/>
      <c r="E866" s="41"/>
      <c r="F866" s="41"/>
      <c r="G866" s="41"/>
    </row>
    <row r="867" spans="4:7" ht="13">
      <c r="D867" s="41"/>
      <c r="E867" s="41"/>
      <c r="F867" s="41"/>
      <c r="G867" s="41"/>
    </row>
    <row r="868" spans="4:7" ht="13">
      <c r="D868" s="41"/>
      <c r="E868" s="41"/>
      <c r="F868" s="41"/>
      <c r="G868" s="41"/>
    </row>
    <row r="869" spans="4:7" ht="13">
      <c r="D869" s="41"/>
      <c r="E869" s="41"/>
      <c r="F869" s="41"/>
      <c r="G869" s="41"/>
    </row>
    <row r="870" spans="4:7" ht="13">
      <c r="D870" s="41"/>
      <c r="E870" s="41"/>
      <c r="F870" s="41"/>
      <c r="G870" s="41"/>
    </row>
    <row r="871" spans="4:7" ht="13">
      <c r="D871" s="41"/>
      <c r="E871" s="41"/>
      <c r="F871" s="41"/>
      <c r="G871" s="41"/>
    </row>
    <row r="872" spans="4:7" ht="13">
      <c r="D872" s="41"/>
      <c r="E872" s="41"/>
      <c r="F872" s="41"/>
      <c r="G872" s="41"/>
    </row>
    <row r="873" spans="4:7" ht="13">
      <c r="D873" s="41"/>
      <c r="E873" s="41"/>
      <c r="F873" s="41"/>
      <c r="G873" s="41"/>
    </row>
    <row r="874" spans="4:7" ht="13">
      <c r="D874" s="41"/>
      <c r="E874" s="41"/>
      <c r="F874" s="41"/>
      <c r="G874" s="41"/>
    </row>
    <row r="875" spans="4:7" ht="13">
      <c r="D875" s="41"/>
      <c r="E875" s="41"/>
      <c r="F875" s="41"/>
      <c r="G875" s="41"/>
    </row>
    <row r="876" spans="4:7" ht="13">
      <c r="D876" s="41"/>
      <c r="E876" s="41"/>
      <c r="F876" s="41"/>
      <c r="G876" s="41"/>
    </row>
    <row r="877" spans="4:7" ht="13">
      <c r="D877" s="41"/>
      <c r="E877" s="41"/>
      <c r="F877" s="41"/>
      <c r="G877" s="41"/>
    </row>
    <row r="878" spans="4:7" ht="13">
      <c r="D878" s="41"/>
      <c r="E878" s="41"/>
      <c r="F878" s="41"/>
      <c r="G878" s="41"/>
    </row>
    <row r="879" spans="4:7" ht="13">
      <c r="D879" s="41"/>
      <c r="E879" s="41"/>
      <c r="F879" s="41"/>
      <c r="G879" s="41"/>
    </row>
    <row r="880" spans="4:7" ht="13">
      <c r="D880" s="41"/>
      <c r="E880" s="41"/>
      <c r="F880" s="41"/>
      <c r="G880" s="41"/>
    </row>
    <row r="881" spans="4:7" ht="13">
      <c r="D881" s="41"/>
      <c r="E881" s="41"/>
      <c r="F881" s="41"/>
      <c r="G881" s="41"/>
    </row>
    <row r="882" spans="4:7" ht="13">
      <c r="D882" s="41"/>
      <c r="E882" s="41"/>
      <c r="F882" s="41"/>
      <c r="G882" s="41"/>
    </row>
    <row r="883" spans="4:7" ht="13">
      <c r="D883" s="41"/>
      <c r="E883" s="41"/>
      <c r="F883" s="41"/>
      <c r="G883" s="41"/>
    </row>
    <row r="884" spans="4:7" ht="13">
      <c r="D884" s="41"/>
      <c r="E884" s="41"/>
      <c r="F884" s="41"/>
      <c r="G884" s="41"/>
    </row>
    <row r="885" spans="4:7" ht="13">
      <c r="D885" s="41"/>
      <c r="E885" s="41"/>
      <c r="F885" s="41"/>
      <c r="G885" s="41"/>
    </row>
    <row r="886" spans="4:7" ht="13">
      <c r="D886" s="41"/>
      <c r="E886" s="41"/>
      <c r="F886" s="41"/>
      <c r="G886" s="41"/>
    </row>
    <row r="887" spans="4:7" ht="13">
      <c r="D887" s="41"/>
      <c r="E887" s="41"/>
      <c r="F887" s="41"/>
      <c r="G887" s="41"/>
    </row>
    <row r="888" spans="4:7" ht="13">
      <c r="D888" s="41"/>
      <c r="E888" s="41"/>
      <c r="F888" s="41"/>
      <c r="G888" s="41"/>
    </row>
    <row r="889" spans="4:7" ht="13">
      <c r="D889" s="41"/>
      <c r="E889" s="41"/>
      <c r="F889" s="41"/>
      <c r="G889" s="41"/>
    </row>
    <row r="890" spans="4:7" ht="13">
      <c r="D890" s="41"/>
      <c r="E890" s="41"/>
      <c r="F890" s="41"/>
      <c r="G890" s="41"/>
    </row>
    <row r="891" spans="4:7" ht="13">
      <c r="D891" s="41"/>
      <c r="E891" s="41"/>
      <c r="F891" s="41"/>
      <c r="G891" s="41"/>
    </row>
    <row r="892" spans="4:7" ht="13">
      <c r="D892" s="41"/>
      <c r="E892" s="41"/>
      <c r="F892" s="41"/>
      <c r="G892" s="41"/>
    </row>
    <row r="893" spans="4:7" ht="13">
      <c r="D893" s="41"/>
      <c r="E893" s="41"/>
      <c r="F893" s="41"/>
      <c r="G893" s="41"/>
    </row>
    <row r="894" spans="4:7" ht="13">
      <c r="D894" s="41"/>
      <c r="E894" s="41"/>
      <c r="F894" s="41"/>
      <c r="G894" s="41"/>
    </row>
    <row r="895" spans="4:7" ht="13">
      <c r="D895" s="41"/>
      <c r="E895" s="41"/>
      <c r="F895" s="41"/>
      <c r="G895" s="41"/>
    </row>
    <row r="896" spans="4:7" ht="13">
      <c r="D896" s="41"/>
      <c r="E896" s="41"/>
      <c r="F896" s="41"/>
      <c r="G896" s="41"/>
    </row>
    <row r="897" spans="4:7" ht="13">
      <c r="D897" s="41"/>
      <c r="E897" s="41"/>
      <c r="F897" s="41"/>
      <c r="G897" s="41"/>
    </row>
    <row r="898" spans="4:7" ht="13">
      <c r="D898" s="41"/>
      <c r="E898" s="41"/>
      <c r="F898" s="41"/>
      <c r="G898" s="41"/>
    </row>
    <row r="899" spans="4:7" ht="13">
      <c r="D899" s="41"/>
      <c r="E899" s="41"/>
      <c r="F899" s="41"/>
      <c r="G899" s="41"/>
    </row>
    <row r="900" spans="4:7" ht="13">
      <c r="D900" s="41"/>
      <c r="E900" s="41"/>
      <c r="F900" s="41"/>
      <c r="G900" s="41"/>
    </row>
    <row r="901" spans="4:7" ht="13">
      <c r="D901" s="41"/>
      <c r="E901" s="41"/>
      <c r="F901" s="41"/>
      <c r="G901" s="41"/>
    </row>
    <row r="902" spans="4:7" ht="13">
      <c r="D902" s="41"/>
      <c r="E902" s="41"/>
      <c r="F902" s="41"/>
      <c r="G902" s="41"/>
    </row>
    <row r="903" spans="4:7" ht="13">
      <c r="D903" s="41"/>
      <c r="E903" s="41"/>
      <c r="F903" s="41"/>
      <c r="G903" s="41"/>
    </row>
    <row r="904" spans="4:7" ht="13">
      <c r="D904" s="41"/>
      <c r="E904" s="41"/>
      <c r="F904" s="41"/>
      <c r="G904" s="41"/>
    </row>
    <row r="905" spans="4:7" ht="13">
      <c r="D905" s="41"/>
      <c r="E905" s="41"/>
      <c r="F905" s="41"/>
      <c r="G905" s="41"/>
    </row>
    <row r="906" spans="4:7" ht="13">
      <c r="D906" s="41"/>
      <c r="E906" s="41"/>
      <c r="F906" s="41"/>
      <c r="G906" s="41"/>
    </row>
    <row r="907" spans="4:7" ht="13">
      <c r="D907" s="41"/>
      <c r="E907" s="41"/>
      <c r="F907" s="41"/>
      <c r="G907" s="41"/>
    </row>
    <row r="908" spans="4:7" ht="13">
      <c r="D908" s="41"/>
      <c r="E908" s="41"/>
      <c r="F908" s="41"/>
      <c r="G908" s="41"/>
    </row>
    <row r="909" spans="4:7" ht="13">
      <c r="D909" s="41"/>
      <c r="E909" s="41"/>
      <c r="F909" s="41"/>
      <c r="G909" s="41"/>
    </row>
    <row r="910" spans="4:7" ht="13">
      <c r="D910" s="41"/>
      <c r="E910" s="41"/>
      <c r="F910" s="41"/>
      <c r="G910" s="41"/>
    </row>
    <row r="911" spans="4:7" ht="13">
      <c r="D911" s="41"/>
      <c r="E911" s="41"/>
      <c r="F911" s="41"/>
      <c r="G911" s="41"/>
    </row>
    <row r="912" spans="4:7" ht="13">
      <c r="D912" s="41"/>
      <c r="E912" s="41"/>
      <c r="F912" s="41"/>
      <c r="G912" s="41"/>
    </row>
    <row r="913" spans="4:7" ht="13">
      <c r="D913" s="41"/>
      <c r="E913" s="41"/>
      <c r="F913" s="41"/>
      <c r="G913" s="41"/>
    </row>
    <row r="914" spans="4:7" ht="13">
      <c r="D914" s="41"/>
      <c r="E914" s="41"/>
      <c r="F914" s="41"/>
      <c r="G914" s="41"/>
    </row>
    <row r="915" spans="4:7" ht="13">
      <c r="D915" s="41"/>
      <c r="E915" s="41"/>
      <c r="F915" s="41"/>
      <c r="G915" s="41"/>
    </row>
    <row r="916" spans="4:7" ht="13">
      <c r="D916" s="41"/>
      <c r="E916" s="41"/>
      <c r="F916" s="41"/>
      <c r="G916" s="41"/>
    </row>
    <row r="917" spans="4:7" ht="13">
      <c r="D917" s="41"/>
      <c r="E917" s="41"/>
      <c r="F917" s="41"/>
      <c r="G917" s="41"/>
    </row>
    <row r="918" spans="4:7" ht="13">
      <c r="D918" s="41"/>
      <c r="E918" s="41"/>
      <c r="F918" s="41"/>
      <c r="G918" s="41"/>
    </row>
    <row r="919" spans="4:7" ht="13">
      <c r="D919" s="41"/>
      <c r="E919" s="41"/>
      <c r="F919" s="41"/>
      <c r="G919" s="41"/>
    </row>
    <row r="920" spans="4:7" ht="13">
      <c r="D920" s="41"/>
      <c r="E920" s="41"/>
      <c r="F920" s="41"/>
      <c r="G920" s="41"/>
    </row>
    <row r="921" spans="4:7" ht="13">
      <c r="D921" s="41"/>
      <c r="E921" s="41"/>
      <c r="F921" s="41"/>
      <c r="G921" s="41"/>
    </row>
    <row r="922" spans="4:7" ht="13">
      <c r="D922" s="41"/>
      <c r="E922" s="41"/>
      <c r="F922" s="41"/>
      <c r="G922" s="41"/>
    </row>
    <row r="923" spans="4:7" ht="13">
      <c r="D923" s="41"/>
      <c r="E923" s="41"/>
      <c r="F923" s="41"/>
      <c r="G923" s="41"/>
    </row>
    <row r="924" spans="4:7" ht="13">
      <c r="D924" s="41"/>
      <c r="E924" s="41"/>
      <c r="F924" s="41"/>
      <c r="G924" s="41"/>
    </row>
    <row r="925" spans="4:7" ht="13">
      <c r="D925" s="41"/>
      <c r="E925" s="41"/>
      <c r="F925" s="41"/>
      <c r="G925" s="41"/>
    </row>
    <row r="926" spans="4:7" ht="13">
      <c r="D926" s="41"/>
      <c r="E926" s="41"/>
      <c r="F926" s="41"/>
      <c r="G926" s="41"/>
    </row>
    <row r="927" spans="4:7" ht="13">
      <c r="D927" s="41"/>
      <c r="E927" s="41"/>
      <c r="F927" s="41"/>
      <c r="G927" s="41"/>
    </row>
    <row r="928" spans="4:7" ht="13">
      <c r="D928" s="41"/>
      <c r="E928" s="41"/>
      <c r="F928" s="41"/>
      <c r="G928" s="41"/>
    </row>
    <row r="929" spans="4:7" ht="13">
      <c r="D929" s="41"/>
      <c r="E929" s="41"/>
      <c r="F929" s="41"/>
      <c r="G929" s="41"/>
    </row>
    <row r="930" spans="4:7" ht="13">
      <c r="D930" s="41"/>
      <c r="E930" s="41"/>
      <c r="F930" s="41"/>
      <c r="G930" s="41"/>
    </row>
    <row r="931" spans="4:7" ht="13">
      <c r="D931" s="41"/>
      <c r="E931" s="41"/>
      <c r="F931" s="41"/>
      <c r="G931" s="41"/>
    </row>
    <row r="932" spans="4:7" ht="13">
      <c r="D932" s="41"/>
      <c r="E932" s="41"/>
      <c r="F932" s="41"/>
      <c r="G932" s="41"/>
    </row>
    <row r="933" spans="4:7" ht="13">
      <c r="D933" s="41"/>
      <c r="E933" s="41"/>
      <c r="F933" s="41"/>
      <c r="G933" s="41"/>
    </row>
    <row r="934" spans="4:7" ht="13">
      <c r="D934" s="41"/>
      <c r="E934" s="41"/>
      <c r="F934" s="41"/>
      <c r="G934" s="41"/>
    </row>
    <row r="935" spans="4:7" ht="13">
      <c r="D935" s="41"/>
      <c r="E935" s="41"/>
      <c r="F935" s="41"/>
      <c r="G935" s="41"/>
    </row>
    <row r="936" spans="4:7" ht="13">
      <c r="D936" s="41"/>
      <c r="E936" s="41"/>
      <c r="F936" s="41"/>
      <c r="G936" s="41"/>
    </row>
    <row r="937" spans="4:7" ht="13">
      <c r="D937" s="41"/>
      <c r="E937" s="41"/>
      <c r="F937" s="41"/>
      <c r="G937" s="41"/>
    </row>
    <row r="938" spans="4:7" ht="13">
      <c r="D938" s="41"/>
      <c r="E938" s="41"/>
      <c r="F938" s="41"/>
      <c r="G938" s="41"/>
    </row>
    <row r="939" spans="4:7" ht="13">
      <c r="D939" s="41"/>
      <c r="E939" s="41"/>
      <c r="F939" s="41"/>
      <c r="G939" s="41"/>
    </row>
    <row r="940" spans="4:7" ht="13">
      <c r="D940" s="41"/>
      <c r="E940" s="41"/>
      <c r="F940" s="41"/>
      <c r="G940" s="41"/>
    </row>
    <row r="941" spans="4:7" ht="13">
      <c r="D941" s="41"/>
      <c r="E941" s="41"/>
      <c r="F941" s="41"/>
      <c r="G941" s="41"/>
    </row>
    <row r="942" spans="4:7" ht="13">
      <c r="D942" s="41"/>
      <c r="E942" s="41"/>
      <c r="F942" s="41"/>
      <c r="G942" s="41"/>
    </row>
    <row r="943" spans="4:7" ht="13">
      <c r="D943" s="41"/>
      <c r="E943" s="41"/>
      <c r="F943" s="41"/>
      <c r="G943" s="41"/>
    </row>
    <row r="944" spans="4:7" ht="13">
      <c r="D944" s="41"/>
      <c r="E944" s="41"/>
      <c r="F944" s="41"/>
      <c r="G944" s="41"/>
    </row>
    <row r="945" spans="4:7" ht="13">
      <c r="D945" s="41"/>
      <c r="E945" s="41"/>
      <c r="F945" s="41"/>
      <c r="G945" s="41"/>
    </row>
    <row r="946" spans="4:7" ht="13">
      <c r="D946" s="41"/>
      <c r="E946" s="41"/>
      <c r="F946" s="41"/>
      <c r="G946" s="41"/>
    </row>
    <row r="947" spans="4:7" ht="13">
      <c r="D947" s="41"/>
      <c r="E947" s="41"/>
      <c r="F947" s="41"/>
      <c r="G947" s="41"/>
    </row>
    <row r="948" spans="4:7" ht="13">
      <c r="D948" s="41"/>
      <c r="E948" s="41"/>
      <c r="F948" s="41"/>
      <c r="G948" s="41"/>
    </row>
    <row r="949" spans="4:7" ht="13">
      <c r="D949" s="41"/>
      <c r="E949" s="41"/>
      <c r="F949" s="41"/>
      <c r="G949" s="41"/>
    </row>
    <row r="950" spans="4:7" ht="13">
      <c r="D950" s="41"/>
      <c r="E950" s="41"/>
      <c r="F950" s="41"/>
      <c r="G950" s="41"/>
    </row>
    <row r="951" spans="4:7" ht="13">
      <c r="D951" s="41"/>
      <c r="E951" s="41"/>
      <c r="F951" s="41"/>
      <c r="G951" s="41"/>
    </row>
    <row r="952" spans="4:7" ht="13">
      <c r="D952" s="41"/>
      <c r="E952" s="41"/>
      <c r="F952" s="41"/>
      <c r="G952" s="41"/>
    </row>
    <row r="953" spans="4:7" ht="13">
      <c r="D953" s="41"/>
      <c r="E953" s="41"/>
      <c r="F953" s="41"/>
      <c r="G953" s="41"/>
    </row>
    <row r="954" spans="4:7" ht="13">
      <c r="D954" s="41"/>
      <c r="E954" s="41"/>
      <c r="F954" s="41"/>
      <c r="G954" s="41"/>
    </row>
    <row r="955" spans="4:7" ht="13">
      <c r="D955" s="41"/>
      <c r="E955" s="41"/>
      <c r="F955" s="41"/>
      <c r="G955" s="41"/>
    </row>
    <row r="956" spans="4:7" ht="13">
      <c r="D956" s="41"/>
      <c r="E956" s="41"/>
      <c r="F956" s="41"/>
      <c r="G956" s="41"/>
    </row>
    <row r="957" spans="4:7" ht="13">
      <c r="D957" s="41"/>
      <c r="E957" s="41"/>
      <c r="F957" s="41"/>
      <c r="G957" s="41"/>
    </row>
    <row r="958" spans="4:7" ht="13">
      <c r="D958" s="41"/>
      <c r="E958" s="41"/>
      <c r="F958" s="41"/>
      <c r="G958" s="41"/>
    </row>
    <row r="959" spans="4:7" ht="13">
      <c r="D959" s="41"/>
      <c r="E959" s="41"/>
      <c r="F959" s="41"/>
      <c r="G959" s="41"/>
    </row>
    <row r="960" spans="4:7" ht="13">
      <c r="D960" s="41"/>
      <c r="E960" s="41"/>
      <c r="F960" s="41"/>
      <c r="G960" s="41"/>
    </row>
    <row r="961" spans="4:7" ht="13">
      <c r="D961" s="41"/>
      <c r="E961" s="41"/>
      <c r="F961" s="41"/>
      <c r="G961" s="41"/>
    </row>
    <row r="962" spans="4:7" ht="13">
      <c r="D962" s="41"/>
      <c r="E962" s="41"/>
      <c r="F962" s="41"/>
      <c r="G962" s="41"/>
    </row>
    <row r="963" spans="4:7" ht="13">
      <c r="D963" s="41"/>
      <c r="E963" s="41"/>
      <c r="F963" s="41"/>
      <c r="G963" s="41"/>
    </row>
    <row r="964" spans="4:7" ht="13">
      <c r="D964" s="41"/>
      <c r="E964" s="41"/>
      <c r="F964" s="41"/>
      <c r="G964" s="41"/>
    </row>
    <row r="965" spans="4:7" ht="13">
      <c r="D965" s="41"/>
      <c r="E965" s="41"/>
      <c r="F965" s="41"/>
      <c r="G965" s="41"/>
    </row>
    <row r="966" spans="4:7" ht="13">
      <c r="D966" s="41"/>
      <c r="E966" s="41"/>
      <c r="F966" s="41"/>
      <c r="G966" s="41"/>
    </row>
    <row r="967" spans="4:7" ht="13">
      <c r="D967" s="41"/>
      <c r="E967" s="41"/>
      <c r="F967" s="41"/>
      <c r="G967" s="41"/>
    </row>
    <row r="968" spans="4:7" ht="13">
      <c r="D968" s="41"/>
      <c r="E968" s="41"/>
      <c r="F968" s="41"/>
      <c r="G968" s="41"/>
    </row>
    <row r="969" spans="4:7" ht="13">
      <c r="D969" s="41"/>
      <c r="E969" s="41"/>
      <c r="F969" s="41"/>
      <c r="G969" s="41"/>
    </row>
    <row r="970" spans="4:7" ht="13">
      <c r="D970" s="41"/>
      <c r="E970" s="41"/>
      <c r="F970" s="41"/>
      <c r="G970" s="41"/>
    </row>
    <row r="971" spans="4:7" ht="13">
      <c r="D971" s="41"/>
      <c r="E971" s="41"/>
      <c r="F971" s="41"/>
      <c r="G971" s="41"/>
    </row>
    <row r="972" spans="4:7" ht="13">
      <c r="D972" s="41"/>
      <c r="E972" s="41"/>
      <c r="F972" s="41"/>
      <c r="G972" s="41"/>
    </row>
    <row r="973" spans="4:7" ht="13">
      <c r="D973" s="41"/>
      <c r="E973" s="41"/>
      <c r="F973" s="41"/>
      <c r="G973" s="41"/>
    </row>
    <row r="974" spans="4:7" ht="13">
      <c r="D974" s="41"/>
      <c r="E974" s="41"/>
      <c r="F974" s="41"/>
      <c r="G974" s="41"/>
    </row>
    <row r="975" spans="4:7" ht="13">
      <c r="D975" s="41"/>
      <c r="E975" s="41"/>
      <c r="F975" s="41"/>
      <c r="G975" s="41"/>
    </row>
    <row r="976" spans="4:7" ht="13">
      <c r="D976" s="41"/>
      <c r="E976" s="41"/>
      <c r="F976" s="41"/>
      <c r="G976" s="41"/>
    </row>
    <row r="977" spans="4:7" ht="13">
      <c r="D977" s="41"/>
      <c r="E977" s="41"/>
      <c r="F977" s="41"/>
      <c r="G977" s="41"/>
    </row>
    <row r="978" spans="4:7" ht="13">
      <c r="D978" s="41"/>
      <c r="E978" s="41"/>
      <c r="F978" s="41"/>
      <c r="G978" s="41"/>
    </row>
    <row r="979" spans="4:7" ht="13">
      <c r="D979" s="41"/>
      <c r="E979" s="41"/>
      <c r="F979" s="41"/>
      <c r="G979" s="41"/>
    </row>
    <row r="980" spans="4:7" ht="13">
      <c r="D980" s="41"/>
      <c r="E980" s="41"/>
      <c r="F980" s="41"/>
      <c r="G980" s="41"/>
    </row>
    <row r="981" spans="4:7" ht="13">
      <c r="D981" s="41"/>
      <c r="E981" s="41"/>
      <c r="F981" s="41"/>
      <c r="G981" s="41"/>
    </row>
    <row r="982" spans="4:7" ht="13">
      <c r="D982" s="41"/>
      <c r="E982" s="41"/>
      <c r="F982" s="41"/>
      <c r="G982" s="41"/>
    </row>
    <row r="983" spans="4:7" ht="13">
      <c r="D983" s="41"/>
      <c r="E983" s="41"/>
      <c r="F983" s="41"/>
      <c r="G983" s="41"/>
    </row>
    <row r="984" spans="4:7" ht="13">
      <c r="D984" s="41"/>
      <c r="E984" s="41"/>
      <c r="F984" s="41"/>
      <c r="G984" s="41"/>
    </row>
    <row r="985" spans="4:7" ht="13">
      <c r="D985" s="41"/>
      <c r="E985" s="41"/>
      <c r="F985" s="41"/>
      <c r="G985" s="41"/>
    </row>
    <row r="986" spans="4:7" ht="13">
      <c r="D986" s="41"/>
      <c r="E986" s="41"/>
      <c r="F986" s="41"/>
      <c r="G986" s="41"/>
    </row>
    <row r="987" spans="4:7" ht="13">
      <c r="D987" s="41"/>
      <c r="E987" s="41"/>
      <c r="F987" s="41"/>
      <c r="G987" s="41"/>
    </row>
    <row r="988" spans="4:7" ht="13">
      <c r="D988" s="41"/>
      <c r="E988" s="41"/>
      <c r="F988" s="41"/>
      <c r="G988" s="41"/>
    </row>
    <row r="989" spans="4:7" ht="13">
      <c r="D989" s="41"/>
      <c r="E989" s="41"/>
      <c r="F989" s="41"/>
      <c r="G989" s="41"/>
    </row>
    <row r="990" spans="4:7" ht="13">
      <c r="D990" s="41"/>
      <c r="E990" s="41"/>
      <c r="F990" s="41"/>
      <c r="G990" s="41"/>
    </row>
    <row r="991" spans="4:7" ht="13">
      <c r="D991" s="41"/>
      <c r="E991" s="41"/>
      <c r="F991" s="41"/>
      <c r="G991" s="41"/>
    </row>
    <row r="992" spans="4:7" ht="13">
      <c r="D992" s="41"/>
      <c r="E992" s="41"/>
      <c r="F992" s="41"/>
      <c r="G992" s="41"/>
    </row>
    <row r="993" spans="4:7" ht="13">
      <c r="D993" s="41"/>
      <c r="E993" s="41"/>
      <c r="F993" s="41"/>
      <c r="G993" s="41"/>
    </row>
    <row r="994" spans="4:7" ht="13">
      <c r="D994" s="41"/>
      <c r="E994" s="41"/>
      <c r="F994" s="41"/>
      <c r="G994" s="41"/>
    </row>
    <row r="995" spans="4:7" ht="13">
      <c r="D995" s="41"/>
      <c r="E995" s="41"/>
      <c r="F995" s="41"/>
      <c r="G995" s="41"/>
    </row>
    <row r="996" spans="4:7" ht="13">
      <c r="D996" s="41"/>
      <c r="E996" s="41"/>
      <c r="F996" s="41"/>
      <c r="G996" s="41"/>
    </row>
    <row r="997" spans="4:7" ht="13">
      <c r="D997" s="41"/>
      <c r="E997" s="41"/>
      <c r="F997" s="41"/>
      <c r="G997" s="41"/>
    </row>
    <row r="998" spans="4:7" ht="13">
      <c r="D998" s="41"/>
      <c r="E998" s="41"/>
      <c r="F998" s="41"/>
      <c r="G998" s="41"/>
    </row>
    <row r="999" spans="4:7" ht="13">
      <c r="D999" s="41"/>
      <c r="E999" s="41"/>
      <c r="F999" s="41"/>
      <c r="G999" s="41"/>
    </row>
    <row r="1000" spans="4:7" ht="13">
      <c r="D1000" s="41"/>
      <c r="E1000" s="41"/>
      <c r="F1000" s="41"/>
      <c r="G1000" s="41"/>
    </row>
  </sheetData>
  <customSheetViews>
    <customSheetView guid="{B8519574-77FB-49A0-940D-FDADA7009AF9}" filter="1" showAutoFilter="1">
      <pageMargins left="0.7" right="0.7" top="0.75" bottom="0.75" header="0.3" footer="0.3"/>
      <autoFilter ref="A1:K27" xr:uid="{00000000-0000-0000-0000-000000000000}"/>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1:M1000"/>
  <sheetViews>
    <sheetView workbookViewId="0">
      <pane xSplit="1" ySplit="1" topLeftCell="C27" activePane="bottomRight" state="frozen"/>
      <selection pane="topRight" activeCell="B1" sqref="B1"/>
      <selection pane="bottomLeft" activeCell="A2" sqref="A2"/>
      <selection pane="bottomRight" activeCell="E27" sqref="E27:I27"/>
    </sheetView>
  </sheetViews>
  <sheetFormatPr baseColWidth="10" defaultColWidth="14.5" defaultRowHeight="15.75" customHeight="1"/>
  <cols>
    <col min="1" max="1" width="29.1640625" customWidth="1"/>
    <col min="2" max="2" width="14.5" hidden="1"/>
    <col min="3" max="3" width="19.5" customWidth="1"/>
    <col min="6" max="6" width="17.83203125" customWidth="1"/>
    <col min="9" max="9" width="22.5" customWidth="1"/>
    <col min="11" max="11" width="18.83203125" customWidth="1"/>
    <col min="12" max="12" width="62" customWidth="1"/>
    <col min="13" max="13" width="43.6640625" customWidth="1"/>
  </cols>
  <sheetData>
    <row r="1" spans="1:13" ht="15">
      <c r="A1" s="12" t="s">
        <v>45</v>
      </c>
      <c r="B1" s="13" t="s">
        <v>46</v>
      </c>
      <c r="C1" s="42" t="s">
        <v>109</v>
      </c>
      <c r="D1" s="14" t="s">
        <v>47</v>
      </c>
      <c r="E1" s="13" t="s">
        <v>48</v>
      </c>
      <c r="F1" s="13" t="s">
        <v>49</v>
      </c>
      <c r="G1" s="13" t="s">
        <v>50</v>
      </c>
      <c r="H1" s="13" t="s">
        <v>51</v>
      </c>
      <c r="I1" s="13" t="s">
        <v>52</v>
      </c>
      <c r="J1" s="15" t="s">
        <v>53</v>
      </c>
      <c r="K1" s="15" t="s">
        <v>54</v>
      </c>
      <c r="L1" s="43" t="s">
        <v>55</v>
      </c>
      <c r="M1" s="44" t="s">
        <v>110</v>
      </c>
    </row>
    <row r="2" spans="1:13" ht="180">
      <c r="A2" s="40" t="s">
        <v>63</v>
      </c>
      <c r="B2" s="45"/>
      <c r="C2" s="46" t="s">
        <v>111</v>
      </c>
      <c r="D2" s="47" t="s">
        <v>112</v>
      </c>
      <c r="E2" s="48">
        <v>2</v>
      </c>
      <c r="F2" s="49">
        <v>2</v>
      </c>
      <c r="G2" s="49">
        <v>1</v>
      </c>
      <c r="H2" s="49">
        <v>2</v>
      </c>
      <c r="I2" s="40">
        <v>2</v>
      </c>
      <c r="J2" s="50">
        <f t="shared" ref="J2:J27" si="0">AVERAGE(E2:I2)</f>
        <v>1.8</v>
      </c>
      <c r="K2" s="51">
        <v>1</v>
      </c>
      <c r="L2" s="52" t="s">
        <v>113</v>
      </c>
      <c r="M2" s="44" t="s">
        <v>114</v>
      </c>
    </row>
    <row r="3" spans="1:13" ht="165">
      <c r="A3" s="40" t="s">
        <v>85</v>
      </c>
      <c r="B3" s="45"/>
      <c r="C3" s="53" t="s">
        <v>111</v>
      </c>
      <c r="D3" s="46" t="s">
        <v>112</v>
      </c>
      <c r="E3" s="54">
        <v>1</v>
      </c>
      <c r="F3" s="54">
        <v>2</v>
      </c>
      <c r="G3" s="54">
        <v>2</v>
      </c>
      <c r="H3" s="54">
        <v>3</v>
      </c>
      <c r="I3" s="40">
        <v>2</v>
      </c>
      <c r="J3" s="50">
        <f t="shared" si="0"/>
        <v>2</v>
      </c>
      <c r="K3" s="51">
        <v>1</v>
      </c>
      <c r="L3" s="52" t="s">
        <v>115</v>
      </c>
      <c r="M3" s="44" t="s">
        <v>116</v>
      </c>
    </row>
    <row r="4" spans="1:13" ht="225">
      <c r="A4" s="40" t="s">
        <v>91</v>
      </c>
      <c r="B4" s="45"/>
      <c r="C4" s="53" t="s">
        <v>111</v>
      </c>
      <c r="D4" s="47" t="s">
        <v>112</v>
      </c>
      <c r="E4" s="48">
        <v>1</v>
      </c>
      <c r="F4" s="49">
        <v>2</v>
      </c>
      <c r="G4" s="49">
        <v>2</v>
      </c>
      <c r="H4" s="49">
        <v>3</v>
      </c>
      <c r="I4" s="40">
        <v>3</v>
      </c>
      <c r="J4" s="50">
        <f t="shared" si="0"/>
        <v>2.2000000000000002</v>
      </c>
      <c r="K4" s="51">
        <v>1</v>
      </c>
      <c r="L4" s="52" t="s">
        <v>117</v>
      </c>
      <c r="M4" s="44" t="s">
        <v>118</v>
      </c>
    </row>
    <row r="5" spans="1:13" ht="285">
      <c r="A5" s="40" t="s">
        <v>93</v>
      </c>
      <c r="B5" s="45"/>
      <c r="C5" s="53" t="s">
        <v>119</v>
      </c>
      <c r="D5" s="53" t="s">
        <v>112</v>
      </c>
      <c r="E5" s="54">
        <v>1</v>
      </c>
      <c r="F5" s="54">
        <v>4</v>
      </c>
      <c r="G5" s="54">
        <v>3</v>
      </c>
      <c r="H5" s="54">
        <v>3</v>
      </c>
      <c r="I5" s="40">
        <v>2</v>
      </c>
      <c r="J5" s="50">
        <f t="shared" si="0"/>
        <v>2.6</v>
      </c>
      <c r="K5" s="51">
        <v>1</v>
      </c>
      <c r="L5" s="55" t="s">
        <v>120</v>
      </c>
      <c r="M5" s="44" t="s">
        <v>121</v>
      </c>
    </row>
    <row r="6" spans="1:13" ht="168">
      <c r="A6" s="40" t="s">
        <v>103</v>
      </c>
      <c r="B6" s="45"/>
      <c r="C6" s="40" t="s">
        <v>122</v>
      </c>
      <c r="D6" s="47" t="s">
        <v>123</v>
      </c>
      <c r="E6" s="54">
        <v>1</v>
      </c>
      <c r="F6" s="54">
        <v>2</v>
      </c>
      <c r="G6" s="54">
        <v>3</v>
      </c>
      <c r="H6" s="54">
        <v>3</v>
      </c>
      <c r="I6" s="54">
        <v>2</v>
      </c>
      <c r="J6" s="50">
        <f t="shared" si="0"/>
        <v>2.2000000000000002</v>
      </c>
      <c r="K6" s="51">
        <v>1</v>
      </c>
      <c r="L6" s="56" t="s">
        <v>124</v>
      </c>
      <c r="M6" s="44" t="s">
        <v>125</v>
      </c>
    </row>
    <row r="7" spans="1:13" ht="210">
      <c r="A7" s="40" t="s">
        <v>105</v>
      </c>
      <c r="B7" s="45"/>
      <c r="C7" s="53" t="s">
        <v>111</v>
      </c>
      <c r="D7" s="47" t="s">
        <v>123</v>
      </c>
      <c r="E7" s="48">
        <v>1</v>
      </c>
      <c r="F7" s="49">
        <v>2</v>
      </c>
      <c r="G7" s="49">
        <v>3</v>
      </c>
      <c r="H7" s="49">
        <v>3</v>
      </c>
      <c r="I7" s="40">
        <v>3</v>
      </c>
      <c r="J7" s="50">
        <f t="shared" si="0"/>
        <v>2.4</v>
      </c>
      <c r="K7" s="51">
        <v>1</v>
      </c>
      <c r="L7" s="52" t="s">
        <v>126</v>
      </c>
      <c r="M7" s="44" t="s">
        <v>127</v>
      </c>
    </row>
    <row r="8" spans="1:13" ht="409.6">
      <c r="A8" s="40" t="s">
        <v>59</v>
      </c>
      <c r="B8" s="45"/>
      <c r="C8" s="53" t="s">
        <v>122</v>
      </c>
      <c r="D8" s="53" t="s">
        <v>123</v>
      </c>
      <c r="E8" s="54">
        <v>3</v>
      </c>
      <c r="F8" s="49">
        <v>3</v>
      </c>
      <c r="G8" s="54">
        <v>3</v>
      </c>
      <c r="H8" s="54">
        <v>4</v>
      </c>
      <c r="I8" s="40">
        <v>4</v>
      </c>
      <c r="J8" s="50">
        <f t="shared" si="0"/>
        <v>3.4</v>
      </c>
      <c r="K8" s="45"/>
      <c r="L8" s="57" t="s">
        <v>128</v>
      </c>
      <c r="M8" s="44" t="s">
        <v>129</v>
      </c>
    </row>
    <row r="9" spans="1:13" ht="126">
      <c r="A9" s="40" t="s">
        <v>101</v>
      </c>
      <c r="B9" s="45"/>
      <c r="C9" s="53" t="s">
        <v>122</v>
      </c>
      <c r="D9" s="53" t="s">
        <v>123</v>
      </c>
      <c r="E9" s="48">
        <v>3</v>
      </c>
      <c r="F9" s="49">
        <v>3</v>
      </c>
      <c r="G9" s="49">
        <v>3</v>
      </c>
      <c r="H9" s="49">
        <v>3</v>
      </c>
      <c r="I9" s="58">
        <v>3</v>
      </c>
      <c r="J9" s="50">
        <f t="shared" si="0"/>
        <v>3</v>
      </c>
      <c r="K9" s="45"/>
      <c r="L9" s="55" t="s">
        <v>130</v>
      </c>
      <c r="M9" s="44" t="s">
        <v>131</v>
      </c>
    </row>
    <row r="10" spans="1:13" ht="255">
      <c r="A10" s="40" t="s">
        <v>79</v>
      </c>
      <c r="B10" s="45"/>
      <c r="C10" s="53" t="s">
        <v>119</v>
      </c>
      <c r="D10" s="53" t="s">
        <v>132</v>
      </c>
      <c r="E10" s="59">
        <v>3</v>
      </c>
      <c r="F10" s="54">
        <v>3</v>
      </c>
      <c r="G10" s="54">
        <v>3</v>
      </c>
      <c r="H10" s="54">
        <v>4</v>
      </c>
      <c r="I10" s="54">
        <v>4</v>
      </c>
      <c r="J10" s="50">
        <f t="shared" si="0"/>
        <v>3.4</v>
      </c>
      <c r="K10" s="51">
        <v>1</v>
      </c>
      <c r="L10" s="55" t="s">
        <v>133</v>
      </c>
      <c r="M10" s="44" t="s">
        <v>134</v>
      </c>
    </row>
    <row r="11" spans="1:13" ht="84">
      <c r="A11" s="40" t="s">
        <v>56</v>
      </c>
      <c r="B11" s="45"/>
      <c r="C11" s="53" t="s">
        <v>135</v>
      </c>
      <c r="D11" s="40" t="s">
        <v>132</v>
      </c>
      <c r="E11" s="54">
        <v>1</v>
      </c>
      <c r="F11" s="54">
        <v>3</v>
      </c>
      <c r="G11" s="54">
        <v>1</v>
      </c>
      <c r="H11" s="54">
        <v>2</v>
      </c>
      <c r="I11" s="40">
        <v>2</v>
      </c>
      <c r="J11" s="50">
        <f t="shared" si="0"/>
        <v>1.8</v>
      </c>
      <c r="K11" s="51">
        <v>1</v>
      </c>
      <c r="L11" s="44" t="s">
        <v>136</v>
      </c>
      <c r="M11" s="44" t="s">
        <v>137</v>
      </c>
    </row>
    <row r="12" spans="1:13" ht="328">
      <c r="A12" s="40" t="s">
        <v>89</v>
      </c>
      <c r="B12" s="45"/>
      <c r="C12" s="53" t="s">
        <v>119</v>
      </c>
      <c r="D12" s="47" t="s">
        <v>132</v>
      </c>
      <c r="E12" s="54">
        <v>1</v>
      </c>
      <c r="F12" s="54">
        <v>3</v>
      </c>
      <c r="G12" s="54">
        <v>2</v>
      </c>
      <c r="H12" s="54">
        <v>3</v>
      </c>
      <c r="I12" s="40">
        <v>2</v>
      </c>
      <c r="J12" s="50">
        <f t="shared" si="0"/>
        <v>2.2000000000000002</v>
      </c>
      <c r="K12" s="45"/>
      <c r="L12" s="55" t="s">
        <v>138</v>
      </c>
      <c r="M12" s="44" t="s">
        <v>139</v>
      </c>
    </row>
    <row r="13" spans="1:13" ht="409.6">
      <c r="A13" s="40" t="s">
        <v>61</v>
      </c>
      <c r="B13" s="45"/>
      <c r="C13" s="53" t="s">
        <v>140</v>
      </c>
      <c r="D13" s="53" t="s">
        <v>132</v>
      </c>
      <c r="E13" s="59">
        <v>1</v>
      </c>
      <c r="F13" s="54">
        <v>3</v>
      </c>
      <c r="G13" s="54">
        <v>2</v>
      </c>
      <c r="H13" s="54">
        <v>4</v>
      </c>
      <c r="I13" s="40">
        <v>2</v>
      </c>
      <c r="J13" s="50">
        <f t="shared" si="0"/>
        <v>2.4</v>
      </c>
      <c r="K13" s="45"/>
      <c r="L13" s="60" t="s">
        <v>141</v>
      </c>
      <c r="M13" s="44" t="s">
        <v>142</v>
      </c>
    </row>
    <row r="14" spans="1:13" ht="98">
      <c r="A14" s="40" t="s">
        <v>71</v>
      </c>
      <c r="B14" s="45"/>
      <c r="C14" s="53" t="s">
        <v>135</v>
      </c>
      <c r="D14" s="46" t="s">
        <v>143</v>
      </c>
      <c r="E14" s="54">
        <v>2</v>
      </c>
      <c r="F14" s="54">
        <v>4</v>
      </c>
      <c r="G14" s="54">
        <v>2</v>
      </c>
      <c r="H14" s="54">
        <v>3</v>
      </c>
      <c r="I14" s="40">
        <v>2</v>
      </c>
      <c r="J14" s="50">
        <f t="shared" si="0"/>
        <v>2.6</v>
      </c>
      <c r="K14" s="51">
        <v>1</v>
      </c>
      <c r="L14" s="55" t="s">
        <v>144</v>
      </c>
      <c r="M14" s="44" t="s">
        <v>145</v>
      </c>
    </row>
    <row r="15" spans="1:13" ht="120">
      <c r="A15" s="40" t="s">
        <v>73</v>
      </c>
      <c r="B15" s="45"/>
      <c r="C15" s="53" t="s">
        <v>135</v>
      </c>
      <c r="D15" s="46" t="s">
        <v>143</v>
      </c>
      <c r="E15" s="48">
        <v>2</v>
      </c>
      <c r="F15" s="49">
        <v>3</v>
      </c>
      <c r="G15" s="49">
        <v>3</v>
      </c>
      <c r="H15" s="49">
        <v>2</v>
      </c>
      <c r="I15" s="58">
        <v>3</v>
      </c>
      <c r="J15" s="50">
        <f t="shared" si="0"/>
        <v>2.6</v>
      </c>
      <c r="K15" s="45"/>
      <c r="L15" s="55" t="s">
        <v>146</v>
      </c>
      <c r="M15" s="44" t="s">
        <v>147</v>
      </c>
    </row>
    <row r="16" spans="1:13" ht="126">
      <c r="A16" s="40" t="s">
        <v>81</v>
      </c>
      <c r="B16" s="45"/>
      <c r="C16" s="40" t="s">
        <v>148</v>
      </c>
      <c r="D16" s="53" t="s">
        <v>143</v>
      </c>
      <c r="E16" s="48">
        <v>2</v>
      </c>
      <c r="F16" s="49">
        <v>2</v>
      </c>
      <c r="G16" s="49">
        <v>1</v>
      </c>
      <c r="H16" s="49">
        <v>2</v>
      </c>
      <c r="I16" s="40">
        <v>2</v>
      </c>
      <c r="J16" s="50">
        <f t="shared" si="0"/>
        <v>1.8</v>
      </c>
      <c r="K16" s="51">
        <v>1</v>
      </c>
      <c r="L16" s="56" t="s">
        <v>149</v>
      </c>
      <c r="M16" s="44" t="s">
        <v>150</v>
      </c>
    </row>
    <row r="17" spans="1:13" ht="112">
      <c r="A17" s="40" t="s">
        <v>65</v>
      </c>
      <c r="B17" s="45"/>
      <c r="C17" s="53" t="s">
        <v>111</v>
      </c>
      <c r="D17" s="46" t="s">
        <v>143</v>
      </c>
      <c r="E17" s="54">
        <v>3</v>
      </c>
      <c r="F17" s="54">
        <v>3</v>
      </c>
      <c r="G17" s="54">
        <v>4</v>
      </c>
      <c r="H17" s="54">
        <v>3</v>
      </c>
      <c r="I17" s="58">
        <v>3</v>
      </c>
      <c r="J17" s="50">
        <f t="shared" si="0"/>
        <v>3.2</v>
      </c>
      <c r="K17" s="45"/>
      <c r="L17" s="55" t="s">
        <v>151</v>
      </c>
      <c r="M17" s="61" t="s">
        <v>152</v>
      </c>
    </row>
    <row r="18" spans="1:13" ht="328">
      <c r="A18" s="40" t="s">
        <v>99</v>
      </c>
      <c r="B18" s="45"/>
      <c r="C18" s="53" t="s">
        <v>122</v>
      </c>
      <c r="D18" s="53" t="s">
        <v>153</v>
      </c>
      <c r="E18" s="54">
        <v>2</v>
      </c>
      <c r="F18" s="54">
        <v>2</v>
      </c>
      <c r="G18" s="54">
        <v>2</v>
      </c>
      <c r="H18" s="54">
        <v>2</v>
      </c>
      <c r="I18" s="40">
        <v>2</v>
      </c>
      <c r="J18" s="50">
        <f t="shared" si="0"/>
        <v>2</v>
      </c>
      <c r="K18" s="51">
        <v>1</v>
      </c>
      <c r="L18" s="52" t="s">
        <v>154</v>
      </c>
      <c r="M18" s="44" t="s">
        <v>155</v>
      </c>
    </row>
    <row r="19" spans="1:13" ht="240">
      <c r="A19" s="40" t="s">
        <v>97</v>
      </c>
      <c r="B19" s="45"/>
      <c r="C19" s="53" t="s">
        <v>119</v>
      </c>
      <c r="D19" s="40" t="s">
        <v>153</v>
      </c>
      <c r="E19" s="54">
        <v>1</v>
      </c>
      <c r="F19" s="54">
        <v>4</v>
      </c>
      <c r="G19" s="54">
        <v>2</v>
      </c>
      <c r="H19" s="54">
        <v>4</v>
      </c>
      <c r="I19" s="40">
        <v>2</v>
      </c>
      <c r="J19" s="50">
        <f t="shared" si="0"/>
        <v>2.6</v>
      </c>
      <c r="K19" s="51">
        <v>1</v>
      </c>
      <c r="L19" s="55" t="s">
        <v>156</v>
      </c>
      <c r="M19" s="44" t="s">
        <v>157</v>
      </c>
    </row>
    <row r="20" spans="1:13" ht="409.6">
      <c r="A20" s="40" t="s">
        <v>87</v>
      </c>
      <c r="B20" s="45"/>
      <c r="C20" s="53" t="s">
        <v>148</v>
      </c>
      <c r="D20" s="53" t="s">
        <v>153</v>
      </c>
      <c r="E20" s="54">
        <v>1</v>
      </c>
      <c r="F20" s="54">
        <v>4</v>
      </c>
      <c r="G20" s="54">
        <v>3</v>
      </c>
      <c r="H20" s="54">
        <v>4</v>
      </c>
      <c r="I20" s="40">
        <v>1</v>
      </c>
      <c r="J20" s="50">
        <f t="shared" si="0"/>
        <v>2.6</v>
      </c>
      <c r="K20" s="45"/>
      <c r="L20" s="60" t="s">
        <v>158</v>
      </c>
      <c r="M20" s="44" t="s">
        <v>159</v>
      </c>
    </row>
    <row r="21" spans="1:13" ht="225">
      <c r="A21" s="40" t="s">
        <v>107</v>
      </c>
      <c r="B21" s="45"/>
      <c r="C21" s="53" t="s">
        <v>135</v>
      </c>
      <c r="D21" s="47" t="s">
        <v>153</v>
      </c>
      <c r="E21" s="48">
        <v>3</v>
      </c>
      <c r="F21" s="49">
        <v>3</v>
      </c>
      <c r="G21" s="49">
        <v>4</v>
      </c>
      <c r="H21" s="49">
        <v>4</v>
      </c>
      <c r="I21" s="40">
        <v>4</v>
      </c>
      <c r="J21" s="50">
        <f t="shared" si="0"/>
        <v>3.6</v>
      </c>
      <c r="K21" s="51">
        <v>1</v>
      </c>
      <c r="L21" s="55" t="s">
        <v>160</v>
      </c>
      <c r="M21" s="44" t="s">
        <v>161</v>
      </c>
    </row>
    <row r="22" spans="1:13" ht="51" customHeight="1">
      <c r="A22" s="40" t="s">
        <v>69</v>
      </c>
      <c r="B22" s="45"/>
      <c r="C22" s="53" t="s">
        <v>135</v>
      </c>
      <c r="D22" s="53" t="s">
        <v>153</v>
      </c>
      <c r="E22" s="54">
        <v>1</v>
      </c>
      <c r="F22" s="54">
        <v>3</v>
      </c>
      <c r="G22" s="54">
        <v>1</v>
      </c>
      <c r="H22" s="54">
        <v>3</v>
      </c>
      <c r="I22" s="40">
        <v>3</v>
      </c>
      <c r="J22" s="50">
        <f t="shared" si="0"/>
        <v>2.2000000000000002</v>
      </c>
      <c r="K22" s="51">
        <v>1</v>
      </c>
      <c r="L22" s="55" t="s">
        <v>162</v>
      </c>
      <c r="M22" s="44" t="s">
        <v>163</v>
      </c>
    </row>
    <row r="23" spans="1:13" ht="76.5" customHeight="1">
      <c r="A23" s="40" t="s">
        <v>83</v>
      </c>
      <c r="B23" s="45"/>
      <c r="C23" s="46" t="s">
        <v>119</v>
      </c>
      <c r="D23" s="46" t="s">
        <v>164</v>
      </c>
      <c r="E23" s="54">
        <v>1</v>
      </c>
      <c r="F23" s="54">
        <v>1</v>
      </c>
      <c r="G23" s="54">
        <v>1</v>
      </c>
      <c r="H23" s="54">
        <v>2</v>
      </c>
      <c r="I23" s="40">
        <v>2</v>
      </c>
      <c r="J23" s="50">
        <f t="shared" si="0"/>
        <v>1.4</v>
      </c>
      <c r="K23" s="51">
        <v>1</v>
      </c>
      <c r="L23" s="52" t="s">
        <v>165</v>
      </c>
      <c r="M23" s="44" t="s">
        <v>166</v>
      </c>
    </row>
    <row r="24" spans="1:13" ht="195">
      <c r="A24" s="40" t="s">
        <v>75</v>
      </c>
      <c r="B24" s="45"/>
      <c r="C24" s="53" t="s">
        <v>122</v>
      </c>
      <c r="D24" s="53" t="s">
        <v>164</v>
      </c>
      <c r="E24" s="54">
        <v>1</v>
      </c>
      <c r="F24" s="54">
        <v>3</v>
      </c>
      <c r="G24" s="54">
        <v>2</v>
      </c>
      <c r="H24" s="54">
        <v>2</v>
      </c>
      <c r="I24" s="54">
        <v>2</v>
      </c>
      <c r="J24" s="50">
        <f t="shared" si="0"/>
        <v>2</v>
      </c>
      <c r="K24" s="51">
        <v>1</v>
      </c>
      <c r="L24" s="52" t="s">
        <v>167</v>
      </c>
      <c r="M24" s="44" t="s">
        <v>168</v>
      </c>
    </row>
    <row r="25" spans="1:13" ht="84">
      <c r="A25" s="40" t="s">
        <v>77</v>
      </c>
      <c r="B25" s="45"/>
      <c r="C25" s="40" t="s">
        <v>111</v>
      </c>
      <c r="D25" s="40" t="s">
        <v>164</v>
      </c>
      <c r="E25" s="54">
        <v>3</v>
      </c>
      <c r="F25" s="54">
        <v>4</v>
      </c>
      <c r="G25" s="54">
        <v>3</v>
      </c>
      <c r="H25" s="54">
        <v>4</v>
      </c>
      <c r="I25" s="40">
        <v>2</v>
      </c>
      <c r="J25" s="50">
        <f t="shared" si="0"/>
        <v>3.2</v>
      </c>
      <c r="K25" s="51">
        <v>1</v>
      </c>
      <c r="L25" s="55" t="s">
        <v>169</v>
      </c>
      <c r="M25" s="44" t="s">
        <v>170</v>
      </c>
    </row>
    <row r="26" spans="1:13" ht="409.6">
      <c r="A26" s="53" t="s">
        <v>95</v>
      </c>
      <c r="B26" s="45"/>
      <c r="C26" s="53" t="s">
        <v>148</v>
      </c>
      <c r="D26" s="62" t="s">
        <v>164</v>
      </c>
      <c r="E26" s="59">
        <v>3</v>
      </c>
      <c r="F26" s="54">
        <v>4</v>
      </c>
      <c r="G26" s="54">
        <v>4</v>
      </c>
      <c r="H26" s="54">
        <v>4</v>
      </c>
      <c r="I26" s="40">
        <v>3</v>
      </c>
      <c r="J26" s="50">
        <f t="shared" si="0"/>
        <v>3.6</v>
      </c>
      <c r="K26" s="45"/>
      <c r="L26" s="60" t="s">
        <v>171</v>
      </c>
      <c r="M26" s="44" t="s">
        <v>172</v>
      </c>
    </row>
    <row r="27" spans="1:13" ht="409.6">
      <c r="A27" s="40" t="s">
        <v>67</v>
      </c>
      <c r="B27" s="45"/>
      <c r="C27" s="53" t="s">
        <v>148</v>
      </c>
      <c r="D27" s="53" t="s">
        <v>164</v>
      </c>
      <c r="E27" s="54">
        <v>1</v>
      </c>
      <c r="F27" s="54">
        <v>2</v>
      </c>
      <c r="G27" s="54">
        <v>2</v>
      </c>
      <c r="H27" s="54">
        <v>3</v>
      </c>
      <c r="I27" s="40">
        <v>2</v>
      </c>
      <c r="J27" s="50">
        <f t="shared" si="0"/>
        <v>2</v>
      </c>
      <c r="K27" s="45"/>
      <c r="L27" s="60" t="s">
        <v>173</v>
      </c>
      <c r="M27" s="44" t="s">
        <v>174</v>
      </c>
    </row>
    <row r="28" spans="1:13" ht="13">
      <c r="C28" s="63"/>
      <c r="E28" s="41"/>
      <c r="F28" s="41"/>
      <c r="G28" s="41"/>
      <c r="H28" s="41"/>
      <c r="L28" s="64"/>
      <c r="M28" s="65"/>
    </row>
    <row r="29" spans="1:13" ht="13">
      <c r="C29" s="63"/>
      <c r="E29" s="41"/>
      <c r="F29" s="41"/>
      <c r="G29" s="41"/>
      <c r="H29" s="41"/>
      <c r="L29" s="64"/>
      <c r="M29" s="65"/>
    </row>
    <row r="30" spans="1:13" ht="13">
      <c r="C30" s="63"/>
      <c r="E30" s="41"/>
      <c r="F30" s="41"/>
      <c r="G30" s="41"/>
      <c r="H30" s="41"/>
      <c r="L30" s="64"/>
      <c r="M30" s="65"/>
    </row>
    <row r="31" spans="1:13" ht="13">
      <c r="C31" s="63"/>
      <c r="E31" s="41"/>
      <c r="F31" s="41"/>
      <c r="G31" s="41"/>
      <c r="H31" s="41"/>
      <c r="L31" s="64"/>
      <c r="M31" s="65"/>
    </row>
    <row r="32" spans="1:13" ht="13">
      <c r="C32" s="63"/>
      <c r="E32" s="41"/>
      <c r="F32" s="41"/>
      <c r="G32" s="41"/>
      <c r="H32" s="41"/>
      <c r="L32" s="64"/>
      <c r="M32" s="65"/>
    </row>
    <row r="33" spans="3:13" ht="13">
      <c r="C33" s="63"/>
      <c r="E33" s="41"/>
      <c r="F33" s="41"/>
      <c r="G33" s="41"/>
      <c r="H33" s="41"/>
      <c r="L33" s="64"/>
      <c r="M33" s="65"/>
    </row>
    <row r="34" spans="3:13" ht="13">
      <c r="C34" s="63"/>
      <c r="E34" s="41"/>
      <c r="F34" s="41"/>
      <c r="G34" s="41"/>
      <c r="H34" s="41"/>
      <c r="L34" s="64"/>
      <c r="M34" s="65"/>
    </row>
    <row r="35" spans="3:13" ht="13">
      <c r="C35" s="63"/>
      <c r="E35" s="41"/>
      <c r="F35" s="41"/>
      <c r="G35" s="41"/>
      <c r="H35" s="41"/>
      <c r="L35" s="64"/>
      <c r="M35" s="65"/>
    </row>
    <row r="36" spans="3:13" ht="13">
      <c r="C36" s="63"/>
      <c r="E36" s="41"/>
      <c r="F36" s="41"/>
      <c r="G36" s="41"/>
      <c r="H36" s="41"/>
      <c r="L36" s="64"/>
      <c r="M36" s="65"/>
    </row>
    <row r="37" spans="3:13" ht="13">
      <c r="C37" s="63"/>
      <c r="E37" s="41"/>
      <c r="F37" s="41"/>
      <c r="G37" s="41"/>
      <c r="H37" s="41"/>
      <c r="L37" s="64"/>
      <c r="M37" s="65"/>
    </row>
    <row r="38" spans="3:13" ht="13">
      <c r="C38" s="63"/>
      <c r="E38" s="41"/>
      <c r="F38" s="41"/>
      <c r="G38" s="41"/>
      <c r="H38" s="41"/>
      <c r="L38" s="64"/>
      <c r="M38" s="65"/>
    </row>
    <row r="39" spans="3:13" ht="13">
      <c r="C39" s="63"/>
      <c r="E39" s="41"/>
      <c r="F39" s="41"/>
      <c r="G39" s="41"/>
      <c r="H39" s="41"/>
      <c r="L39" s="64"/>
      <c r="M39" s="65"/>
    </row>
    <row r="40" spans="3:13" ht="13">
      <c r="C40" s="63"/>
      <c r="E40" s="41"/>
      <c r="F40" s="41"/>
      <c r="G40" s="41"/>
      <c r="H40" s="41"/>
      <c r="L40" s="64"/>
      <c r="M40" s="65"/>
    </row>
    <row r="41" spans="3:13" ht="13">
      <c r="C41" s="63"/>
      <c r="E41" s="41"/>
      <c r="F41" s="41"/>
      <c r="G41" s="41"/>
      <c r="H41" s="41"/>
      <c r="L41" s="64"/>
      <c r="M41" s="65"/>
    </row>
    <row r="42" spans="3:13" ht="13">
      <c r="C42" s="63"/>
      <c r="E42" s="41"/>
      <c r="F42" s="41"/>
      <c r="G42" s="41"/>
      <c r="H42" s="41"/>
      <c r="L42" s="64"/>
      <c r="M42" s="65"/>
    </row>
    <row r="43" spans="3:13" ht="13">
      <c r="C43" s="63"/>
      <c r="E43" s="41"/>
      <c r="F43" s="41"/>
      <c r="G43" s="41"/>
      <c r="H43" s="41"/>
      <c r="L43" s="64"/>
      <c r="M43" s="65"/>
    </row>
    <row r="44" spans="3:13" ht="13">
      <c r="C44" s="63"/>
      <c r="E44" s="41"/>
      <c r="F44" s="41"/>
      <c r="G44" s="41"/>
      <c r="H44" s="41"/>
      <c r="L44" s="64"/>
      <c r="M44" s="65"/>
    </row>
    <row r="45" spans="3:13" ht="13">
      <c r="C45" s="63"/>
      <c r="E45" s="41"/>
      <c r="F45" s="41"/>
      <c r="G45" s="41"/>
      <c r="H45" s="41"/>
      <c r="L45" s="64"/>
      <c r="M45" s="65"/>
    </row>
    <row r="46" spans="3:13" ht="13">
      <c r="C46" s="63"/>
      <c r="E46" s="41"/>
      <c r="F46" s="41"/>
      <c r="G46" s="41"/>
      <c r="H46" s="41"/>
      <c r="L46" s="64"/>
      <c r="M46" s="65"/>
    </row>
    <row r="47" spans="3:13" ht="13">
      <c r="C47" s="63"/>
      <c r="E47" s="41"/>
      <c r="F47" s="41"/>
      <c r="G47" s="41"/>
      <c r="H47" s="41"/>
      <c r="L47" s="64"/>
      <c r="M47" s="65"/>
    </row>
    <row r="48" spans="3:13" ht="13">
      <c r="C48" s="63"/>
      <c r="E48" s="41"/>
      <c r="F48" s="41"/>
      <c r="G48" s="41"/>
      <c r="H48" s="41"/>
      <c r="L48" s="64"/>
      <c r="M48" s="65"/>
    </row>
    <row r="49" spans="3:13" ht="13">
      <c r="C49" s="63"/>
      <c r="E49" s="41"/>
      <c r="F49" s="41"/>
      <c r="G49" s="41"/>
      <c r="H49" s="41"/>
      <c r="L49" s="64"/>
      <c r="M49" s="65"/>
    </row>
    <row r="50" spans="3:13" ht="13">
      <c r="C50" s="63"/>
      <c r="E50" s="41"/>
      <c r="F50" s="41"/>
      <c r="G50" s="41"/>
      <c r="H50" s="41"/>
      <c r="L50" s="64"/>
      <c r="M50" s="65"/>
    </row>
    <row r="51" spans="3:13" ht="13">
      <c r="C51" s="63"/>
      <c r="E51" s="41"/>
      <c r="F51" s="41"/>
      <c r="G51" s="41"/>
      <c r="H51" s="41"/>
      <c r="L51" s="64"/>
      <c r="M51" s="65"/>
    </row>
    <row r="52" spans="3:13" ht="13">
      <c r="C52" s="63"/>
      <c r="E52" s="41"/>
      <c r="F52" s="41"/>
      <c r="G52" s="41"/>
      <c r="H52" s="41"/>
      <c r="L52" s="64"/>
      <c r="M52" s="65"/>
    </row>
    <row r="53" spans="3:13" ht="13">
      <c r="C53" s="63"/>
      <c r="E53" s="41"/>
      <c r="F53" s="41"/>
      <c r="G53" s="41"/>
      <c r="H53" s="41"/>
      <c r="L53" s="64"/>
      <c r="M53" s="65"/>
    </row>
    <row r="54" spans="3:13" ht="13">
      <c r="C54" s="63"/>
      <c r="E54" s="41"/>
      <c r="F54" s="41"/>
      <c r="G54" s="41"/>
      <c r="H54" s="41"/>
      <c r="L54" s="64"/>
      <c r="M54" s="65"/>
    </row>
    <row r="55" spans="3:13" ht="13">
      <c r="C55" s="63"/>
      <c r="E55" s="41"/>
      <c r="F55" s="41"/>
      <c r="G55" s="41"/>
      <c r="H55" s="41"/>
      <c r="L55" s="64"/>
      <c r="M55" s="65"/>
    </row>
    <row r="56" spans="3:13" ht="13">
      <c r="C56" s="63"/>
      <c r="E56" s="41"/>
      <c r="F56" s="41"/>
      <c r="G56" s="41"/>
      <c r="H56" s="41"/>
      <c r="L56" s="64"/>
      <c r="M56" s="65"/>
    </row>
    <row r="57" spans="3:13" ht="13">
      <c r="C57" s="63"/>
      <c r="E57" s="41"/>
      <c r="F57" s="41"/>
      <c r="G57" s="41"/>
      <c r="H57" s="41"/>
      <c r="L57" s="64"/>
      <c r="M57" s="65"/>
    </row>
    <row r="58" spans="3:13" ht="13">
      <c r="C58" s="63"/>
      <c r="E58" s="41"/>
      <c r="F58" s="41"/>
      <c r="G58" s="41"/>
      <c r="H58" s="41"/>
      <c r="L58" s="64"/>
      <c r="M58" s="65"/>
    </row>
    <row r="59" spans="3:13" ht="13">
      <c r="C59" s="63"/>
      <c r="E59" s="41"/>
      <c r="F59" s="41"/>
      <c r="G59" s="41"/>
      <c r="H59" s="41"/>
      <c r="L59" s="64"/>
      <c r="M59" s="65"/>
    </row>
    <row r="60" spans="3:13" ht="13">
      <c r="C60" s="63"/>
      <c r="E60" s="41"/>
      <c r="F60" s="41"/>
      <c r="G60" s="41"/>
      <c r="H60" s="41"/>
      <c r="L60" s="64"/>
      <c r="M60" s="65"/>
    </row>
    <row r="61" spans="3:13" ht="13">
      <c r="C61" s="63"/>
      <c r="E61" s="41"/>
      <c r="F61" s="41"/>
      <c r="G61" s="41"/>
      <c r="H61" s="41"/>
      <c r="L61" s="64"/>
      <c r="M61" s="65"/>
    </row>
    <row r="62" spans="3:13" ht="13">
      <c r="C62" s="63"/>
      <c r="E62" s="41"/>
      <c r="F62" s="41"/>
      <c r="G62" s="41"/>
      <c r="H62" s="41"/>
      <c r="L62" s="64"/>
      <c r="M62" s="65"/>
    </row>
    <row r="63" spans="3:13" ht="13">
      <c r="C63" s="63"/>
      <c r="E63" s="41"/>
      <c r="F63" s="41"/>
      <c r="G63" s="41"/>
      <c r="H63" s="41"/>
      <c r="L63" s="64"/>
      <c r="M63" s="65"/>
    </row>
    <row r="64" spans="3:13" ht="13">
      <c r="C64" s="63"/>
      <c r="E64" s="41"/>
      <c r="F64" s="41"/>
      <c r="G64" s="41"/>
      <c r="H64" s="41"/>
      <c r="L64" s="64"/>
      <c r="M64" s="65"/>
    </row>
    <row r="65" spans="3:13" ht="13">
      <c r="C65" s="63"/>
      <c r="E65" s="41"/>
      <c r="F65" s="41"/>
      <c r="G65" s="41"/>
      <c r="H65" s="41"/>
      <c r="L65" s="64"/>
      <c r="M65" s="65"/>
    </row>
    <row r="66" spans="3:13" ht="13">
      <c r="C66" s="63"/>
      <c r="E66" s="41"/>
      <c r="F66" s="41"/>
      <c r="G66" s="41"/>
      <c r="H66" s="41"/>
      <c r="L66" s="64"/>
      <c r="M66" s="65"/>
    </row>
    <row r="67" spans="3:13" ht="13">
      <c r="C67" s="63"/>
      <c r="E67" s="41"/>
      <c r="F67" s="41"/>
      <c r="G67" s="41"/>
      <c r="H67" s="41"/>
      <c r="L67" s="64"/>
      <c r="M67" s="65"/>
    </row>
    <row r="68" spans="3:13" ht="13">
      <c r="C68" s="63"/>
      <c r="E68" s="41"/>
      <c r="F68" s="41"/>
      <c r="G68" s="41"/>
      <c r="H68" s="41"/>
      <c r="L68" s="64"/>
      <c r="M68" s="65"/>
    </row>
    <row r="69" spans="3:13" ht="13">
      <c r="C69" s="63"/>
      <c r="E69" s="41"/>
      <c r="F69" s="41"/>
      <c r="G69" s="41"/>
      <c r="H69" s="41"/>
      <c r="L69" s="64"/>
      <c r="M69" s="65"/>
    </row>
    <row r="70" spans="3:13" ht="13">
      <c r="C70" s="63"/>
      <c r="E70" s="41"/>
      <c r="F70" s="41"/>
      <c r="G70" s="41"/>
      <c r="H70" s="41"/>
      <c r="L70" s="64"/>
      <c r="M70" s="65"/>
    </row>
    <row r="71" spans="3:13" ht="13">
      <c r="C71" s="63"/>
      <c r="E71" s="41"/>
      <c r="F71" s="41"/>
      <c r="G71" s="41"/>
      <c r="H71" s="41"/>
      <c r="L71" s="64"/>
      <c r="M71" s="65"/>
    </row>
    <row r="72" spans="3:13" ht="13">
      <c r="C72" s="63"/>
      <c r="E72" s="41"/>
      <c r="F72" s="41"/>
      <c r="G72" s="41"/>
      <c r="H72" s="41"/>
      <c r="L72" s="64"/>
      <c r="M72" s="65"/>
    </row>
    <row r="73" spans="3:13" ht="13">
      <c r="C73" s="63"/>
      <c r="E73" s="41"/>
      <c r="F73" s="41"/>
      <c r="G73" s="41"/>
      <c r="H73" s="41"/>
      <c r="L73" s="64"/>
      <c r="M73" s="65"/>
    </row>
    <row r="74" spans="3:13" ht="13">
      <c r="C74" s="63"/>
      <c r="E74" s="41"/>
      <c r="F74" s="41"/>
      <c r="G74" s="41"/>
      <c r="H74" s="41"/>
      <c r="L74" s="64"/>
      <c r="M74" s="65"/>
    </row>
    <row r="75" spans="3:13" ht="13">
      <c r="C75" s="63"/>
      <c r="E75" s="41"/>
      <c r="F75" s="41"/>
      <c r="G75" s="41"/>
      <c r="H75" s="41"/>
      <c r="L75" s="64"/>
      <c r="M75" s="65"/>
    </row>
    <row r="76" spans="3:13" ht="13">
      <c r="C76" s="63"/>
      <c r="E76" s="41"/>
      <c r="F76" s="41"/>
      <c r="G76" s="41"/>
      <c r="H76" s="41"/>
      <c r="L76" s="64"/>
      <c r="M76" s="65"/>
    </row>
    <row r="77" spans="3:13" ht="13">
      <c r="C77" s="63"/>
      <c r="E77" s="41"/>
      <c r="F77" s="41"/>
      <c r="G77" s="41"/>
      <c r="H77" s="41"/>
      <c r="L77" s="64"/>
      <c r="M77" s="65"/>
    </row>
    <row r="78" spans="3:13" ht="13">
      <c r="C78" s="63"/>
      <c r="E78" s="41"/>
      <c r="F78" s="41"/>
      <c r="G78" s="41"/>
      <c r="H78" s="41"/>
      <c r="L78" s="64"/>
      <c r="M78" s="65"/>
    </row>
    <row r="79" spans="3:13" ht="13">
      <c r="C79" s="63"/>
      <c r="E79" s="41"/>
      <c r="F79" s="41"/>
      <c r="G79" s="41"/>
      <c r="H79" s="41"/>
      <c r="L79" s="64"/>
      <c r="M79" s="65"/>
    </row>
    <row r="80" spans="3:13" ht="13">
      <c r="C80" s="63"/>
      <c r="E80" s="41"/>
      <c r="F80" s="41"/>
      <c r="G80" s="41"/>
      <c r="H80" s="41"/>
      <c r="L80" s="64"/>
      <c r="M80" s="65"/>
    </row>
    <row r="81" spans="3:13" ht="13">
      <c r="C81" s="63"/>
      <c r="E81" s="41"/>
      <c r="F81" s="41"/>
      <c r="G81" s="41"/>
      <c r="H81" s="41"/>
      <c r="L81" s="64"/>
      <c r="M81" s="65"/>
    </row>
    <row r="82" spans="3:13" ht="13">
      <c r="C82" s="63"/>
      <c r="E82" s="41"/>
      <c r="F82" s="41"/>
      <c r="G82" s="41"/>
      <c r="H82" s="41"/>
      <c r="L82" s="64"/>
      <c r="M82" s="65"/>
    </row>
    <row r="83" spans="3:13" ht="13">
      <c r="C83" s="63"/>
      <c r="E83" s="41"/>
      <c r="F83" s="41"/>
      <c r="G83" s="41"/>
      <c r="H83" s="41"/>
      <c r="L83" s="64"/>
      <c r="M83" s="65"/>
    </row>
    <row r="84" spans="3:13" ht="13">
      <c r="C84" s="63"/>
      <c r="E84" s="41"/>
      <c r="F84" s="41"/>
      <c r="G84" s="41"/>
      <c r="H84" s="41"/>
      <c r="L84" s="64"/>
      <c r="M84" s="65"/>
    </row>
    <row r="85" spans="3:13" ht="13">
      <c r="C85" s="63"/>
      <c r="E85" s="41"/>
      <c r="F85" s="41"/>
      <c r="G85" s="41"/>
      <c r="H85" s="41"/>
      <c r="L85" s="64"/>
      <c r="M85" s="65"/>
    </row>
    <row r="86" spans="3:13" ht="13">
      <c r="C86" s="63"/>
      <c r="E86" s="41"/>
      <c r="F86" s="41"/>
      <c r="G86" s="41"/>
      <c r="H86" s="41"/>
      <c r="L86" s="64"/>
      <c r="M86" s="65"/>
    </row>
    <row r="87" spans="3:13" ht="13">
      <c r="C87" s="63"/>
      <c r="E87" s="41"/>
      <c r="F87" s="41"/>
      <c r="G87" s="41"/>
      <c r="H87" s="41"/>
      <c r="L87" s="64"/>
      <c r="M87" s="65"/>
    </row>
    <row r="88" spans="3:13" ht="13">
      <c r="C88" s="63"/>
      <c r="E88" s="41"/>
      <c r="F88" s="41"/>
      <c r="G88" s="41"/>
      <c r="H88" s="41"/>
      <c r="L88" s="64"/>
      <c r="M88" s="65"/>
    </row>
    <row r="89" spans="3:13" ht="13">
      <c r="C89" s="63"/>
      <c r="E89" s="41"/>
      <c r="F89" s="41"/>
      <c r="G89" s="41"/>
      <c r="H89" s="41"/>
      <c r="L89" s="64"/>
      <c r="M89" s="65"/>
    </row>
    <row r="90" spans="3:13" ht="13">
      <c r="C90" s="63"/>
      <c r="E90" s="41"/>
      <c r="F90" s="41"/>
      <c r="G90" s="41"/>
      <c r="H90" s="41"/>
      <c r="L90" s="64"/>
      <c r="M90" s="65"/>
    </row>
    <row r="91" spans="3:13" ht="13">
      <c r="C91" s="63"/>
      <c r="E91" s="41"/>
      <c r="F91" s="41"/>
      <c r="G91" s="41"/>
      <c r="H91" s="41"/>
      <c r="L91" s="64"/>
      <c r="M91" s="65"/>
    </row>
    <row r="92" spans="3:13" ht="13">
      <c r="C92" s="63"/>
      <c r="E92" s="41"/>
      <c r="F92" s="41"/>
      <c r="G92" s="41"/>
      <c r="H92" s="41"/>
      <c r="L92" s="64"/>
      <c r="M92" s="65"/>
    </row>
    <row r="93" spans="3:13" ht="13">
      <c r="C93" s="63"/>
      <c r="E93" s="41"/>
      <c r="F93" s="41"/>
      <c r="G93" s="41"/>
      <c r="H93" s="41"/>
      <c r="L93" s="64"/>
      <c r="M93" s="65"/>
    </row>
    <row r="94" spans="3:13" ht="13">
      <c r="C94" s="63"/>
      <c r="E94" s="41"/>
      <c r="F94" s="41"/>
      <c r="G94" s="41"/>
      <c r="H94" s="41"/>
      <c r="L94" s="64"/>
      <c r="M94" s="65"/>
    </row>
    <row r="95" spans="3:13" ht="13">
      <c r="C95" s="63"/>
      <c r="E95" s="41"/>
      <c r="F95" s="41"/>
      <c r="G95" s="41"/>
      <c r="H95" s="41"/>
      <c r="L95" s="64"/>
      <c r="M95" s="65"/>
    </row>
    <row r="96" spans="3:13" ht="13">
      <c r="C96" s="63"/>
      <c r="E96" s="41"/>
      <c r="F96" s="41"/>
      <c r="G96" s="41"/>
      <c r="H96" s="41"/>
      <c r="L96" s="64"/>
      <c r="M96" s="65"/>
    </row>
    <row r="97" spans="3:13" ht="13">
      <c r="C97" s="63"/>
      <c r="E97" s="41"/>
      <c r="F97" s="41"/>
      <c r="G97" s="41"/>
      <c r="H97" s="41"/>
      <c r="L97" s="64"/>
      <c r="M97" s="65"/>
    </row>
    <row r="98" spans="3:13" ht="13">
      <c r="C98" s="63"/>
      <c r="E98" s="41"/>
      <c r="F98" s="41"/>
      <c r="G98" s="41"/>
      <c r="H98" s="41"/>
      <c r="L98" s="64"/>
      <c r="M98" s="65"/>
    </row>
    <row r="99" spans="3:13" ht="13">
      <c r="C99" s="63"/>
      <c r="E99" s="41"/>
      <c r="F99" s="41"/>
      <c r="G99" s="41"/>
      <c r="H99" s="41"/>
      <c r="L99" s="64"/>
      <c r="M99" s="65"/>
    </row>
    <row r="100" spans="3:13" ht="13">
      <c r="C100" s="63"/>
      <c r="E100" s="41"/>
      <c r="F100" s="41"/>
      <c r="G100" s="41"/>
      <c r="H100" s="41"/>
      <c r="L100" s="64"/>
      <c r="M100" s="65"/>
    </row>
    <row r="101" spans="3:13" ht="13">
      <c r="C101" s="63"/>
      <c r="E101" s="41"/>
      <c r="F101" s="41"/>
      <c r="G101" s="41"/>
      <c r="H101" s="41"/>
      <c r="L101" s="64"/>
      <c r="M101" s="65"/>
    </row>
    <row r="102" spans="3:13" ht="13">
      <c r="C102" s="63"/>
      <c r="E102" s="41"/>
      <c r="F102" s="41"/>
      <c r="G102" s="41"/>
      <c r="H102" s="41"/>
      <c r="L102" s="64"/>
      <c r="M102" s="65"/>
    </row>
    <row r="103" spans="3:13" ht="13">
      <c r="C103" s="63"/>
      <c r="E103" s="41"/>
      <c r="F103" s="41"/>
      <c r="G103" s="41"/>
      <c r="H103" s="41"/>
      <c r="L103" s="64"/>
      <c r="M103" s="65"/>
    </row>
    <row r="104" spans="3:13" ht="13">
      <c r="C104" s="63"/>
      <c r="E104" s="41"/>
      <c r="F104" s="41"/>
      <c r="G104" s="41"/>
      <c r="H104" s="41"/>
      <c r="L104" s="64"/>
      <c r="M104" s="65"/>
    </row>
    <row r="105" spans="3:13" ht="13">
      <c r="C105" s="63"/>
      <c r="E105" s="41"/>
      <c r="F105" s="41"/>
      <c r="G105" s="41"/>
      <c r="H105" s="41"/>
      <c r="L105" s="64"/>
      <c r="M105" s="65"/>
    </row>
    <row r="106" spans="3:13" ht="13">
      <c r="C106" s="63"/>
      <c r="E106" s="41"/>
      <c r="F106" s="41"/>
      <c r="G106" s="41"/>
      <c r="H106" s="41"/>
      <c r="L106" s="64"/>
      <c r="M106" s="65"/>
    </row>
    <row r="107" spans="3:13" ht="13">
      <c r="C107" s="63"/>
      <c r="E107" s="41"/>
      <c r="F107" s="41"/>
      <c r="G107" s="41"/>
      <c r="H107" s="41"/>
      <c r="L107" s="64"/>
      <c r="M107" s="65"/>
    </row>
    <row r="108" spans="3:13" ht="13">
      <c r="C108" s="63"/>
      <c r="E108" s="41"/>
      <c r="F108" s="41"/>
      <c r="G108" s="41"/>
      <c r="H108" s="41"/>
      <c r="L108" s="64"/>
      <c r="M108" s="65"/>
    </row>
    <row r="109" spans="3:13" ht="13">
      <c r="C109" s="63"/>
      <c r="E109" s="41"/>
      <c r="F109" s="41"/>
      <c r="G109" s="41"/>
      <c r="H109" s="41"/>
      <c r="L109" s="64"/>
      <c r="M109" s="65"/>
    </row>
    <row r="110" spans="3:13" ht="13">
      <c r="C110" s="63"/>
      <c r="E110" s="41"/>
      <c r="F110" s="41"/>
      <c r="G110" s="41"/>
      <c r="H110" s="41"/>
      <c r="L110" s="64"/>
      <c r="M110" s="65"/>
    </row>
    <row r="111" spans="3:13" ht="13">
      <c r="C111" s="63"/>
      <c r="E111" s="41"/>
      <c r="F111" s="41"/>
      <c r="G111" s="41"/>
      <c r="H111" s="41"/>
      <c r="L111" s="64"/>
      <c r="M111" s="65"/>
    </row>
    <row r="112" spans="3:13" ht="13">
      <c r="C112" s="63"/>
      <c r="E112" s="41"/>
      <c r="F112" s="41"/>
      <c r="G112" s="41"/>
      <c r="H112" s="41"/>
      <c r="L112" s="64"/>
      <c r="M112" s="65"/>
    </row>
    <row r="113" spans="3:13" ht="13">
      <c r="C113" s="63"/>
      <c r="E113" s="41"/>
      <c r="F113" s="41"/>
      <c r="G113" s="41"/>
      <c r="H113" s="41"/>
      <c r="L113" s="64"/>
      <c r="M113" s="65"/>
    </row>
    <row r="114" spans="3:13" ht="13">
      <c r="C114" s="63"/>
      <c r="E114" s="41"/>
      <c r="F114" s="41"/>
      <c r="G114" s="41"/>
      <c r="H114" s="41"/>
      <c r="L114" s="64"/>
      <c r="M114" s="65"/>
    </row>
    <row r="115" spans="3:13" ht="13">
      <c r="C115" s="63"/>
      <c r="E115" s="41"/>
      <c r="F115" s="41"/>
      <c r="G115" s="41"/>
      <c r="H115" s="41"/>
      <c r="L115" s="64"/>
      <c r="M115" s="65"/>
    </row>
    <row r="116" spans="3:13" ht="13">
      <c r="C116" s="63"/>
      <c r="E116" s="41"/>
      <c r="F116" s="41"/>
      <c r="G116" s="41"/>
      <c r="H116" s="41"/>
      <c r="L116" s="64"/>
      <c r="M116" s="65"/>
    </row>
    <row r="117" spans="3:13" ht="13">
      <c r="C117" s="63"/>
      <c r="E117" s="41"/>
      <c r="F117" s="41"/>
      <c r="G117" s="41"/>
      <c r="H117" s="41"/>
      <c r="L117" s="64"/>
      <c r="M117" s="65"/>
    </row>
    <row r="118" spans="3:13" ht="13">
      <c r="C118" s="63"/>
      <c r="E118" s="41"/>
      <c r="F118" s="41"/>
      <c r="G118" s="41"/>
      <c r="H118" s="41"/>
      <c r="L118" s="64"/>
      <c r="M118" s="65"/>
    </row>
    <row r="119" spans="3:13" ht="13">
      <c r="C119" s="63"/>
      <c r="E119" s="41"/>
      <c r="F119" s="41"/>
      <c r="G119" s="41"/>
      <c r="H119" s="41"/>
      <c r="L119" s="64"/>
      <c r="M119" s="65"/>
    </row>
    <row r="120" spans="3:13" ht="13">
      <c r="C120" s="63"/>
      <c r="E120" s="41"/>
      <c r="F120" s="41"/>
      <c r="G120" s="41"/>
      <c r="H120" s="41"/>
      <c r="L120" s="64"/>
      <c r="M120" s="65"/>
    </row>
    <row r="121" spans="3:13" ht="13">
      <c r="C121" s="63"/>
      <c r="E121" s="41"/>
      <c r="F121" s="41"/>
      <c r="G121" s="41"/>
      <c r="H121" s="41"/>
      <c r="L121" s="64"/>
      <c r="M121" s="65"/>
    </row>
    <row r="122" spans="3:13" ht="13">
      <c r="C122" s="63"/>
      <c r="E122" s="41"/>
      <c r="F122" s="41"/>
      <c r="G122" s="41"/>
      <c r="H122" s="41"/>
      <c r="L122" s="64"/>
      <c r="M122" s="65"/>
    </row>
    <row r="123" spans="3:13" ht="13">
      <c r="C123" s="63"/>
      <c r="E123" s="41"/>
      <c r="F123" s="41"/>
      <c r="G123" s="41"/>
      <c r="H123" s="41"/>
      <c r="L123" s="64"/>
      <c r="M123" s="65"/>
    </row>
    <row r="124" spans="3:13" ht="13">
      <c r="C124" s="63"/>
      <c r="E124" s="41"/>
      <c r="F124" s="41"/>
      <c r="G124" s="41"/>
      <c r="H124" s="41"/>
      <c r="L124" s="64"/>
      <c r="M124" s="65"/>
    </row>
    <row r="125" spans="3:13" ht="13">
      <c r="C125" s="63"/>
      <c r="E125" s="41"/>
      <c r="F125" s="41"/>
      <c r="G125" s="41"/>
      <c r="H125" s="41"/>
      <c r="L125" s="64"/>
      <c r="M125" s="65"/>
    </row>
    <row r="126" spans="3:13" ht="13">
      <c r="C126" s="63"/>
      <c r="E126" s="41"/>
      <c r="F126" s="41"/>
      <c r="G126" s="41"/>
      <c r="H126" s="41"/>
      <c r="L126" s="64"/>
      <c r="M126" s="65"/>
    </row>
    <row r="127" spans="3:13" ht="13">
      <c r="C127" s="63"/>
      <c r="E127" s="41"/>
      <c r="F127" s="41"/>
      <c r="G127" s="41"/>
      <c r="H127" s="41"/>
      <c r="L127" s="64"/>
      <c r="M127" s="65"/>
    </row>
    <row r="128" spans="3:13" ht="13">
      <c r="C128" s="63"/>
      <c r="E128" s="41"/>
      <c r="F128" s="41"/>
      <c r="G128" s="41"/>
      <c r="H128" s="41"/>
      <c r="L128" s="64"/>
      <c r="M128" s="65"/>
    </row>
    <row r="129" spans="3:13" ht="13">
      <c r="C129" s="63"/>
      <c r="E129" s="41"/>
      <c r="F129" s="41"/>
      <c r="G129" s="41"/>
      <c r="H129" s="41"/>
      <c r="L129" s="64"/>
      <c r="M129" s="65"/>
    </row>
    <row r="130" spans="3:13" ht="13">
      <c r="C130" s="63"/>
      <c r="E130" s="41"/>
      <c r="F130" s="41"/>
      <c r="G130" s="41"/>
      <c r="H130" s="41"/>
      <c r="L130" s="64"/>
      <c r="M130" s="65"/>
    </row>
    <row r="131" spans="3:13" ht="13">
      <c r="C131" s="63"/>
      <c r="E131" s="41"/>
      <c r="F131" s="41"/>
      <c r="G131" s="41"/>
      <c r="H131" s="41"/>
      <c r="L131" s="64"/>
      <c r="M131" s="65"/>
    </row>
    <row r="132" spans="3:13" ht="13">
      <c r="C132" s="63"/>
      <c r="E132" s="41"/>
      <c r="F132" s="41"/>
      <c r="G132" s="41"/>
      <c r="H132" s="41"/>
      <c r="L132" s="64"/>
      <c r="M132" s="65"/>
    </row>
    <row r="133" spans="3:13" ht="13">
      <c r="C133" s="63"/>
      <c r="E133" s="41"/>
      <c r="F133" s="41"/>
      <c r="G133" s="41"/>
      <c r="H133" s="41"/>
      <c r="L133" s="64"/>
      <c r="M133" s="65"/>
    </row>
    <row r="134" spans="3:13" ht="13">
      <c r="C134" s="63"/>
      <c r="E134" s="41"/>
      <c r="F134" s="41"/>
      <c r="G134" s="41"/>
      <c r="H134" s="41"/>
      <c r="L134" s="64"/>
      <c r="M134" s="65"/>
    </row>
    <row r="135" spans="3:13" ht="13">
      <c r="C135" s="63"/>
      <c r="E135" s="41"/>
      <c r="F135" s="41"/>
      <c r="G135" s="41"/>
      <c r="H135" s="41"/>
      <c r="L135" s="64"/>
      <c r="M135" s="65"/>
    </row>
    <row r="136" spans="3:13" ht="13">
      <c r="C136" s="63"/>
      <c r="E136" s="41"/>
      <c r="F136" s="41"/>
      <c r="G136" s="41"/>
      <c r="H136" s="41"/>
      <c r="L136" s="64"/>
      <c r="M136" s="65"/>
    </row>
    <row r="137" spans="3:13" ht="13">
      <c r="C137" s="63"/>
      <c r="E137" s="41"/>
      <c r="F137" s="41"/>
      <c r="G137" s="41"/>
      <c r="H137" s="41"/>
      <c r="L137" s="64"/>
      <c r="M137" s="65"/>
    </row>
    <row r="138" spans="3:13" ht="13">
      <c r="C138" s="63"/>
      <c r="E138" s="41"/>
      <c r="F138" s="41"/>
      <c r="G138" s="41"/>
      <c r="H138" s="41"/>
      <c r="L138" s="64"/>
      <c r="M138" s="65"/>
    </row>
    <row r="139" spans="3:13" ht="13">
      <c r="C139" s="63"/>
      <c r="E139" s="41"/>
      <c r="F139" s="41"/>
      <c r="G139" s="41"/>
      <c r="H139" s="41"/>
      <c r="L139" s="64"/>
      <c r="M139" s="65"/>
    </row>
    <row r="140" spans="3:13" ht="13">
      <c r="C140" s="63"/>
      <c r="E140" s="41"/>
      <c r="F140" s="41"/>
      <c r="G140" s="41"/>
      <c r="H140" s="41"/>
      <c r="L140" s="64"/>
      <c r="M140" s="65"/>
    </row>
    <row r="141" spans="3:13" ht="13">
      <c r="C141" s="63"/>
      <c r="E141" s="41"/>
      <c r="F141" s="41"/>
      <c r="G141" s="41"/>
      <c r="H141" s="41"/>
      <c r="L141" s="64"/>
      <c r="M141" s="65"/>
    </row>
    <row r="142" spans="3:13" ht="13">
      <c r="C142" s="63"/>
      <c r="E142" s="41"/>
      <c r="F142" s="41"/>
      <c r="G142" s="41"/>
      <c r="H142" s="41"/>
      <c r="L142" s="64"/>
      <c r="M142" s="65"/>
    </row>
    <row r="143" spans="3:13" ht="13">
      <c r="C143" s="63"/>
      <c r="E143" s="41"/>
      <c r="F143" s="41"/>
      <c r="G143" s="41"/>
      <c r="H143" s="41"/>
      <c r="L143" s="64"/>
      <c r="M143" s="65"/>
    </row>
    <row r="144" spans="3:13" ht="13">
      <c r="C144" s="63"/>
      <c r="E144" s="41"/>
      <c r="F144" s="41"/>
      <c r="G144" s="41"/>
      <c r="H144" s="41"/>
      <c r="L144" s="64"/>
      <c r="M144" s="65"/>
    </row>
    <row r="145" spans="3:13" ht="13">
      <c r="C145" s="63"/>
      <c r="E145" s="41"/>
      <c r="F145" s="41"/>
      <c r="G145" s="41"/>
      <c r="H145" s="41"/>
      <c r="L145" s="64"/>
      <c r="M145" s="65"/>
    </row>
    <row r="146" spans="3:13" ht="13">
      <c r="C146" s="63"/>
      <c r="E146" s="41"/>
      <c r="F146" s="41"/>
      <c r="G146" s="41"/>
      <c r="H146" s="41"/>
      <c r="L146" s="64"/>
      <c r="M146" s="65"/>
    </row>
    <row r="147" spans="3:13" ht="13">
      <c r="C147" s="63"/>
      <c r="E147" s="41"/>
      <c r="F147" s="41"/>
      <c r="G147" s="41"/>
      <c r="H147" s="41"/>
      <c r="L147" s="64"/>
      <c r="M147" s="65"/>
    </row>
    <row r="148" spans="3:13" ht="13">
      <c r="C148" s="63"/>
      <c r="E148" s="41"/>
      <c r="F148" s="41"/>
      <c r="G148" s="41"/>
      <c r="H148" s="41"/>
      <c r="L148" s="64"/>
      <c r="M148" s="65"/>
    </row>
    <row r="149" spans="3:13" ht="13">
      <c r="C149" s="63"/>
      <c r="E149" s="41"/>
      <c r="F149" s="41"/>
      <c r="G149" s="41"/>
      <c r="H149" s="41"/>
      <c r="L149" s="64"/>
      <c r="M149" s="65"/>
    </row>
    <row r="150" spans="3:13" ht="13">
      <c r="C150" s="63"/>
      <c r="E150" s="41"/>
      <c r="F150" s="41"/>
      <c r="G150" s="41"/>
      <c r="H150" s="41"/>
      <c r="L150" s="64"/>
      <c r="M150" s="65"/>
    </row>
    <row r="151" spans="3:13" ht="13">
      <c r="C151" s="63"/>
      <c r="E151" s="41"/>
      <c r="F151" s="41"/>
      <c r="G151" s="41"/>
      <c r="H151" s="41"/>
      <c r="L151" s="64"/>
      <c r="M151" s="65"/>
    </row>
    <row r="152" spans="3:13" ht="13">
      <c r="C152" s="63"/>
      <c r="E152" s="41"/>
      <c r="F152" s="41"/>
      <c r="G152" s="41"/>
      <c r="H152" s="41"/>
      <c r="L152" s="64"/>
      <c r="M152" s="65"/>
    </row>
    <row r="153" spans="3:13" ht="13">
      <c r="C153" s="63"/>
      <c r="E153" s="41"/>
      <c r="F153" s="41"/>
      <c r="G153" s="41"/>
      <c r="H153" s="41"/>
      <c r="L153" s="64"/>
      <c r="M153" s="65"/>
    </row>
    <row r="154" spans="3:13" ht="13">
      <c r="C154" s="63"/>
      <c r="E154" s="41"/>
      <c r="F154" s="41"/>
      <c r="G154" s="41"/>
      <c r="H154" s="41"/>
      <c r="L154" s="64"/>
      <c r="M154" s="65"/>
    </row>
    <row r="155" spans="3:13" ht="13">
      <c r="C155" s="63"/>
      <c r="E155" s="41"/>
      <c r="F155" s="41"/>
      <c r="G155" s="41"/>
      <c r="H155" s="41"/>
      <c r="L155" s="64"/>
      <c r="M155" s="65"/>
    </row>
    <row r="156" spans="3:13" ht="13">
      <c r="C156" s="63"/>
      <c r="E156" s="41"/>
      <c r="F156" s="41"/>
      <c r="G156" s="41"/>
      <c r="H156" s="41"/>
      <c r="L156" s="64"/>
      <c r="M156" s="65"/>
    </row>
    <row r="157" spans="3:13" ht="13">
      <c r="C157" s="63"/>
      <c r="E157" s="41"/>
      <c r="F157" s="41"/>
      <c r="G157" s="41"/>
      <c r="H157" s="41"/>
      <c r="L157" s="64"/>
      <c r="M157" s="65"/>
    </row>
    <row r="158" spans="3:13" ht="13">
      <c r="C158" s="63"/>
      <c r="E158" s="41"/>
      <c r="F158" s="41"/>
      <c r="G158" s="41"/>
      <c r="H158" s="41"/>
      <c r="L158" s="64"/>
      <c r="M158" s="65"/>
    </row>
    <row r="159" spans="3:13" ht="13">
      <c r="C159" s="63"/>
      <c r="E159" s="41"/>
      <c r="F159" s="41"/>
      <c r="G159" s="41"/>
      <c r="H159" s="41"/>
      <c r="L159" s="64"/>
      <c r="M159" s="65"/>
    </row>
    <row r="160" spans="3:13" ht="13">
      <c r="C160" s="63"/>
      <c r="E160" s="41"/>
      <c r="F160" s="41"/>
      <c r="G160" s="41"/>
      <c r="H160" s="41"/>
      <c r="L160" s="64"/>
      <c r="M160" s="65"/>
    </row>
    <row r="161" spans="3:13" ht="13">
      <c r="C161" s="63"/>
      <c r="E161" s="41"/>
      <c r="F161" s="41"/>
      <c r="G161" s="41"/>
      <c r="H161" s="41"/>
      <c r="L161" s="64"/>
      <c r="M161" s="65"/>
    </row>
    <row r="162" spans="3:13" ht="13">
      <c r="C162" s="63"/>
      <c r="E162" s="41"/>
      <c r="F162" s="41"/>
      <c r="G162" s="41"/>
      <c r="H162" s="41"/>
      <c r="L162" s="64"/>
      <c r="M162" s="65"/>
    </row>
    <row r="163" spans="3:13" ht="13">
      <c r="C163" s="63"/>
      <c r="E163" s="41"/>
      <c r="F163" s="41"/>
      <c r="G163" s="41"/>
      <c r="H163" s="41"/>
      <c r="L163" s="64"/>
      <c r="M163" s="65"/>
    </row>
    <row r="164" spans="3:13" ht="13">
      <c r="C164" s="63"/>
      <c r="E164" s="41"/>
      <c r="F164" s="41"/>
      <c r="G164" s="41"/>
      <c r="H164" s="41"/>
      <c r="L164" s="64"/>
      <c r="M164" s="65"/>
    </row>
    <row r="165" spans="3:13" ht="13">
      <c r="C165" s="63"/>
      <c r="E165" s="41"/>
      <c r="F165" s="41"/>
      <c r="G165" s="41"/>
      <c r="H165" s="41"/>
      <c r="L165" s="64"/>
      <c r="M165" s="65"/>
    </row>
    <row r="166" spans="3:13" ht="13">
      <c r="C166" s="63"/>
      <c r="E166" s="41"/>
      <c r="F166" s="41"/>
      <c r="G166" s="41"/>
      <c r="H166" s="41"/>
      <c r="L166" s="64"/>
      <c r="M166" s="65"/>
    </row>
    <row r="167" spans="3:13" ht="13">
      <c r="C167" s="63"/>
      <c r="E167" s="41"/>
      <c r="F167" s="41"/>
      <c r="G167" s="41"/>
      <c r="H167" s="41"/>
      <c r="L167" s="64"/>
      <c r="M167" s="65"/>
    </row>
    <row r="168" spans="3:13" ht="13">
      <c r="C168" s="63"/>
      <c r="E168" s="41"/>
      <c r="F168" s="41"/>
      <c r="G168" s="41"/>
      <c r="H168" s="41"/>
      <c r="L168" s="64"/>
      <c r="M168" s="65"/>
    </row>
    <row r="169" spans="3:13" ht="13">
      <c r="C169" s="63"/>
      <c r="E169" s="41"/>
      <c r="F169" s="41"/>
      <c r="G169" s="41"/>
      <c r="H169" s="41"/>
      <c r="L169" s="64"/>
      <c r="M169" s="65"/>
    </row>
    <row r="170" spans="3:13" ht="13">
      <c r="C170" s="63"/>
      <c r="E170" s="41"/>
      <c r="F170" s="41"/>
      <c r="G170" s="41"/>
      <c r="H170" s="41"/>
      <c r="L170" s="64"/>
      <c r="M170" s="65"/>
    </row>
    <row r="171" spans="3:13" ht="13">
      <c r="C171" s="63"/>
      <c r="E171" s="41"/>
      <c r="F171" s="41"/>
      <c r="G171" s="41"/>
      <c r="H171" s="41"/>
      <c r="L171" s="64"/>
      <c r="M171" s="65"/>
    </row>
    <row r="172" spans="3:13" ht="13">
      <c r="C172" s="63"/>
      <c r="E172" s="41"/>
      <c r="F172" s="41"/>
      <c r="G172" s="41"/>
      <c r="H172" s="41"/>
      <c r="L172" s="64"/>
      <c r="M172" s="65"/>
    </row>
    <row r="173" spans="3:13" ht="13">
      <c r="C173" s="63"/>
      <c r="E173" s="41"/>
      <c r="F173" s="41"/>
      <c r="G173" s="41"/>
      <c r="H173" s="41"/>
      <c r="L173" s="64"/>
      <c r="M173" s="65"/>
    </row>
    <row r="174" spans="3:13" ht="13">
      <c r="C174" s="63"/>
      <c r="E174" s="41"/>
      <c r="F174" s="41"/>
      <c r="G174" s="41"/>
      <c r="H174" s="41"/>
      <c r="L174" s="64"/>
      <c r="M174" s="65"/>
    </row>
    <row r="175" spans="3:13" ht="13">
      <c r="C175" s="63"/>
      <c r="E175" s="41"/>
      <c r="F175" s="41"/>
      <c r="G175" s="41"/>
      <c r="H175" s="41"/>
      <c r="L175" s="64"/>
      <c r="M175" s="65"/>
    </row>
    <row r="176" spans="3:13" ht="13">
      <c r="C176" s="63"/>
      <c r="E176" s="41"/>
      <c r="F176" s="41"/>
      <c r="G176" s="41"/>
      <c r="H176" s="41"/>
      <c r="L176" s="64"/>
      <c r="M176" s="65"/>
    </row>
    <row r="177" spans="3:13" ht="13">
      <c r="C177" s="63"/>
      <c r="E177" s="41"/>
      <c r="F177" s="41"/>
      <c r="G177" s="41"/>
      <c r="H177" s="41"/>
      <c r="L177" s="64"/>
      <c r="M177" s="65"/>
    </row>
    <row r="178" spans="3:13" ht="13">
      <c r="C178" s="63"/>
      <c r="E178" s="41"/>
      <c r="F178" s="41"/>
      <c r="G178" s="41"/>
      <c r="H178" s="41"/>
      <c r="L178" s="64"/>
      <c r="M178" s="65"/>
    </row>
    <row r="179" spans="3:13" ht="13">
      <c r="C179" s="63"/>
      <c r="E179" s="41"/>
      <c r="F179" s="41"/>
      <c r="G179" s="41"/>
      <c r="H179" s="41"/>
      <c r="L179" s="64"/>
      <c r="M179" s="65"/>
    </row>
    <row r="180" spans="3:13" ht="13">
      <c r="C180" s="63"/>
      <c r="E180" s="41"/>
      <c r="F180" s="41"/>
      <c r="G180" s="41"/>
      <c r="H180" s="41"/>
      <c r="L180" s="64"/>
      <c r="M180" s="65"/>
    </row>
    <row r="181" spans="3:13" ht="13">
      <c r="C181" s="63"/>
      <c r="E181" s="41"/>
      <c r="F181" s="41"/>
      <c r="G181" s="41"/>
      <c r="H181" s="41"/>
      <c r="L181" s="64"/>
      <c r="M181" s="65"/>
    </row>
    <row r="182" spans="3:13" ht="13">
      <c r="C182" s="63"/>
      <c r="E182" s="41"/>
      <c r="F182" s="41"/>
      <c r="G182" s="41"/>
      <c r="H182" s="41"/>
      <c r="L182" s="64"/>
      <c r="M182" s="65"/>
    </row>
    <row r="183" spans="3:13" ht="13">
      <c r="C183" s="63"/>
      <c r="E183" s="41"/>
      <c r="F183" s="41"/>
      <c r="G183" s="41"/>
      <c r="H183" s="41"/>
      <c r="L183" s="64"/>
      <c r="M183" s="65"/>
    </row>
    <row r="184" spans="3:13" ht="13">
      <c r="C184" s="63"/>
      <c r="E184" s="41"/>
      <c r="F184" s="41"/>
      <c r="G184" s="41"/>
      <c r="H184" s="41"/>
      <c r="L184" s="64"/>
      <c r="M184" s="65"/>
    </row>
    <row r="185" spans="3:13" ht="13">
      <c r="C185" s="63"/>
      <c r="E185" s="41"/>
      <c r="F185" s="41"/>
      <c r="G185" s="41"/>
      <c r="H185" s="41"/>
      <c r="L185" s="64"/>
      <c r="M185" s="65"/>
    </row>
    <row r="186" spans="3:13" ht="13">
      <c r="C186" s="63"/>
      <c r="E186" s="41"/>
      <c r="F186" s="41"/>
      <c r="G186" s="41"/>
      <c r="H186" s="41"/>
      <c r="L186" s="64"/>
      <c r="M186" s="65"/>
    </row>
    <row r="187" spans="3:13" ht="13">
      <c r="C187" s="63"/>
      <c r="E187" s="41"/>
      <c r="F187" s="41"/>
      <c r="G187" s="41"/>
      <c r="H187" s="41"/>
      <c r="L187" s="64"/>
      <c r="M187" s="65"/>
    </row>
    <row r="188" spans="3:13" ht="13">
      <c r="C188" s="63"/>
      <c r="E188" s="41"/>
      <c r="F188" s="41"/>
      <c r="G188" s="41"/>
      <c r="H188" s="41"/>
      <c r="L188" s="64"/>
      <c r="M188" s="65"/>
    </row>
    <row r="189" spans="3:13" ht="13">
      <c r="C189" s="63"/>
      <c r="E189" s="41"/>
      <c r="F189" s="41"/>
      <c r="G189" s="41"/>
      <c r="H189" s="41"/>
      <c r="L189" s="64"/>
      <c r="M189" s="65"/>
    </row>
    <row r="190" spans="3:13" ht="13">
      <c r="C190" s="63"/>
      <c r="E190" s="41"/>
      <c r="F190" s="41"/>
      <c r="G190" s="41"/>
      <c r="H190" s="41"/>
      <c r="L190" s="64"/>
      <c r="M190" s="65"/>
    </row>
    <row r="191" spans="3:13" ht="13">
      <c r="C191" s="63"/>
      <c r="E191" s="41"/>
      <c r="F191" s="41"/>
      <c r="G191" s="41"/>
      <c r="H191" s="41"/>
      <c r="L191" s="64"/>
      <c r="M191" s="65"/>
    </row>
    <row r="192" spans="3:13" ht="13">
      <c r="C192" s="63"/>
      <c r="E192" s="41"/>
      <c r="F192" s="41"/>
      <c r="G192" s="41"/>
      <c r="H192" s="41"/>
      <c r="L192" s="64"/>
      <c r="M192" s="65"/>
    </row>
    <row r="193" spans="3:13" ht="13">
      <c r="C193" s="63"/>
      <c r="E193" s="41"/>
      <c r="F193" s="41"/>
      <c r="G193" s="41"/>
      <c r="H193" s="41"/>
      <c r="L193" s="64"/>
      <c r="M193" s="65"/>
    </row>
    <row r="194" spans="3:13" ht="13">
      <c r="C194" s="63"/>
      <c r="E194" s="41"/>
      <c r="F194" s="41"/>
      <c r="G194" s="41"/>
      <c r="H194" s="41"/>
      <c r="L194" s="64"/>
      <c r="M194" s="65"/>
    </row>
    <row r="195" spans="3:13" ht="13">
      <c r="C195" s="63"/>
      <c r="E195" s="41"/>
      <c r="F195" s="41"/>
      <c r="G195" s="41"/>
      <c r="H195" s="41"/>
      <c r="L195" s="64"/>
      <c r="M195" s="65"/>
    </row>
    <row r="196" spans="3:13" ht="13">
      <c r="C196" s="63"/>
      <c r="E196" s="41"/>
      <c r="F196" s="41"/>
      <c r="G196" s="41"/>
      <c r="H196" s="41"/>
      <c r="L196" s="64"/>
      <c r="M196" s="65"/>
    </row>
    <row r="197" spans="3:13" ht="13">
      <c r="C197" s="63"/>
      <c r="E197" s="41"/>
      <c r="F197" s="41"/>
      <c r="G197" s="41"/>
      <c r="H197" s="41"/>
      <c r="L197" s="64"/>
      <c r="M197" s="65"/>
    </row>
    <row r="198" spans="3:13" ht="13">
      <c r="C198" s="63"/>
      <c r="E198" s="41"/>
      <c r="F198" s="41"/>
      <c r="G198" s="41"/>
      <c r="H198" s="41"/>
      <c r="L198" s="64"/>
      <c r="M198" s="65"/>
    </row>
    <row r="199" spans="3:13" ht="13">
      <c r="C199" s="63"/>
      <c r="E199" s="41"/>
      <c r="F199" s="41"/>
      <c r="G199" s="41"/>
      <c r="H199" s="41"/>
      <c r="L199" s="64"/>
      <c r="M199" s="65"/>
    </row>
    <row r="200" spans="3:13" ht="13">
      <c r="C200" s="63"/>
      <c r="E200" s="41"/>
      <c r="F200" s="41"/>
      <c r="G200" s="41"/>
      <c r="H200" s="41"/>
      <c r="L200" s="64"/>
      <c r="M200" s="65"/>
    </row>
    <row r="201" spans="3:13" ht="13">
      <c r="C201" s="63"/>
      <c r="E201" s="41"/>
      <c r="F201" s="41"/>
      <c r="G201" s="41"/>
      <c r="H201" s="41"/>
      <c r="L201" s="64"/>
      <c r="M201" s="65"/>
    </row>
    <row r="202" spans="3:13" ht="13">
      <c r="C202" s="63"/>
      <c r="E202" s="41"/>
      <c r="F202" s="41"/>
      <c r="G202" s="41"/>
      <c r="H202" s="41"/>
      <c r="L202" s="64"/>
      <c r="M202" s="65"/>
    </row>
    <row r="203" spans="3:13" ht="13">
      <c r="C203" s="63"/>
      <c r="E203" s="41"/>
      <c r="F203" s="41"/>
      <c r="G203" s="41"/>
      <c r="H203" s="41"/>
      <c r="L203" s="64"/>
      <c r="M203" s="65"/>
    </row>
    <row r="204" spans="3:13" ht="13">
      <c r="C204" s="63"/>
      <c r="E204" s="41"/>
      <c r="F204" s="41"/>
      <c r="G204" s="41"/>
      <c r="H204" s="41"/>
      <c r="L204" s="64"/>
      <c r="M204" s="65"/>
    </row>
    <row r="205" spans="3:13" ht="13">
      <c r="C205" s="63"/>
      <c r="E205" s="41"/>
      <c r="F205" s="41"/>
      <c r="G205" s="41"/>
      <c r="H205" s="41"/>
      <c r="L205" s="64"/>
      <c r="M205" s="65"/>
    </row>
    <row r="206" spans="3:13" ht="13">
      <c r="C206" s="63"/>
      <c r="E206" s="41"/>
      <c r="F206" s="41"/>
      <c r="G206" s="41"/>
      <c r="H206" s="41"/>
      <c r="L206" s="64"/>
      <c r="M206" s="65"/>
    </row>
    <row r="207" spans="3:13" ht="13">
      <c r="C207" s="63"/>
      <c r="E207" s="41"/>
      <c r="F207" s="41"/>
      <c r="G207" s="41"/>
      <c r="H207" s="41"/>
      <c r="L207" s="64"/>
      <c r="M207" s="65"/>
    </row>
    <row r="208" spans="3:13" ht="13">
      <c r="C208" s="63"/>
      <c r="E208" s="41"/>
      <c r="F208" s="41"/>
      <c r="G208" s="41"/>
      <c r="H208" s="41"/>
      <c r="L208" s="64"/>
      <c r="M208" s="65"/>
    </row>
    <row r="209" spans="3:13" ht="13">
      <c r="C209" s="63"/>
      <c r="E209" s="41"/>
      <c r="F209" s="41"/>
      <c r="G209" s="41"/>
      <c r="H209" s="41"/>
      <c r="L209" s="64"/>
      <c r="M209" s="65"/>
    </row>
    <row r="210" spans="3:13" ht="13">
      <c r="C210" s="63"/>
      <c r="E210" s="41"/>
      <c r="F210" s="41"/>
      <c r="G210" s="41"/>
      <c r="H210" s="41"/>
      <c r="L210" s="64"/>
      <c r="M210" s="65"/>
    </row>
    <row r="211" spans="3:13" ht="13">
      <c r="C211" s="63"/>
      <c r="E211" s="41"/>
      <c r="F211" s="41"/>
      <c r="G211" s="41"/>
      <c r="H211" s="41"/>
      <c r="L211" s="64"/>
      <c r="M211" s="65"/>
    </row>
    <row r="212" spans="3:13" ht="13">
      <c r="C212" s="63"/>
      <c r="E212" s="41"/>
      <c r="F212" s="41"/>
      <c r="G212" s="41"/>
      <c r="H212" s="41"/>
      <c r="L212" s="64"/>
      <c r="M212" s="65"/>
    </row>
    <row r="213" spans="3:13" ht="13">
      <c r="C213" s="63"/>
      <c r="E213" s="41"/>
      <c r="F213" s="41"/>
      <c r="G213" s="41"/>
      <c r="H213" s="41"/>
      <c r="L213" s="64"/>
      <c r="M213" s="65"/>
    </row>
    <row r="214" spans="3:13" ht="13">
      <c r="C214" s="63"/>
      <c r="E214" s="41"/>
      <c r="F214" s="41"/>
      <c r="G214" s="41"/>
      <c r="H214" s="41"/>
      <c r="L214" s="64"/>
      <c r="M214" s="65"/>
    </row>
    <row r="215" spans="3:13" ht="13">
      <c r="C215" s="63"/>
      <c r="E215" s="41"/>
      <c r="F215" s="41"/>
      <c r="G215" s="41"/>
      <c r="H215" s="41"/>
      <c r="L215" s="64"/>
      <c r="M215" s="65"/>
    </row>
    <row r="216" spans="3:13" ht="13">
      <c r="C216" s="63"/>
      <c r="E216" s="41"/>
      <c r="F216" s="41"/>
      <c r="G216" s="41"/>
      <c r="H216" s="41"/>
      <c r="L216" s="64"/>
      <c r="M216" s="65"/>
    </row>
    <row r="217" spans="3:13" ht="13">
      <c r="C217" s="63"/>
      <c r="E217" s="41"/>
      <c r="F217" s="41"/>
      <c r="G217" s="41"/>
      <c r="H217" s="41"/>
      <c r="L217" s="64"/>
      <c r="M217" s="65"/>
    </row>
    <row r="218" spans="3:13" ht="13">
      <c r="C218" s="63"/>
      <c r="E218" s="41"/>
      <c r="F218" s="41"/>
      <c r="G218" s="41"/>
      <c r="H218" s="41"/>
      <c r="L218" s="64"/>
      <c r="M218" s="65"/>
    </row>
    <row r="219" spans="3:13" ht="13">
      <c r="C219" s="63"/>
      <c r="E219" s="41"/>
      <c r="F219" s="41"/>
      <c r="G219" s="41"/>
      <c r="H219" s="41"/>
      <c r="L219" s="64"/>
      <c r="M219" s="65"/>
    </row>
    <row r="220" spans="3:13" ht="13">
      <c r="C220" s="63"/>
      <c r="E220" s="41"/>
      <c r="F220" s="41"/>
      <c r="G220" s="41"/>
      <c r="H220" s="41"/>
      <c r="L220" s="64"/>
      <c r="M220" s="65"/>
    </row>
    <row r="221" spans="3:13" ht="13">
      <c r="C221" s="63"/>
      <c r="E221" s="41"/>
      <c r="F221" s="41"/>
      <c r="G221" s="41"/>
      <c r="H221" s="41"/>
      <c r="L221" s="64"/>
      <c r="M221" s="65"/>
    </row>
    <row r="222" spans="3:13" ht="13">
      <c r="C222" s="63"/>
      <c r="E222" s="41"/>
      <c r="F222" s="41"/>
      <c r="G222" s="41"/>
      <c r="H222" s="41"/>
      <c r="L222" s="64"/>
      <c r="M222" s="65"/>
    </row>
    <row r="223" spans="3:13" ht="13">
      <c r="C223" s="63"/>
      <c r="E223" s="41"/>
      <c r="F223" s="41"/>
      <c r="G223" s="41"/>
      <c r="H223" s="41"/>
      <c r="L223" s="64"/>
      <c r="M223" s="65"/>
    </row>
    <row r="224" spans="3:13" ht="13">
      <c r="C224" s="63"/>
      <c r="E224" s="41"/>
      <c r="F224" s="41"/>
      <c r="G224" s="41"/>
      <c r="H224" s="41"/>
      <c r="L224" s="64"/>
      <c r="M224" s="65"/>
    </row>
    <row r="225" spans="3:13" ht="13">
      <c r="C225" s="63"/>
      <c r="E225" s="41"/>
      <c r="F225" s="41"/>
      <c r="G225" s="41"/>
      <c r="H225" s="41"/>
      <c r="L225" s="64"/>
      <c r="M225" s="65"/>
    </row>
    <row r="226" spans="3:13" ht="13">
      <c r="C226" s="63"/>
      <c r="E226" s="41"/>
      <c r="F226" s="41"/>
      <c r="G226" s="41"/>
      <c r="H226" s="41"/>
      <c r="L226" s="64"/>
      <c r="M226" s="65"/>
    </row>
    <row r="227" spans="3:13" ht="13">
      <c r="C227" s="63"/>
      <c r="E227" s="41"/>
      <c r="F227" s="41"/>
      <c r="G227" s="41"/>
      <c r="H227" s="41"/>
      <c r="L227" s="64"/>
      <c r="M227" s="65"/>
    </row>
    <row r="228" spans="3:13" ht="13">
      <c r="C228" s="63"/>
      <c r="E228" s="41"/>
      <c r="F228" s="41"/>
      <c r="G228" s="41"/>
      <c r="H228" s="41"/>
      <c r="L228" s="64"/>
      <c r="M228" s="65"/>
    </row>
    <row r="229" spans="3:13" ht="13">
      <c r="C229" s="63"/>
      <c r="E229" s="41"/>
      <c r="F229" s="41"/>
      <c r="G229" s="41"/>
      <c r="H229" s="41"/>
      <c r="L229" s="64"/>
      <c r="M229" s="65"/>
    </row>
    <row r="230" spans="3:13" ht="13">
      <c r="C230" s="63"/>
      <c r="E230" s="41"/>
      <c r="F230" s="41"/>
      <c r="G230" s="41"/>
      <c r="H230" s="41"/>
      <c r="L230" s="64"/>
      <c r="M230" s="65"/>
    </row>
    <row r="231" spans="3:13" ht="13">
      <c r="C231" s="63"/>
      <c r="E231" s="41"/>
      <c r="F231" s="41"/>
      <c r="G231" s="41"/>
      <c r="H231" s="41"/>
      <c r="L231" s="64"/>
      <c r="M231" s="65"/>
    </row>
    <row r="232" spans="3:13" ht="13">
      <c r="C232" s="63"/>
      <c r="E232" s="41"/>
      <c r="F232" s="41"/>
      <c r="G232" s="41"/>
      <c r="H232" s="41"/>
      <c r="L232" s="64"/>
      <c r="M232" s="65"/>
    </row>
    <row r="233" spans="3:13" ht="13">
      <c r="C233" s="63"/>
      <c r="E233" s="41"/>
      <c r="F233" s="41"/>
      <c r="G233" s="41"/>
      <c r="H233" s="41"/>
      <c r="L233" s="64"/>
      <c r="M233" s="65"/>
    </row>
    <row r="234" spans="3:13" ht="13">
      <c r="C234" s="63"/>
      <c r="E234" s="41"/>
      <c r="F234" s="41"/>
      <c r="G234" s="41"/>
      <c r="H234" s="41"/>
      <c r="L234" s="64"/>
      <c r="M234" s="65"/>
    </row>
    <row r="235" spans="3:13" ht="13">
      <c r="C235" s="63"/>
      <c r="E235" s="41"/>
      <c r="F235" s="41"/>
      <c r="G235" s="41"/>
      <c r="H235" s="41"/>
      <c r="L235" s="64"/>
      <c r="M235" s="65"/>
    </row>
    <row r="236" spans="3:13" ht="13">
      <c r="C236" s="63"/>
      <c r="E236" s="41"/>
      <c r="F236" s="41"/>
      <c r="G236" s="41"/>
      <c r="H236" s="41"/>
      <c r="L236" s="64"/>
      <c r="M236" s="65"/>
    </row>
    <row r="237" spans="3:13" ht="13">
      <c r="C237" s="63"/>
      <c r="E237" s="41"/>
      <c r="F237" s="41"/>
      <c r="G237" s="41"/>
      <c r="H237" s="41"/>
      <c r="L237" s="64"/>
      <c r="M237" s="65"/>
    </row>
    <row r="238" spans="3:13" ht="13">
      <c r="C238" s="63"/>
      <c r="E238" s="41"/>
      <c r="F238" s="41"/>
      <c r="G238" s="41"/>
      <c r="H238" s="41"/>
      <c r="L238" s="64"/>
      <c r="M238" s="65"/>
    </row>
    <row r="239" spans="3:13" ht="13">
      <c r="C239" s="63"/>
      <c r="E239" s="41"/>
      <c r="F239" s="41"/>
      <c r="G239" s="41"/>
      <c r="H239" s="41"/>
      <c r="L239" s="64"/>
      <c r="M239" s="65"/>
    </row>
    <row r="240" spans="3:13" ht="13">
      <c r="C240" s="63"/>
      <c r="E240" s="41"/>
      <c r="F240" s="41"/>
      <c r="G240" s="41"/>
      <c r="H240" s="41"/>
      <c r="L240" s="64"/>
      <c r="M240" s="65"/>
    </row>
    <row r="241" spans="3:13" ht="13">
      <c r="C241" s="63"/>
      <c r="E241" s="41"/>
      <c r="F241" s="41"/>
      <c r="G241" s="41"/>
      <c r="H241" s="41"/>
      <c r="L241" s="64"/>
      <c r="M241" s="65"/>
    </row>
    <row r="242" spans="3:13" ht="13">
      <c r="C242" s="63"/>
      <c r="E242" s="41"/>
      <c r="F242" s="41"/>
      <c r="G242" s="41"/>
      <c r="H242" s="41"/>
      <c r="L242" s="64"/>
      <c r="M242" s="65"/>
    </row>
    <row r="243" spans="3:13" ht="13">
      <c r="C243" s="63"/>
      <c r="E243" s="41"/>
      <c r="F243" s="41"/>
      <c r="G243" s="41"/>
      <c r="H243" s="41"/>
      <c r="L243" s="64"/>
      <c r="M243" s="65"/>
    </row>
    <row r="244" spans="3:13" ht="13">
      <c r="C244" s="63"/>
      <c r="E244" s="41"/>
      <c r="F244" s="41"/>
      <c r="G244" s="41"/>
      <c r="H244" s="41"/>
      <c r="L244" s="64"/>
      <c r="M244" s="65"/>
    </row>
    <row r="245" spans="3:13" ht="13">
      <c r="C245" s="63"/>
      <c r="E245" s="41"/>
      <c r="F245" s="41"/>
      <c r="G245" s="41"/>
      <c r="H245" s="41"/>
      <c r="L245" s="64"/>
      <c r="M245" s="65"/>
    </row>
    <row r="246" spans="3:13" ht="13">
      <c r="C246" s="63"/>
      <c r="E246" s="41"/>
      <c r="F246" s="41"/>
      <c r="G246" s="41"/>
      <c r="H246" s="41"/>
      <c r="L246" s="64"/>
      <c r="M246" s="65"/>
    </row>
    <row r="247" spans="3:13" ht="13">
      <c r="C247" s="63"/>
      <c r="E247" s="41"/>
      <c r="F247" s="41"/>
      <c r="G247" s="41"/>
      <c r="H247" s="41"/>
      <c r="L247" s="64"/>
      <c r="M247" s="65"/>
    </row>
    <row r="248" spans="3:13" ht="13">
      <c r="C248" s="63"/>
      <c r="E248" s="41"/>
      <c r="F248" s="41"/>
      <c r="G248" s="41"/>
      <c r="H248" s="41"/>
      <c r="L248" s="64"/>
      <c r="M248" s="65"/>
    </row>
    <row r="249" spans="3:13" ht="13">
      <c r="C249" s="63"/>
      <c r="E249" s="41"/>
      <c r="F249" s="41"/>
      <c r="G249" s="41"/>
      <c r="H249" s="41"/>
      <c r="L249" s="64"/>
      <c r="M249" s="65"/>
    </row>
    <row r="250" spans="3:13" ht="13">
      <c r="C250" s="63"/>
      <c r="E250" s="41"/>
      <c r="F250" s="41"/>
      <c r="G250" s="41"/>
      <c r="H250" s="41"/>
      <c r="L250" s="64"/>
      <c r="M250" s="65"/>
    </row>
    <row r="251" spans="3:13" ht="13">
      <c r="C251" s="63"/>
      <c r="E251" s="41"/>
      <c r="F251" s="41"/>
      <c r="G251" s="41"/>
      <c r="H251" s="41"/>
      <c r="L251" s="64"/>
      <c r="M251" s="65"/>
    </row>
    <row r="252" spans="3:13" ht="13">
      <c r="C252" s="63"/>
      <c r="E252" s="41"/>
      <c r="F252" s="41"/>
      <c r="G252" s="41"/>
      <c r="H252" s="41"/>
      <c r="L252" s="64"/>
      <c r="M252" s="65"/>
    </row>
    <row r="253" spans="3:13" ht="13">
      <c r="C253" s="63"/>
      <c r="E253" s="41"/>
      <c r="F253" s="41"/>
      <c r="G253" s="41"/>
      <c r="H253" s="41"/>
      <c r="L253" s="64"/>
      <c r="M253" s="65"/>
    </row>
    <row r="254" spans="3:13" ht="13">
      <c r="C254" s="63"/>
      <c r="E254" s="41"/>
      <c r="F254" s="41"/>
      <c r="G254" s="41"/>
      <c r="H254" s="41"/>
      <c r="L254" s="64"/>
      <c r="M254" s="65"/>
    </row>
    <row r="255" spans="3:13" ht="13">
      <c r="C255" s="63"/>
      <c r="E255" s="41"/>
      <c r="F255" s="41"/>
      <c r="G255" s="41"/>
      <c r="H255" s="41"/>
      <c r="L255" s="64"/>
      <c r="M255" s="65"/>
    </row>
    <row r="256" spans="3:13" ht="13">
      <c r="C256" s="63"/>
      <c r="E256" s="41"/>
      <c r="F256" s="41"/>
      <c r="G256" s="41"/>
      <c r="H256" s="41"/>
      <c r="L256" s="64"/>
      <c r="M256" s="65"/>
    </row>
    <row r="257" spans="3:13" ht="13">
      <c r="C257" s="63"/>
      <c r="E257" s="41"/>
      <c r="F257" s="41"/>
      <c r="G257" s="41"/>
      <c r="H257" s="41"/>
      <c r="L257" s="64"/>
      <c r="M257" s="65"/>
    </row>
    <row r="258" spans="3:13" ht="13">
      <c r="C258" s="63"/>
      <c r="E258" s="41"/>
      <c r="F258" s="41"/>
      <c r="G258" s="41"/>
      <c r="H258" s="41"/>
      <c r="L258" s="64"/>
      <c r="M258" s="65"/>
    </row>
    <row r="259" spans="3:13" ht="13">
      <c r="C259" s="63"/>
      <c r="E259" s="41"/>
      <c r="F259" s="41"/>
      <c r="G259" s="41"/>
      <c r="H259" s="41"/>
      <c r="L259" s="64"/>
      <c r="M259" s="65"/>
    </row>
    <row r="260" spans="3:13" ht="13">
      <c r="C260" s="63"/>
      <c r="E260" s="41"/>
      <c r="F260" s="41"/>
      <c r="G260" s="41"/>
      <c r="H260" s="41"/>
      <c r="L260" s="64"/>
      <c r="M260" s="65"/>
    </row>
    <row r="261" spans="3:13" ht="13">
      <c r="C261" s="63"/>
      <c r="E261" s="41"/>
      <c r="F261" s="41"/>
      <c r="G261" s="41"/>
      <c r="H261" s="41"/>
      <c r="L261" s="64"/>
      <c r="M261" s="65"/>
    </row>
    <row r="262" spans="3:13" ht="13">
      <c r="C262" s="63"/>
      <c r="E262" s="41"/>
      <c r="F262" s="41"/>
      <c r="G262" s="41"/>
      <c r="H262" s="41"/>
      <c r="L262" s="64"/>
      <c r="M262" s="65"/>
    </row>
    <row r="263" spans="3:13" ht="13">
      <c r="C263" s="63"/>
      <c r="E263" s="41"/>
      <c r="F263" s="41"/>
      <c r="G263" s="41"/>
      <c r="H263" s="41"/>
      <c r="L263" s="64"/>
      <c r="M263" s="65"/>
    </row>
    <row r="264" spans="3:13" ht="13">
      <c r="C264" s="63"/>
      <c r="E264" s="41"/>
      <c r="F264" s="41"/>
      <c r="G264" s="41"/>
      <c r="H264" s="41"/>
      <c r="L264" s="64"/>
      <c r="M264" s="65"/>
    </row>
    <row r="265" spans="3:13" ht="13">
      <c r="C265" s="63"/>
      <c r="E265" s="41"/>
      <c r="F265" s="41"/>
      <c r="G265" s="41"/>
      <c r="H265" s="41"/>
      <c r="L265" s="64"/>
      <c r="M265" s="65"/>
    </row>
    <row r="266" spans="3:13" ht="13">
      <c r="C266" s="63"/>
      <c r="E266" s="41"/>
      <c r="F266" s="41"/>
      <c r="G266" s="41"/>
      <c r="H266" s="41"/>
      <c r="L266" s="64"/>
      <c r="M266" s="65"/>
    </row>
    <row r="267" spans="3:13" ht="13">
      <c r="C267" s="63"/>
      <c r="E267" s="41"/>
      <c r="F267" s="41"/>
      <c r="G267" s="41"/>
      <c r="H267" s="41"/>
      <c r="L267" s="64"/>
      <c r="M267" s="65"/>
    </row>
    <row r="268" spans="3:13" ht="13">
      <c r="C268" s="63"/>
      <c r="E268" s="41"/>
      <c r="F268" s="41"/>
      <c r="G268" s="41"/>
      <c r="H268" s="41"/>
      <c r="L268" s="64"/>
      <c r="M268" s="65"/>
    </row>
    <row r="269" spans="3:13" ht="13">
      <c r="C269" s="63"/>
      <c r="E269" s="41"/>
      <c r="F269" s="41"/>
      <c r="G269" s="41"/>
      <c r="H269" s="41"/>
      <c r="L269" s="64"/>
      <c r="M269" s="65"/>
    </row>
    <row r="270" spans="3:13" ht="13">
      <c r="C270" s="63"/>
      <c r="E270" s="41"/>
      <c r="F270" s="41"/>
      <c r="G270" s="41"/>
      <c r="H270" s="41"/>
      <c r="L270" s="64"/>
      <c r="M270" s="65"/>
    </row>
    <row r="271" spans="3:13" ht="13">
      <c r="C271" s="63"/>
      <c r="E271" s="41"/>
      <c r="F271" s="41"/>
      <c r="G271" s="41"/>
      <c r="H271" s="41"/>
      <c r="L271" s="64"/>
      <c r="M271" s="65"/>
    </row>
    <row r="272" spans="3:13" ht="13">
      <c r="C272" s="63"/>
      <c r="E272" s="41"/>
      <c r="F272" s="41"/>
      <c r="G272" s="41"/>
      <c r="H272" s="41"/>
      <c r="L272" s="64"/>
      <c r="M272" s="65"/>
    </row>
    <row r="273" spans="3:13" ht="13">
      <c r="C273" s="63"/>
      <c r="E273" s="41"/>
      <c r="F273" s="41"/>
      <c r="G273" s="41"/>
      <c r="H273" s="41"/>
      <c r="L273" s="64"/>
      <c r="M273" s="65"/>
    </row>
    <row r="274" spans="3:13" ht="13">
      <c r="C274" s="63"/>
      <c r="E274" s="41"/>
      <c r="F274" s="41"/>
      <c r="G274" s="41"/>
      <c r="H274" s="41"/>
      <c r="L274" s="64"/>
      <c r="M274" s="65"/>
    </row>
    <row r="275" spans="3:13" ht="13">
      <c r="C275" s="63"/>
      <c r="E275" s="41"/>
      <c r="F275" s="41"/>
      <c r="G275" s="41"/>
      <c r="H275" s="41"/>
      <c r="L275" s="64"/>
      <c r="M275" s="65"/>
    </row>
    <row r="276" spans="3:13" ht="13">
      <c r="C276" s="63"/>
      <c r="E276" s="41"/>
      <c r="F276" s="41"/>
      <c r="G276" s="41"/>
      <c r="H276" s="41"/>
      <c r="L276" s="64"/>
      <c r="M276" s="65"/>
    </row>
    <row r="277" spans="3:13" ht="13">
      <c r="C277" s="63"/>
      <c r="E277" s="41"/>
      <c r="F277" s="41"/>
      <c r="G277" s="41"/>
      <c r="H277" s="41"/>
      <c r="L277" s="64"/>
      <c r="M277" s="65"/>
    </row>
    <row r="278" spans="3:13" ht="13">
      <c r="C278" s="63"/>
      <c r="E278" s="41"/>
      <c r="F278" s="41"/>
      <c r="G278" s="41"/>
      <c r="H278" s="41"/>
      <c r="L278" s="64"/>
      <c r="M278" s="65"/>
    </row>
    <row r="279" spans="3:13" ht="13">
      <c r="C279" s="63"/>
      <c r="E279" s="41"/>
      <c r="F279" s="41"/>
      <c r="G279" s="41"/>
      <c r="H279" s="41"/>
      <c r="L279" s="64"/>
      <c r="M279" s="65"/>
    </row>
    <row r="280" spans="3:13" ht="13">
      <c r="C280" s="63"/>
      <c r="E280" s="41"/>
      <c r="F280" s="41"/>
      <c r="G280" s="41"/>
      <c r="H280" s="41"/>
      <c r="L280" s="64"/>
      <c r="M280" s="65"/>
    </row>
    <row r="281" spans="3:13" ht="13">
      <c r="C281" s="63"/>
      <c r="E281" s="41"/>
      <c r="F281" s="41"/>
      <c r="G281" s="41"/>
      <c r="H281" s="41"/>
      <c r="L281" s="64"/>
      <c r="M281" s="65"/>
    </row>
    <row r="282" spans="3:13" ht="13">
      <c r="C282" s="63"/>
      <c r="E282" s="41"/>
      <c r="F282" s="41"/>
      <c r="G282" s="41"/>
      <c r="H282" s="41"/>
      <c r="L282" s="64"/>
      <c r="M282" s="65"/>
    </row>
    <row r="283" spans="3:13" ht="13">
      <c r="C283" s="63"/>
      <c r="E283" s="41"/>
      <c r="F283" s="41"/>
      <c r="G283" s="41"/>
      <c r="H283" s="41"/>
      <c r="L283" s="64"/>
      <c r="M283" s="65"/>
    </row>
    <row r="284" spans="3:13" ht="13">
      <c r="C284" s="63"/>
      <c r="E284" s="41"/>
      <c r="F284" s="41"/>
      <c r="G284" s="41"/>
      <c r="H284" s="41"/>
      <c r="L284" s="64"/>
      <c r="M284" s="65"/>
    </row>
    <row r="285" spans="3:13" ht="13">
      <c r="C285" s="63"/>
      <c r="E285" s="41"/>
      <c r="F285" s="41"/>
      <c r="G285" s="41"/>
      <c r="H285" s="41"/>
      <c r="L285" s="64"/>
      <c r="M285" s="65"/>
    </row>
    <row r="286" spans="3:13" ht="13">
      <c r="C286" s="63"/>
      <c r="E286" s="41"/>
      <c r="F286" s="41"/>
      <c r="G286" s="41"/>
      <c r="H286" s="41"/>
      <c r="L286" s="64"/>
      <c r="M286" s="65"/>
    </row>
    <row r="287" spans="3:13" ht="13">
      <c r="C287" s="63"/>
      <c r="E287" s="41"/>
      <c r="F287" s="41"/>
      <c r="G287" s="41"/>
      <c r="H287" s="41"/>
      <c r="L287" s="64"/>
      <c r="M287" s="65"/>
    </row>
    <row r="288" spans="3:13" ht="13">
      <c r="C288" s="63"/>
      <c r="E288" s="41"/>
      <c r="F288" s="41"/>
      <c r="G288" s="41"/>
      <c r="H288" s="41"/>
      <c r="L288" s="64"/>
      <c r="M288" s="65"/>
    </row>
    <row r="289" spans="3:13" ht="13">
      <c r="C289" s="63"/>
      <c r="E289" s="41"/>
      <c r="F289" s="41"/>
      <c r="G289" s="41"/>
      <c r="H289" s="41"/>
      <c r="L289" s="64"/>
      <c r="M289" s="65"/>
    </row>
    <row r="290" spans="3:13" ht="13">
      <c r="C290" s="63"/>
      <c r="E290" s="41"/>
      <c r="F290" s="41"/>
      <c r="G290" s="41"/>
      <c r="H290" s="41"/>
      <c r="L290" s="64"/>
      <c r="M290" s="65"/>
    </row>
    <row r="291" spans="3:13" ht="13">
      <c r="C291" s="63"/>
      <c r="E291" s="41"/>
      <c r="F291" s="41"/>
      <c r="G291" s="41"/>
      <c r="H291" s="41"/>
      <c r="L291" s="64"/>
      <c r="M291" s="65"/>
    </row>
    <row r="292" spans="3:13" ht="13">
      <c r="C292" s="63"/>
      <c r="E292" s="41"/>
      <c r="F292" s="41"/>
      <c r="G292" s="41"/>
      <c r="H292" s="41"/>
      <c r="L292" s="64"/>
      <c r="M292" s="65"/>
    </row>
    <row r="293" spans="3:13" ht="13">
      <c r="C293" s="63"/>
      <c r="E293" s="41"/>
      <c r="F293" s="41"/>
      <c r="G293" s="41"/>
      <c r="H293" s="41"/>
      <c r="L293" s="64"/>
      <c r="M293" s="65"/>
    </row>
    <row r="294" spans="3:13" ht="13">
      <c r="C294" s="63"/>
      <c r="E294" s="41"/>
      <c r="F294" s="41"/>
      <c r="G294" s="41"/>
      <c r="H294" s="41"/>
      <c r="L294" s="64"/>
      <c r="M294" s="65"/>
    </row>
    <row r="295" spans="3:13" ht="13">
      <c r="C295" s="63"/>
      <c r="E295" s="41"/>
      <c r="F295" s="41"/>
      <c r="G295" s="41"/>
      <c r="H295" s="41"/>
      <c r="L295" s="64"/>
      <c r="M295" s="65"/>
    </row>
    <row r="296" spans="3:13" ht="13">
      <c r="C296" s="63"/>
      <c r="E296" s="41"/>
      <c r="F296" s="41"/>
      <c r="G296" s="41"/>
      <c r="H296" s="41"/>
      <c r="L296" s="64"/>
      <c r="M296" s="65"/>
    </row>
    <row r="297" spans="3:13" ht="13">
      <c r="C297" s="63"/>
      <c r="E297" s="41"/>
      <c r="F297" s="41"/>
      <c r="G297" s="41"/>
      <c r="H297" s="41"/>
      <c r="L297" s="64"/>
      <c r="M297" s="65"/>
    </row>
    <row r="298" spans="3:13" ht="13">
      <c r="C298" s="63"/>
      <c r="E298" s="41"/>
      <c r="F298" s="41"/>
      <c r="G298" s="41"/>
      <c r="H298" s="41"/>
      <c r="L298" s="64"/>
      <c r="M298" s="65"/>
    </row>
    <row r="299" spans="3:13" ht="13">
      <c r="C299" s="63"/>
      <c r="E299" s="41"/>
      <c r="F299" s="41"/>
      <c r="G299" s="41"/>
      <c r="H299" s="41"/>
      <c r="L299" s="64"/>
      <c r="M299" s="65"/>
    </row>
    <row r="300" spans="3:13" ht="13">
      <c r="C300" s="63"/>
      <c r="E300" s="41"/>
      <c r="F300" s="41"/>
      <c r="G300" s="41"/>
      <c r="H300" s="41"/>
      <c r="L300" s="64"/>
      <c r="M300" s="65"/>
    </row>
    <row r="301" spans="3:13" ht="13">
      <c r="C301" s="63"/>
      <c r="E301" s="41"/>
      <c r="F301" s="41"/>
      <c r="G301" s="41"/>
      <c r="H301" s="41"/>
      <c r="L301" s="64"/>
      <c r="M301" s="65"/>
    </row>
    <row r="302" spans="3:13" ht="13">
      <c r="C302" s="63"/>
      <c r="E302" s="41"/>
      <c r="F302" s="41"/>
      <c r="G302" s="41"/>
      <c r="H302" s="41"/>
      <c r="L302" s="64"/>
      <c r="M302" s="65"/>
    </row>
    <row r="303" spans="3:13" ht="13">
      <c r="C303" s="63"/>
      <c r="E303" s="41"/>
      <c r="F303" s="41"/>
      <c r="G303" s="41"/>
      <c r="H303" s="41"/>
      <c r="L303" s="64"/>
      <c r="M303" s="65"/>
    </row>
    <row r="304" spans="3:13" ht="13">
      <c r="C304" s="63"/>
      <c r="E304" s="41"/>
      <c r="F304" s="41"/>
      <c r="G304" s="41"/>
      <c r="H304" s="41"/>
      <c r="L304" s="64"/>
      <c r="M304" s="65"/>
    </row>
    <row r="305" spans="3:13" ht="13">
      <c r="C305" s="63"/>
      <c r="E305" s="41"/>
      <c r="F305" s="41"/>
      <c r="G305" s="41"/>
      <c r="H305" s="41"/>
      <c r="L305" s="64"/>
      <c r="M305" s="65"/>
    </row>
    <row r="306" spans="3:13" ht="13">
      <c r="C306" s="63"/>
      <c r="E306" s="41"/>
      <c r="F306" s="41"/>
      <c r="G306" s="41"/>
      <c r="H306" s="41"/>
      <c r="L306" s="64"/>
      <c r="M306" s="65"/>
    </row>
    <row r="307" spans="3:13" ht="13">
      <c r="C307" s="63"/>
      <c r="E307" s="41"/>
      <c r="F307" s="41"/>
      <c r="G307" s="41"/>
      <c r="H307" s="41"/>
      <c r="L307" s="64"/>
      <c r="M307" s="65"/>
    </row>
    <row r="308" spans="3:13" ht="13">
      <c r="C308" s="63"/>
      <c r="E308" s="41"/>
      <c r="F308" s="41"/>
      <c r="G308" s="41"/>
      <c r="H308" s="41"/>
      <c r="L308" s="64"/>
      <c r="M308" s="65"/>
    </row>
    <row r="309" spans="3:13" ht="13">
      <c r="C309" s="63"/>
      <c r="E309" s="41"/>
      <c r="F309" s="41"/>
      <c r="G309" s="41"/>
      <c r="H309" s="41"/>
      <c r="L309" s="64"/>
      <c r="M309" s="65"/>
    </row>
    <row r="310" spans="3:13" ht="13">
      <c r="C310" s="63"/>
      <c r="E310" s="41"/>
      <c r="F310" s="41"/>
      <c r="G310" s="41"/>
      <c r="H310" s="41"/>
      <c r="L310" s="64"/>
      <c r="M310" s="65"/>
    </row>
    <row r="311" spans="3:13" ht="13">
      <c r="C311" s="63"/>
      <c r="E311" s="41"/>
      <c r="F311" s="41"/>
      <c r="G311" s="41"/>
      <c r="H311" s="41"/>
      <c r="L311" s="64"/>
      <c r="M311" s="65"/>
    </row>
    <row r="312" spans="3:13" ht="13">
      <c r="C312" s="63"/>
      <c r="E312" s="41"/>
      <c r="F312" s="41"/>
      <c r="G312" s="41"/>
      <c r="H312" s="41"/>
      <c r="L312" s="64"/>
      <c r="M312" s="65"/>
    </row>
    <row r="313" spans="3:13" ht="13">
      <c r="C313" s="63"/>
      <c r="E313" s="41"/>
      <c r="F313" s="41"/>
      <c r="G313" s="41"/>
      <c r="H313" s="41"/>
      <c r="L313" s="64"/>
      <c r="M313" s="65"/>
    </row>
    <row r="314" spans="3:13" ht="13">
      <c r="C314" s="63"/>
      <c r="E314" s="41"/>
      <c r="F314" s="41"/>
      <c r="G314" s="41"/>
      <c r="H314" s="41"/>
      <c r="L314" s="64"/>
      <c r="M314" s="65"/>
    </row>
    <row r="315" spans="3:13" ht="13">
      <c r="C315" s="63"/>
      <c r="E315" s="41"/>
      <c r="F315" s="41"/>
      <c r="G315" s="41"/>
      <c r="H315" s="41"/>
      <c r="L315" s="64"/>
      <c r="M315" s="65"/>
    </row>
    <row r="316" spans="3:13" ht="13">
      <c r="C316" s="63"/>
      <c r="E316" s="41"/>
      <c r="F316" s="41"/>
      <c r="G316" s="41"/>
      <c r="H316" s="41"/>
      <c r="L316" s="64"/>
      <c r="M316" s="65"/>
    </row>
    <row r="317" spans="3:13" ht="13">
      <c r="C317" s="63"/>
      <c r="E317" s="41"/>
      <c r="F317" s="41"/>
      <c r="G317" s="41"/>
      <c r="H317" s="41"/>
      <c r="L317" s="64"/>
      <c r="M317" s="65"/>
    </row>
    <row r="318" spans="3:13" ht="13">
      <c r="C318" s="63"/>
      <c r="E318" s="41"/>
      <c r="F318" s="41"/>
      <c r="G318" s="41"/>
      <c r="H318" s="41"/>
      <c r="L318" s="64"/>
      <c r="M318" s="65"/>
    </row>
    <row r="319" spans="3:13" ht="13">
      <c r="C319" s="63"/>
      <c r="E319" s="41"/>
      <c r="F319" s="41"/>
      <c r="G319" s="41"/>
      <c r="H319" s="41"/>
      <c r="L319" s="64"/>
      <c r="M319" s="65"/>
    </row>
    <row r="320" spans="3:13" ht="13">
      <c r="C320" s="63"/>
      <c r="E320" s="41"/>
      <c r="F320" s="41"/>
      <c r="G320" s="41"/>
      <c r="H320" s="41"/>
      <c r="L320" s="64"/>
      <c r="M320" s="65"/>
    </row>
    <row r="321" spans="3:13" ht="13">
      <c r="C321" s="63"/>
      <c r="E321" s="41"/>
      <c r="F321" s="41"/>
      <c r="G321" s="41"/>
      <c r="H321" s="41"/>
      <c r="L321" s="64"/>
      <c r="M321" s="65"/>
    </row>
    <row r="322" spans="3:13" ht="13">
      <c r="C322" s="63"/>
      <c r="E322" s="41"/>
      <c r="F322" s="41"/>
      <c r="G322" s="41"/>
      <c r="H322" s="41"/>
      <c r="L322" s="64"/>
      <c r="M322" s="65"/>
    </row>
    <row r="323" spans="3:13" ht="13">
      <c r="C323" s="63"/>
      <c r="E323" s="41"/>
      <c r="F323" s="41"/>
      <c r="G323" s="41"/>
      <c r="H323" s="41"/>
      <c r="L323" s="64"/>
      <c r="M323" s="65"/>
    </row>
    <row r="324" spans="3:13" ht="13">
      <c r="C324" s="63"/>
      <c r="E324" s="41"/>
      <c r="F324" s="41"/>
      <c r="G324" s="41"/>
      <c r="H324" s="41"/>
      <c r="L324" s="64"/>
      <c r="M324" s="65"/>
    </row>
    <row r="325" spans="3:13" ht="13">
      <c r="C325" s="63"/>
      <c r="E325" s="41"/>
      <c r="F325" s="41"/>
      <c r="G325" s="41"/>
      <c r="H325" s="41"/>
      <c r="L325" s="64"/>
      <c r="M325" s="65"/>
    </row>
    <row r="326" spans="3:13" ht="13">
      <c r="C326" s="63"/>
      <c r="E326" s="41"/>
      <c r="F326" s="41"/>
      <c r="G326" s="41"/>
      <c r="H326" s="41"/>
      <c r="L326" s="64"/>
      <c r="M326" s="65"/>
    </row>
    <row r="327" spans="3:13" ht="13">
      <c r="C327" s="63"/>
      <c r="E327" s="41"/>
      <c r="F327" s="41"/>
      <c r="G327" s="41"/>
      <c r="H327" s="41"/>
      <c r="L327" s="64"/>
      <c r="M327" s="65"/>
    </row>
    <row r="328" spans="3:13" ht="13">
      <c r="C328" s="63"/>
      <c r="E328" s="41"/>
      <c r="F328" s="41"/>
      <c r="G328" s="41"/>
      <c r="H328" s="41"/>
      <c r="L328" s="64"/>
      <c r="M328" s="65"/>
    </row>
    <row r="329" spans="3:13" ht="13">
      <c r="C329" s="63"/>
      <c r="E329" s="41"/>
      <c r="F329" s="41"/>
      <c r="G329" s="41"/>
      <c r="H329" s="41"/>
      <c r="L329" s="64"/>
      <c r="M329" s="65"/>
    </row>
    <row r="330" spans="3:13" ht="13">
      <c r="C330" s="63"/>
      <c r="E330" s="41"/>
      <c r="F330" s="41"/>
      <c r="G330" s="41"/>
      <c r="H330" s="41"/>
      <c r="L330" s="64"/>
      <c r="M330" s="65"/>
    </row>
    <row r="331" spans="3:13" ht="13">
      <c r="C331" s="63"/>
      <c r="E331" s="41"/>
      <c r="F331" s="41"/>
      <c r="G331" s="41"/>
      <c r="H331" s="41"/>
      <c r="L331" s="64"/>
      <c r="M331" s="65"/>
    </row>
    <row r="332" spans="3:13" ht="13">
      <c r="C332" s="63"/>
      <c r="E332" s="41"/>
      <c r="F332" s="41"/>
      <c r="G332" s="41"/>
      <c r="H332" s="41"/>
      <c r="L332" s="64"/>
      <c r="M332" s="65"/>
    </row>
    <row r="333" spans="3:13" ht="13">
      <c r="C333" s="63"/>
      <c r="E333" s="41"/>
      <c r="F333" s="41"/>
      <c r="G333" s="41"/>
      <c r="H333" s="41"/>
      <c r="L333" s="64"/>
      <c r="M333" s="65"/>
    </row>
    <row r="334" spans="3:13" ht="13">
      <c r="C334" s="63"/>
      <c r="E334" s="41"/>
      <c r="F334" s="41"/>
      <c r="G334" s="41"/>
      <c r="H334" s="41"/>
      <c r="L334" s="64"/>
      <c r="M334" s="65"/>
    </row>
    <row r="335" spans="3:13" ht="13">
      <c r="C335" s="63"/>
      <c r="E335" s="41"/>
      <c r="F335" s="41"/>
      <c r="G335" s="41"/>
      <c r="H335" s="41"/>
      <c r="L335" s="64"/>
      <c r="M335" s="65"/>
    </row>
    <row r="336" spans="3:13" ht="13">
      <c r="C336" s="63"/>
      <c r="E336" s="41"/>
      <c r="F336" s="41"/>
      <c r="G336" s="41"/>
      <c r="H336" s="41"/>
      <c r="L336" s="64"/>
      <c r="M336" s="65"/>
    </row>
    <row r="337" spans="3:13" ht="13">
      <c r="C337" s="63"/>
      <c r="E337" s="41"/>
      <c r="F337" s="41"/>
      <c r="G337" s="41"/>
      <c r="H337" s="41"/>
      <c r="L337" s="64"/>
      <c r="M337" s="65"/>
    </row>
    <row r="338" spans="3:13" ht="13">
      <c r="C338" s="63"/>
      <c r="E338" s="41"/>
      <c r="F338" s="41"/>
      <c r="G338" s="41"/>
      <c r="H338" s="41"/>
      <c r="L338" s="64"/>
      <c r="M338" s="65"/>
    </row>
    <row r="339" spans="3:13" ht="13">
      <c r="C339" s="63"/>
      <c r="E339" s="41"/>
      <c r="F339" s="41"/>
      <c r="G339" s="41"/>
      <c r="H339" s="41"/>
      <c r="L339" s="64"/>
      <c r="M339" s="65"/>
    </row>
    <row r="340" spans="3:13" ht="13">
      <c r="C340" s="63"/>
      <c r="E340" s="41"/>
      <c r="F340" s="41"/>
      <c r="G340" s="41"/>
      <c r="H340" s="41"/>
      <c r="L340" s="64"/>
      <c r="M340" s="65"/>
    </row>
    <row r="341" spans="3:13" ht="13">
      <c r="C341" s="63"/>
      <c r="E341" s="41"/>
      <c r="F341" s="41"/>
      <c r="G341" s="41"/>
      <c r="H341" s="41"/>
      <c r="L341" s="64"/>
      <c r="M341" s="65"/>
    </row>
    <row r="342" spans="3:13" ht="13">
      <c r="C342" s="63"/>
      <c r="E342" s="41"/>
      <c r="F342" s="41"/>
      <c r="G342" s="41"/>
      <c r="H342" s="41"/>
      <c r="L342" s="64"/>
      <c r="M342" s="65"/>
    </row>
    <row r="343" spans="3:13" ht="13">
      <c r="C343" s="63"/>
      <c r="E343" s="41"/>
      <c r="F343" s="41"/>
      <c r="G343" s="41"/>
      <c r="H343" s="41"/>
      <c r="L343" s="64"/>
      <c r="M343" s="65"/>
    </row>
    <row r="344" spans="3:13" ht="13">
      <c r="C344" s="63"/>
      <c r="E344" s="41"/>
      <c r="F344" s="41"/>
      <c r="G344" s="41"/>
      <c r="H344" s="41"/>
      <c r="L344" s="64"/>
      <c r="M344" s="65"/>
    </row>
    <row r="345" spans="3:13" ht="13">
      <c r="C345" s="63"/>
      <c r="E345" s="41"/>
      <c r="F345" s="41"/>
      <c r="G345" s="41"/>
      <c r="H345" s="41"/>
      <c r="L345" s="64"/>
      <c r="M345" s="65"/>
    </row>
    <row r="346" spans="3:13" ht="13">
      <c r="C346" s="63"/>
      <c r="E346" s="41"/>
      <c r="F346" s="41"/>
      <c r="G346" s="41"/>
      <c r="H346" s="41"/>
      <c r="L346" s="64"/>
      <c r="M346" s="65"/>
    </row>
    <row r="347" spans="3:13" ht="13">
      <c r="C347" s="63"/>
      <c r="E347" s="41"/>
      <c r="F347" s="41"/>
      <c r="G347" s="41"/>
      <c r="H347" s="41"/>
      <c r="L347" s="64"/>
      <c r="M347" s="65"/>
    </row>
    <row r="348" spans="3:13" ht="13">
      <c r="C348" s="63"/>
      <c r="E348" s="41"/>
      <c r="F348" s="41"/>
      <c r="G348" s="41"/>
      <c r="H348" s="41"/>
      <c r="L348" s="64"/>
      <c r="M348" s="65"/>
    </row>
    <row r="349" spans="3:13" ht="13">
      <c r="C349" s="63"/>
      <c r="E349" s="41"/>
      <c r="F349" s="41"/>
      <c r="G349" s="41"/>
      <c r="H349" s="41"/>
      <c r="L349" s="64"/>
      <c r="M349" s="65"/>
    </row>
    <row r="350" spans="3:13" ht="13">
      <c r="C350" s="63"/>
      <c r="E350" s="41"/>
      <c r="F350" s="41"/>
      <c r="G350" s="41"/>
      <c r="H350" s="41"/>
      <c r="L350" s="64"/>
      <c r="M350" s="65"/>
    </row>
    <row r="351" spans="3:13" ht="13">
      <c r="C351" s="63"/>
      <c r="E351" s="41"/>
      <c r="F351" s="41"/>
      <c r="G351" s="41"/>
      <c r="H351" s="41"/>
      <c r="L351" s="64"/>
      <c r="M351" s="65"/>
    </row>
    <row r="352" spans="3:13" ht="13">
      <c r="C352" s="63"/>
      <c r="E352" s="41"/>
      <c r="F352" s="41"/>
      <c r="G352" s="41"/>
      <c r="H352" s="41"/>
      <c r="L352" s="64"/>
      <c r="M352" s="65"/>
    </row>
    <row r="353" spans="3:13" ht="13">
      <c r="C353" s="63"/>
      <c r="E353" s="41"/>
      <c r="F353" s="41"/>
      <c r="G353" s="41"/>
      <c r="H353" s="41"/>
      <c r="L353" s="64"/>
      <c r="M353" s="65"/>
    </row>
    <row r="354" spans="3:13" ht="13">
      <c r="C354" s="63"/>
      <c r="E354" s="41"/>
      <c r="F354" s="41"/>
      <c r="G354" s="41"/>
      <c r="H354" s="41"/>
      <c r="L354" s="64"/>
      <c r="M354" s="65"/>
    </row>
    <row r="355" spans="3:13" ht="13">
      <c r="C355" s="63"/>
      <c r="E355" s="41"/>
      <c r="F355" s="41"/>
      <c r="G355" s="41"/>
      <c r="H355" s="41"/>
      <c r="L355" s="64"/>
      <c r="M355" s="65"/>
    </row>
    <row r="356" spans="3:13" ht="13">
      <c r="C356" s="63"/>
      <c r="E356" s="41"/>
      <c r="F356" s="41"/>
      <c r="G356" s="41"/>
      <c r="H356" s="41"/>
      <c r="L356" s="64"/>
      <c r="M356" s="65"/>
    </row>
    <row r="357" spans="3:13" ht="13">
      <c r="C357" s="63"/>
      <c r="E357" s="41"/>
      <c r="F357" s="41"/>
      <c r="G357" s="41"/>
      <c r="H357" s="41"/>
      <c r="L357" s="64"/>
      <c r="M357" s="65"/>
    </row>
    <row r="358" spans="3:13" ht="13">
      <c r="C358" s="63"/>
      <c r="E358" s="41"/>
      <c r="F358" s="41"/>
      <c r="G358" s="41"/>
      <c r="H358" s="41"/>
      <c r="L358" s="64"/>
      <c r="M358" s="65"/>
    </row>
    <row r="359" spans="3:13" ht="13">
      <c r="C359" s="63"/>
      <c r="E359" s="41"/>
      <c r="F359" s="41"/>
      <c r="G359" s="41"/>
      <c r="H359" s="41"/>
      <c r="L359" s="64"/>
      <c r="M359" s="65"/>
    </row>
    <row r="360" spans="3:13" ht="13">
      <c r="C360" s="63"/>
      <c r="E360" s="41"/>
      <c r="F360" s="41"/>
      <c r="G360" s="41"/>
      <c r="H360" s="41"/>
      <c r="L360" s="64"/>
      <c r="M360" s="65"/>
    </row>
    <row r="361" spans="3:13" ht="13">
      <c r="C361" s="63"/>
      <c r="E361" s="41"/>
      <c r="F361" s="41"/>
      <c r="G361" s="41"/>
      <c r="H361" s="41"/>
      <c r="L361" s="64"/>
      <c r="M361" s="65"/>
    </row>
    <row r="362" spans="3:13" ht="13">
      <c r="C362" s="63"/>
      <c r="E362" s="41"/>
      <c r="F362" s="41"/>
      <c r="G362" s="41"/>
      <c r="H362" s="41"/>
      <c r="L362" s="64"/>
      <c r="M362" s="65"/>
    </row>
    <row r="363" spans="3:13" ht="13">
      <c r="C363" s="63"/>
      <c r="E363" s="41"/>
      <c r="F363" s="41"/>
      <c r="G363" s="41"/>
      <c r="H363" s="41"/>
      <c r="L363" s="64"/>
      <c r="M363" s="65"/>
    </row>
    <row r="364" spans="3:13" ht="13">
      <c r="C364" s="63"/>
      <c r="E364" s="41"/>
      <c r="F364" s="41"/>
      <c r="G364" s="41"/>
      <c r="H364" s="41"/>
      <c r="L364" s="64"/>
      <c r="M364" s="65"/>
    </row>
    <row r="365" spans="3:13" ht="13">
      <c r="C365" s="63"/>
      <c r="E365" s="41"/>
      <c r="F365" s="41"/>
      <c r="G365" s="41"/>
      <c r="H365" s="41"/>
      <c r="L365" s="64"/>
      <c r="M365" s="65"/>
    </row>
    <row r="366" spans="3:13" ht="13">
      <c r="C366" s="63"/>
      <c r="E366" s="41"/>
      <c r="F366" s="41"/>
      <c r="G366" s="41"/>
      <c r="H366" s="41"/>
      <c r="L366" s="64"/>
      <c r="M366" s="65"/>
    </row>
    <row r="367" spans="3:13" ht="13">
      <c r="C367" s="63"/>
      <c r="E367" s="41"/>
      <c r="F367" s="41"/>
      <c r="G367" s="41"/>
      <c r="H367" s="41"/>
      <c r="L367" s="64"/>
      <c r="M367" s="65"/>
    </row>
    <row r="368" spans="3:13" ht="13">
      <c r="C368" s="63"/>
      <c r="E368" s="41"/>
      <c r="F368" s="41"/>
      <c r="G368" s="41"/>
      <c r="H368" s="41"/>
      <c r="L368" s="64"/>
      <c r="M368" s="65"/>
    </row>
    <row r="369" spans="3:13" ht="13">
      <c r="C369" s="63"/>
      <c r="E369" s="41"/>
      <c r="F369" s="41"/>
      <c r="G369" s="41"/>
      <c r="H369" s="41"/>
      <c r="L369" s="64"/>
      <c r="M369" s="65"/>
    </row>
    <row r="370" spans="3:13" ht="13">
      <c r="C370" s="63"/>
      <c r="E370" s="41"/>
      <c r="F370" s="41"/>
      <c r="G370" s="41"/>
      <c r="H370" s="41"/>
      <c r="L370" s="64"/>
      <c r="M370" s="65"/>
    </row>
    <row r="371" spans="3:13" ht="13">
      <c r="C371" s="63"/>
      <c r="E371" s="41"/>
      <c r="F371" s="41"/>
      <c r="G371" s="41"/>
      <c r="H371" s="41"/>
      <c r="L371" s="64"/>
      <c r="M371" s="65"/>
    </row>
    <row r="372" spans="3:13" ht="13">
      <c r="C372" s="63"/>
      <c r="E372" s="41"/>
      <c r="F372" s="41"/>
      <c r="G372" s="41"/>
      <c r="H372" s="41"/>
      <c r="L372" s="64"/>
      <c r="M372" s="65"/>
    </row>
    <row r="373" spans="3:13" ht="13">
      <c r="C373" s="63"/>
      <c r="E373" s="41"/>
      <c r="F373" s="41"/>
      <c r="G373" s="41"/>
      <c r="H373" s="41"/>
      <c r="L373" s="64"/>
      <c r="M373" s="65"/>
    </row>
    <row r="374" spans="3:13" ht="13">
      <c r="C374" s="63"/>
      <c r="E374" s="41"/>
      <c r="F374" s="41"/>
      <c r="G374" s="41"/>
      <c r="H374" s="41"/>
      <c r="L374" s="64"/>
      <c r="M374" s="65"/>
    </row>
    <row r="375" spans="3:13" ht="13">
      <c r="C375" s="63"/>
      <c r="E375" s="41"/>
      <c r="F375" s="41"/>
      <c r="G375" s="41"/>
      <c r="H375" s="41"/>
      <c r="L375" s="64"/>
      <c r="M375" s="65"/>
    </row>
    <row r="376" spans="3:13" ht="13">
      <c r="C376" s="63"/>
      <c r="E376" s="41"/>
      <c r="F376" s="41"/>
      <c r="G376" s="41"/>
      <c r="H376" s="41"/>
      <c r="L376" s="64"/>
      <c r="M376" s="65"/>
    </row>
    <row r="377" spans="3:13" ht="13">
      <c r="C377" s="63"/>
      <c r="E377" s="41"/>
      <c r="F377" s="41"/>
      <c r="G377" s="41"/>
      <c r="H377" s="41"/>
      <c r="L377" s="64"/>
      <c r="M377" s="65"/>
    </row>
    <row r="378" spans="3:13" ht="13">
      <c r="C378" s="63"/>
      <c r="E378" s="41"/>
      <c r="F378" s="41"/>
      <c r="G378" s="41"/>
      <c r="H378" s="41"/>
      <c r="L378" s="64"/>
      <c r="M378" s="65"/>
    </row>
    <row r="379" spans="3:13" ht="13">
      <c r="C379" s="63"/>
      <c r="E379" s="41"/>
      <c r="F379" s="41"/>
      <c r="G379" s="41"/>
      <c r="H379" s="41"/>
      <c r="L379" s="64"/>
      <c r="M379" s="65"/>
    </row>
    <row r="380" spans="3:13" ht="13">
      <c r="C380" s="63"/>
      <c r="E380" s="41"/>
      <c r="F380" s="41"/>
      <c r="G380" s="41"/>
      <c r="H380" s="41"/>
      <c r="L380" s="64"/>
      <c r="M380" s="65"/>
    </row>
    <row r="381" spans="3:13" ht="13">
      <c r="C381" s="63"/>
      <c r="E381" s="41"/>
      <c r="F381" s="41"/>
      <c r="G381" s="41"/>
      <c r="H381" s="41"/>
      <c r="L381" s="64"/>
      <c r="M381" s="65"/>
    </row>
    <row r="382" spans="3:13" ht="13">
      <c r="C382" s="63"/>
      <c r="E382" s="41"/>
      <c r="F382" s="41"/>
      <c r="G382" s="41"/>
      <c r="H382" s="41"/>
      <c r="L382" s="64"/>
      <c r="M382" s="65"/>
    </row>
    <row r="383" spans="3:13" ht="13">
      <c r="C383" s="63"/>
      <c r="E383" s="41"/>
      <c r="F383" s="41"/>
      <c r="G383" s="41"/>
      <c r="H383" s="41"/>
      <c r="L383" s="64"/>
      <c r="M383" s="65"/>
    </row>
    <row r="384" spans="3:13" ht="13">
      <c r="C384" s="63"/>
      <c r="E384" s="41"/>
      <c r="F384" s="41"/>
      <c r="G384" s="41"/>
      <c r="H384" s="41"/>
      <c r="L384" s="64"/>
      <c r="M384" s="65"/>
    </row>
    <row r="385" spans="3:13" ht="13">
      <c r="C385" s="63"/>
      <c r="E385" s="41"/>
      <c r="F385" s="41"/>
      <c r="G385" s="41"/>
      <c r="H385" s="41"/>
      <c r="L385" s="64"/>
      <c r="M385" s="65"/>
    </row>
    <row r="386" spans="3:13" ht="13">
      <c r="C386" s="63"/>
      <c r="E386" s="41"/>
      <c r="F386" s="41"/>
      <c r="G386" s="41"/>
      <c r="H386" s="41"/>
      <c r="L386" s="64"/>
      <c r="M386" s="65"/>
    </row>
    <row r="387" spans="3:13" ht="13">
      <c r="C387" s="63"/>
      <c r="E387" s="41"/>
      <c r="F387" s="41"/>
      <c r="G387" s="41"/>
      <c r="H387" s="41"/>
      <c r="L387" s="64"/>
      <c r="M387" s="65"/>
    </row>
    <row r="388" spans="3:13" ht="13">
      <c r="C388" s="63"/>
      <c r="E388" s="41"/>
      <c r="F388" s="41"/>
      <c r="G388" s="41"/>
      <c r="H388" s="41"/>
      <c r="L388" s="64"/>
      <c r="M388" s="65"/>
    </row>
    <row r="389" spans="3:13" ht="13">
      <c r="C389" s="63"/>
      <c r="E389" s="41"/>
      <c r="F389" s="41"/>
      <c r="G389" s="41"/>
      <c r="H389" s="41"/>
      <c r="L389" s="64"/>
      <c r="M389" s="65"/>
    </row>
    <row r="390" spans="3:13" ht="13">
      <c r="C390" s="63"/>
      <c r="E390" s="41"/>
      <c r="F390" s="41"/>
      <c r="G390" s="41"/>
      <c r="H390" s="41"/>
      <c r="L390" s="64"/>
      <c r="M390" s="65"/>
    </row>
    <row r="391" spans="3:13" ht="13">
      <c r="C391" s="63"/>
      <c r="E391" s="41"/>
      <c r="F391" s="41"/>
      <c r="G391" s="41"/>
      <c r="H391" s="41"/>
      <c r="L391" s="64"/>
      <c r="M391" s="65"/>
    </row>
    <row r="392" spans="3:13" ht="13">
      <c r="C392" s="63"/>
      <c r="E392" s="41"/>
      <c r="F392" s="41"/>
      <c r="G392" s="41"/>
      <c r="H392" s="41"/>
      <c r="L392" s="64"/>
      <c r="M392" s="65"/>
    </row>
    <row r="393" spans="3:13" ht="13">
      <c r="C393" s="63"/>
      <c r="E393" s="41"/>
      <c r="F393" s="41"/>
      <c r="G393" s="41"/>
      <c r="H393" s="41"/>
      <c r="L393" s="64"/>
      <c r="M393" s="65"/>
    </row>
    <row r="394" spans="3:13" ht="13">
      <c r="C394" s="63"/>
      <c r="E394" s="41"/>
      <c r="F394" s="41"/>
      <c r="G394" s="41"/>
      <c r="H394" s="41"/>
      <c r="L394" s="64"/>
      <c r="M394" s="65"/>
    </row>
    <row r="395" spans="3:13" ht="13">
      <c r="C395" s="63"/>
      <c r="E395" s="41"/>
      <c r="F395" s="41"/>
      <c r="G395" s="41"/>
      <c r="H395" s="41"/>
      <c r="L395" s="64"/>
      <c r="M395" s="65"/>
    </row>
    <row r="396" spans="3:13" ht="13">
      <c r="C396" s="63"/>
      <c r="E396" s="41"/>
      <c r="F396" s="41"/>
      <c r="G396" s="41"/>
      <c r="H396" s="41"/>
      <c r="L396" s="64"/>
      <c r="M396" s="65"/>
    </row>
    <row r="397" spans="3:13" ht="13">
      <c r="C397" s="63"/>
      <c r="E397" s="41"/>
      <c r="F397" s="41"/>
      <c r="G397" s="41"/>
      <c r="H397" s="41"/>
      <c r="L397" s="64"/>
      <c r="M397" s="65"/>
    </row>
    <row r="398" spans="3:13" ht="13">
      <c r="C398" s="63"/>
      <c r="E398" s="41"/>
      <c r="F398" s="41"/>
      <c r="G398" s="41"/>
      <c r="H398" s="41"/>
      <c r="L398" s="64"/>
      <c r="M398" s="65"/>
    </row>
    <row r="399" spans="3:13" ht="13">
      <c r="C399" s="63"/>
      <c r="E399" s="41"/>
      <c r="F399" s="41"/>
      <c r="G399" s="41"/>
      <c r="H399" s="41"/>
      <c r="L399" s="64"/>
      <c r="M399" s="65"/>
    </row>
    <row r="400" spans="3:13" ht="13">
      <c r="C400" s="63"/>
      <c r="E400" s="41"/>
      <c r="F400" s="41"/>
      <c r="G400" s="41"/>
      <c r="H400" s="41"/>
      <c r="L400" s="64"/>
      <c r="M400" s="65"/>
    </row>
    <row r="401" spans="3:13" ht="13">
      <c r="C401" s="63"/>
      <c r="E401" s="41"/>
      <c r="F401" s="41"/>
      <c r="G401" s="41"/>
      <c r="H401" s="41"/>
      <c r="L401" s="64"/>
      <c r="M401" s="65"/>
    </row>
    <row r="402" spans="3:13" ht="13">
      <c r="C402" s="63"/>
      <c r="E402" s="41"/>
      <c r="F402" s="41"/>
      <c r="G402" s="41"/>
      <c r="H402" s="41"/>
      <c r="L402" s="64"/>
      <c r="M402" s="65"/>
    </row>
    <row r="403" spans="3:13" ht="13">
      <c r="C403" s="63"/>
      <c r="E403" s="41"/>
      <c r="F403" s="41"/>
      <c r="G403" s="41"/>
      <c r="H403" s="41"/>
      <c r="L403" s="64"/>
      <c r="M403" s="65"/>
    </row>
    <row r="404" spans="3:13" ht="13">
      <c r="C404" s="63"/>
      <c r="E404" s="41"/>
      <c r="F404" s="41"/>
      <c r="G404" s="41"/>
      <c r="H404" s="41"/>
      <c r="L404" s="64"/>
      <c r="M404" s="65"/>
    </row>
    <row r="405" spans="3:13" ht="13">
      <c r="C405" s="63"/>
      <c r="E405" s="41"/>
      <c r="F405" s="41"/>
      <c r="G405" s="41"/>
      <c r="H405" s="41"/>
      <c r="L405" s="64"/>
      <c r="M405" s="65"/>
    </row>
    <row r="406" spans="3:13" ht="13">
      <c r="C406" s="63"/>
      <c r="E406" s="41"/>
      <c r="F406" s="41"/>
      <c r="G406" s="41"/>
      <c r="H406" s="41"/>
      <c r="L406" s="64"/>
      <c r="M406" s="65"/>
    </row>
    <row r="407" spans="3:13" ht="13">
      <c r="C407" s="63"/>
      <c r="E407" s="41"/>
      <c r="F407" s="41"/>
      <c r="G407" s="41"/>
      <c r="H407" s="41"/>
      <c r="L407" s="64"/>
      <c r="M407" s="65"/>
    </row>
    <row r="408" spans="3:13" ht="13">
      <c r="C408" s="63"/>
      <c r="E408" s="41"/>
      <c r="F408" s="41"/>
      <c r="G408" s="41"/>
      <c r="H408" s="41"/>
      <c r="L408" s="64"/>
      <c r="M408" s="65"/>
    </row>
    <row r="409" spans="3:13" ht="13">
      <c r="C409" s="63"/>
      <c r="E409" s="41"/>
      <c r="F409" s="41"/>
      <c r="G409" s="41"/>
      <c r="H409" s="41"/>
      <c r="L409" s="64"/>
      <c r="M409" s="65"/>
    </row>
    <row r="410" spans="3:13" ht="13">
      <c r="C410" s="63"/>
      <c r="E410" s="41"/>
      <c r="F410" s="41"/>
      <c r="G410" s="41"/>
      <c r="H410" s="41"/>
      <c r="L410" s="64"/>
      <c r="M410" s="65"/>
    </row>
    <row r="411" spans="3:13" ht="13">
      <c r="C411" s="63"/>
      <c r="E411" s="41"/>
      <c r="F411" s="41"/>
      <c r="G411" s="41"/>
      <c r="H411" s="41"/>
      <c r="L411" s="64"/>
      <c r="M411" s="65"/>
    </row>
    <row r="412" spans="3:13" ht="13">
      <c r="C412" s="63"/>
      <c r="E412" s="41"/>
      <c r="F412" s="41"/>
      <c r="G412" s="41"/>
      <c r="H412" s="41"/>
      <c r="L412" s="64"/>
      <c r="M412" s="65"/>
    </row>
    <row r="413" spans="3:13" ht="13">
      <c r="C413" s="63"/>
      <c r="E413" s="41"/>
      <c r="F413" s="41"/>
      <c r="G413" s="41"/>
      <c r="H413" s="41"/>
      <c r="L413" s="64"/>
      <c r="M413" s="65"/>
    </row>
    <row r="414" spans="3:13" ht="13">
      <c r="C414" s="63"/>
      <c r="E414" s="41"/>
      <c r="F414" s="41"/>
      <c r="G414" s="41"/>
      <c r="H414" s="41"/>
      <c r="L414" s="64"/>
      <c r="M414" s="65"/>
    </row>
    <row r="415" spans="3:13" ht="13">
      <c r="C415" s="63"/>
      <c r="E415" s="41"/>
      <c r="F415" s="41"/>
      <c r="G415" s="41"/>
      <c r="H415" s="41"/>
      <c r="L415" s="64"/>
      <c r="M415" s="65"/>
    </row>
    <row r="416" spans="3:13" ht="13">
      <c r="C416" s="63"/>
      <c r="E416" s="41"/>
      <c r="F416" s="41"/>
      <c r="G416" s="41"/>
      <c r="H416" s="41"/>
      <c r="L416" s="64"/>
      <c r="M416" s="65"/>
    </row>
    <row r="417" spans="3:13" ht="13">
      <c r="C417" s="63"/>
      <c r="E417" s="41"/>
      <c r="F417" s="41"/>
      <c r="G417" s="41"/>
      <c r="H417" s="41"/>
      <c r="L417" s="64"/>
      <c r="M417" s="65"/>
    </row>
    <row r="418" spans="3:13" ht="13">
      <c r="C418" s="63"/>
      <c r="E418" s="41"/>
      <c r="F418" s="41"/>
      <c r="G418" s="41"/>
      <c r="H418" s="41"/>
      <c r="L418" s="64"/>
      <c r="M418" s="65"/>
    </row>
    <row r="419" spans="3:13" ht="13">
      <c r="C419" s="63"/>
      <c r="E419" s="41"/>
      <c r="F419" s="41"/>
      <c r="G419" s="41"/>
      <c r="H419" s="41"/>
      <c r="L419" s="64"/>
      <c r="M419" s="65"/>
    </row>
    <row r="420" spans="3:13" ht="13">
      <c r="C420" s="63"/>
      <c r="E420" s="41"/>
      <c r="F420" s="41"/>
      <c r="G420" s="41"/>
      <c r="H420" s="41"/>
      <c r="L420" s="64"/>
      <c r="M420" s="65"/>
    </row>
    <row r="421" spans="3:13" ht="13">
      <c r="C421" s="63"/>
      <c r="E421" s="41"/>
      <c r="F421" s="41"/>
      <c r="G421" s="41"/>
      <c r="H421" s="41"/>
      <c r="L421" s="64"/>
      <c r="M421" s="65"/>
    </row>
    <row r="422" spans="3:13" ht="13">
      <c r="C422" s="63"/>
      <c r="E422" s="41"/>
      <c r="F422" s="41"/>
      <c r="G422" s="41"/>
      <c r="H422" s="41"/>
      <c r="L422" s="64"/>
      <c r="M422" s="65"/>
    </row>
    <row r="423" spans="3:13" ht="13">
      <c r="C423" s="63"/>
      <c r="E423" s="41"/>
      <c r="F423" s="41"/>
      <c r="G423" s="41"/>
      <c r="H423" s="41"/>
      <c r="L423" s="64"/>
      <c r="M423" s="65"/>
    </row>
    <row r="424" spans="3:13" ht="13">
      <c r="C424" s="63"/>
      <c r="E424" s="41"/>
      <c r="F424" s="41"/>
      <c r="G424" s="41"/>
      <c r="H424" s="41"/>
      <c r="L424" s="64"/>
      <c r="M424" s="65"/>
    </row>
    <row r="425" spans="3:13" ht="13">
      <c r="C425" s="63"/>
      <c r="E425" s="41"/>
      <c r="F425" s="41"/>
      <c r="G425" s="41"/>
      <c r="H425" s="41"/>
      <c r="L425" s="64"/>
      <c r="M425" s="65"/>
    </row>
    <row r="426" spans="3:13" ht="13">
      <c r="C426" s="63"/>
      <c r="E426" s="41"/>
      <c r="F426" s="41"/>
      <c r="G426" s="41"/>
      <c r="H426" s="41"/>
      <c r="L426" s="64"/>
      <c r="M426" s="65"/>
    </row>
    <row r="427" spans="3:13" ht="13">
      <c r="C427" s="63"/>
      <c r="E427" s="41"/>
      <c r="F427" s="41"/>
      <c r="G427" s="41"/>
      <c r="H427" s="41"/>
      <c r="L427" s="64"/>
      <c r="M427" s="65"/>
    </row>
    <row r="428" spans="3:13" ht="13">
      <c r="C428" s="63"/>
      <c r="E428" s="41"/>
      <c r="F428" s="41"/>
      <c r="G428" s="41"/>
      <c r="H428" s="41"/>
      <c r="L428" s="64"/>
      <c r="M428" s="65"/>
    </row>
    <row r="429" spans="3:13" ht="13">
      <c r="C429" s="63"/>
      <c r="E429" s="41"/>
      <c r="F429" s="41"/>
      <c r="G429" s="41"/>
      <c r="H429" s="41"/>
      <c r="L429" s="64"/>
      <c r="M429" s="65"/>
    </row>
    <row r="430" spans="3:13" ht="13">
      <c r="C430" s="63"/>
      <c r="E430" s="41"/>
      <c r="F430" s="41"/>
      <c r="G430" s="41"/>
      <c r="H430" s="41"/>
      <c r="L430" s="64"/>
      <c r="M430" s="65"/>
    </row>
    <row r="431" spans="3:13" ht="13">
      <c r="C431" s="63"/>
      <c r="E431" s="41"/>
      <c r="F431" s="41"/>
      <c r="G431" s="41"/>
      <c r="H431" s="41"/>
      <c r="L431" s="64"/>
      <c r="M431" s="65"/>
    </row>
    <row r="432" spans="3:13" ht="13">
      <c r="C432" s="63"/>
      <c r="E432" s="41"/>
      <c r="F432" s="41"/>
      <c r="G432" s="41"/>
      <c r="H432" s="41"/>
      <c r="L432" s="64"/>
      <c r="M432" s="65"/>
    </row>
    <row r="433" spans="3:13" ht="13">
      <c r="C433" s="63"/>
      <c r="E433" s="41"/>
      <c r="F433" s="41"/>
      <c r="G433" s="41"/>
      <c r="H433" s="41"/>
      <c r="L433" s="64"/>
      <c r="M433" s="65"/>
    </row>
    <row r="434" spans="3:13" ht="13">
      <c r="C434" s="63"/>
      <c r="E434" s="41"/>
      <c r="F434" s="41"/>
      <c r="G434" s="41"/>
      <c r="H434" s="41"/>
      <c r="L434" s="64"/>
      <c r="M434" s="65"/>
    </row>
    <row r="435" spans="3:13" ht="13">
      <c r="C435" s="63"/>
      <c r="E435" s="41"/>
      <c r="F435" s="41"/>
      <c r="G435" s="41"/>
      <c r="H435" s="41"/>
      <c r="L435" s="64"/>
      <c r="M435" s="65"/>
    </row>
    <row r="436" spans="3:13" ht="13">
      <c r="C436" s="63"/>
      <c r="E436" s="41"/>
      <c r="F436" s="41"/>
      <c r="G436" s="41"/>
      <c r="H436" s="41"/>
      <c r="L436" s="64"/>
      <c r="M436" s="65"/>
    </row>
    <row r="437" spans="3:13" ht="13">
      <c r="C437" s="63"/>
      <c r="E437" s="41"/>
      <c r="F437" s="41"/>
      <c r="G437" s="41"/>
      <c r="H437" s="41"/>
      <c r="L437" s="64"/>
      <c r="M437" s="65"/>
    </row>
    <row r="438" spans="3:13" ht="13">
      <c r="C438" s="63"/>
      <c r="E438" s="41"/>
      <c r="F438" s="41"/>
      <c r="G438" s="41"/>
      <c r="H438" s="41"/>
      <c r="L438" s="64"/>
      <c r="M438" s="65"/>
    </row>
    <row r="439" spans="3:13" ht="13">
      <c r="C439" s="63"/>
      <c r="E439" s="41"/>
      <c r="F439" s="41"/>
      <c r="G439" s="41"/>
      <c r="H439" s="41"/>
      <c r="L439" s="64"/>
      <c r="M439" s="65"/>
    </row>
    <row r="440" spans="3:13" ht="13">
      <c r="C440" s="63"/>
      <c r="E440" s="41"/>
      <c r="F440" s="41"/>
      <c r="G440" s="41"/>
      <c r="H440" s="41"/>
      <c r="L440" s="64"/>
      <c r="M440" s="65"/>
    </row>
    <row r="441" spans="3:13" ht="13">
      <c r="C441" s="63"/>
      <c r="E441" s="41"/>
      <c r="F441" s="41"/>
      <c r="G441" s="41"/>
      <c r="H441" s="41"/>
      <c r="L441" s="64"/>
      <c r="M441" s="65"/>
    </row>
    <row r="442" spans="3:13" ht="13">
      <c r="C442" s="63"/>
      <c r="E442" s="41"/>
      <c r="F442" s="41"/>
      <c r="G442" s="41"/>
      <c r="H442" s="41"/>
      <c r="L442" s="64"/>
      <c r="M442" s="65"/>
    </row>
    <row r="443" spans="3:13" ht="13">
      <c r="C443" s="63"/>
      <c r="E443" s="41"/>
      <c r="F443" s="41"/>
      <c r="G443" s="41"/>
      <c r="H443" s="41"/>
      <c r="L443" s="64"/>
      <c r="M443" s="65"/>
    </row>
    <row r="444" spans="3:13" ht="13">
      <c r="C444" s="63"/>
      <c r="E444" s="41"/>
      <c r="F444" s="41"/>
      <c r="G444" s="41"/>
      <c r="H444" s="41"/>
      <c r="L444" s="64"/>
      <c r="M444" s="65"/>
    </row>
    <row r="445" spans="3:13" ht="13">
      <c r="C445" s="63"/>
      <c r="E445" s="41"/>
      <c r="F445" s="41"/>
      <c r="G445" s="41"/>
      <c r="H445" s="41"/>
      <c r="L445" s="64"/>
      <c r="M445" s="65"/>
    </row>
    <row r="446" spans="3:13" ht="13">
      <c r="C446" s="63"/>
      <c r="E446" s="41"/>
      <c r="F446" s="41"/>
      <c r="G446" s="41"/>
      <c r="H446" s="41"/>
      <c r="L446" s="64"/>
      <c r="M446" s="65"/>
    </row>
    <row r="447" spans="3:13" ht="13">
      <c r="C447" s="63"/>
      <c r="E447" s="41"/>
      <c r="F447" s="41"/>
      <c r="G447" s="41"/>
      <c r="H447" s="41"/>
      <c r="L447" s="64"/>
      <c r="M447" s="65"/>
    </row>
    <row r="448" spans="3:13" ht="13">
      <c r="C448" s="63"/>
      <c r="E448" s="41"/>
      <c r="F448" s="41"/>
      <c r="G448" s="41"/>
      <c r="H448" s="41"/>
      <c r="L448" s="64"/>
      <c r="M448" s="65"/>
    </row>
    <row r="449" spans="3:13" ht="13">
      <c r="C449" s="63"/>
      <c r="E449" s="41"/>
      <c r="F449" s="41"/>
      <c r="G449" s="41"/>
      <c r="H449" s="41"/>
      <c r="L449" s="64"/>
      <c r="M449" s="65"/>
    </row>
    <row r="450" spans="3:13" ht="13">
      <c r="C450" s="63"/>
      <c r="E450" s="41"/>
      <c r="F450" s="41"/>
      <c r="G450" s="41"/>
      <c r="H450" s="41"/>
      <c r="L450" s="64"/>
      <c r="M450" s="65"/>
    </row>
    <row r="451" spans="3:13" ht="13">
      <c r="C451" s="63"/>
      <c r="E451" s="41"/>
      <c r="F451" s="41"/>
      <c r="G451" s="41"/>
      <c r="H451" s="41"/>
      <c r="L451" s="64"/>
      <c r="M451" s="65"/>
    </row>
    <row r="452" spans="3:13" ht="13">
      <c r="C452" s="63"/>
      <c r="E452" s="41"/>
      <c r="F452" s="41"/>
      <c r="G452" s="41"/>
      <c r="H452" s="41"/>
      <c r="L452" s="64"/>
      <c r="M452" s="65"/>
    </row>
    <row r="453" spans="3:13" ht="13">
      <c r="C453" s="63"/>
      <c r="E453" s="41"/>
      <c r="F453" s="41"/>
      <c r="G453" s="41"/>
      <c r="H453" s="41"/>
      <c r="L453" s="64"/>
      <c r="M453" s="65"/>
    </row>
    <row r="454" spans="3:13" ht="13">
      <c r="C454" s="63"/>
      <c r="E454" s="41"/>
      <c r="F454" s="41"/>
      <c r="G454" s="41"/>
      <c r="H454" s="41"/>
      <c r="L454" s="64"/>
      <c r="M454" s="65"/>
    </row>
    <row r="455" spans="3:13" ht="13">
      <c r="C455" s="63"/>
      <c r="E455" s="41"/>
      <c r="F455" s="41"/>
      <c r="G455" s="41"/>
      <c r="H455" s="41"/>
      <c r="L455" s="64"/>
      <c r="M455" s="65"/>
    </row>
    <row r="456" spans="3:13" ht="13">
      <c r="C456" s="63"/>
      <c r="E456" s="41"/>
      <c r="F456" s="41"/>
      <c r="G456" s="41"/>
      <c r="H456" s="41"/>
      <c r="L456" s="64"/>
      <c r="M456" s="65"/>
    </row>
    <row r="457" spans="3:13" ht="13">
      <c r="C457" s="63"/>
      <c r="E457" s="41"/>
      <c r="F457" s="41"/>
      <c r="G457" s="41"/>
      <c r="H457" s="41"/>
      <c r="L457" s="64"/>
      <c r="M457" s="65"/>
    </row>
    <row r="458" spans="3:13" ht="13">
      <c r="C458" s="63"/>
      <c r="E458" s="41"/>
      <c r="F458" s="41"/>
      <c r="G458" s="41"/>
      <c r="H458" s="41"/>
      <c r="L458" s="64"/>
      <c r="M458" s="65"/>
    </row>
    <row r="459" spans="3:13" ht="13">
      <c r="C459" s="63"/>
      <c r="E459" s="41"/>
      <c r="F459" s="41"/>
      <c r="G459" s="41"/>
      <c r="H459" s="41"/>
      <c r="L459" s="64"/>
      <c r="M459" s="65"/>
    </row>
    <row r="460" spans="3:13" ht="13">
      <c r="C460" s="63"/>
      <c r="E460" s="41"/>
      <c r="F460" s="41"/>
      <c r="G460" s="41"/>
      <c r="H460" s="41"/>
      <c r="L460" s="64"/>
      <c r="M460" s="65"/>
    </row>
    <row r="461" spans="3:13" ht="13">
      <c r="C461" s="63"/>
      <c r="E461" s="41"/>
      <c r="F461" s="41"/>
      <c r="G461" s="41"/>
      <c r="H461" s="41"/>
      <c r="L461" s="64"/>
      <c r="M461" s="65"/>
    </row>
    <row r="462" spans="3:13" ht="13">
      <c r="C462" s="63"/>
      <c r="E462" s="41"/>
      <c r="F462" s="41"/>
      <c r="G462" s="41"/>
      <c r="H462" s="41"/>
      <c r="L462" s="64"/>
      <c r="M462" s="65"/>
    </row>
    <row r="463" spans="3:13" ht="13">
      <c r="C463" s="63"/>
      <c r="E463" s="41"/>
      <c r="F463" s="41"/>
      <c r="G463" s="41"/>
      <c r="H463" s="41"/>
      <c r="L463" s="64"/>
      <c r="M463" s="65"/>
    </row>
    <row r="464" spans="3:13" ht="13">
      <c r="C464" s="63"/>
      <c r="E464" s="41"/>
      <c r="F464" s="41"/>
      <c r="G464" s="41"/>
      <c r="H464" s="41"/>
      <c r="L464" s="64"/>
      <c r="M464" s="65"/>
    </row>
    <row r="465" spans="3:13" ht="13">
      <c r="C465" s="63"/>
      <c r="E465" s="41"/>
      <c r="F465" s="41"/>
      <c r="G465" s="41"/>
      <c r="H465" s="41"/>
      <c r="L465" s="64"/>
      <c r="M465" s="65"/>
    </row>
    <row r="466" spans="3:13" ht="13">
      <c r="C466" s="63"/>
      <c r="E466" s="41"/>
      <c r="F466" s="41"/>
      <c r="G466" s="41"/>
      <c r="H466" s="41"/>
      <c r="L466" s="64"/>
      <c r="M466" s="65"/>
    </row>
    <row r="467" spans="3:13" ht="13">
      <c r="C467" s="63"/>
      <c r="E467" s="41"/>
      <c r="F467" s="41"/>
      <c r="G467" s="41"/>
      <c r="H467" s="41"/>
      <c r="L467" s="64"/>
      <c r="M467" s="65"/>
    </row>
    <row r="468" spans="3:13" ht="13">
      <c r="C468" s="63"/>
      <c r="E468" s="41"/>
      <c r="F468" s="41"/>
      <c r="G468" s="41"/>
      <c r="H468" s="41"/>
      <c r="L468" s="64"/>
      <c r="M468" s="65"/>
    </row>
    <row r="469" spans="3:13" ht="13">
      <c r="C469" s="63"/>
      <c r="E469" s="41"/>
      <c r="F469" s="41"/>
      <c r="G469" s="41"/>
      <c r="H469" s="41"/>
      <c r="L469" s="64"/>
      <c r="M469" s="65"/>
    </row>
    <row r="470" spans="3:13" ht="13">
      <c r="C470" s="63"/>
      <c r="E470" s="41"/>
      <c r="F470" s="41"/>
      <c r="G470" s="41"/>
      <c r="H470" s="41"/>
      <c r="L470" s="64"/>
      <c r="M470" s="65"/>
    </row>
    <row r="471" spans="3:13" ht="13">
      <c r="C471" s="63"/>
      <c r="E471" s="41"/>
      <c r="F471" s="41"/>
      <c r="G471" s="41"/>
      <c r="H471" s="41"/>
      <c r="L471" s="64"/>
      <c r="M471" s="65"/>
    </row>
    <row r="472" spans="3:13" ht="13">
      <c r="C472" s="63"/>
      <c r="E472" s="41"/>
      <c r="F472" s="41"/>
      <c r="G472" s="41"/>
      <c r="H472" s="41"/>
      <c r="L472" s="64"/>
      <c r="M472" s="65"/>
    </row>
    <row r="473" spans="3:13" ht="13">
      <c r="C473" s="63"/>
      <c r="E473" s="41"/>
      <c r="F473" s="41"/>
      <c r="G473" s="41"/>
      <c r="H473" s="41"/>
      <c r="L473" s="64"/>
      <c r="M473" s="65"/>
    </row>
    <row r="474" spans="3:13" ht="13">
      <c r="C474" s="63"/>
      <c r="E474" s="41"/>
      <c r="F474" s="41"/>
      <c r="G474" s="41"/>
      <c r="H474" s="41"/>
      <c r="L474" s="64"/>
      <c r="M474" s="65"/>
    </row>
    <row r="475" spans="3:13" ht="13">
      <c r="C475" s="63"/>
      <c r="E475" s="41"/>
      <c r="F475" s="41"/>
      <c r="G475" s="41"/>
      <c r="H475" s="41"/>
      <c r="L475" s="64"/>
      <c r="M475" s="65"/>
    </row>
    <row r="476" spans="3:13" ht="13">
      <c r="C476" s="63"/>
      <c r="E476" s="41"/>
      <c r="F476" s="41"/>
      <c r="G476" s="41"/>
      <c r="H476" s="41"/>
      <c r="L476" s="64"/>
      <c r="M476" s="65"/>
    </row>
    <row r="477" spans="3:13" ht="13">
      <c r="C477" s="63"/>
      <c r="E477" s="41"/>
      <c r="F477" s="41"/>
      <c r="G477" s="41"/>
      <c r="H477" s="41"/>
      <c r="L477" s="64"/>
      <c r="M477" s="65"/>
    </row>
    <row r="478" spans="3:13" ht="13">
      <c r="C478" s="63"/>
      <c r="E478" s="41"/>
      <c r="F478" s="41"/>
      <c r="G478" s="41"/>
      <c r="H478" s="41"/>
      <c r="L478" s="64"/>
      <c r="M478" s="65"/>
    </row>
    <row r="479" spans="3:13" ht="13">
      <c r="C479" s="63"/>
      <c r="E479" s="41"/>
      <c r="F479" s="41"/>
      <c r="G479" s="41"/>
      <c r="H479" s="41"/>
      <c r="L479" s="64"/>
      <c r="M479" s="65"/>
    </row>
    <row r="480" spans="3:13" ht="13">
      <c r="C480" s="63"/>
      <c r="E480" s="41"/>
      <c r="F480" s="41"/>
      <c r="G480" s="41"/>
      <c r="H480" s="41"/>
      <c r="L480" s="64"/>
      <c r="M480" s="65"/>
    </row>
    <row r="481" spans="3:13" ht="13">
      <c r="C481" s="63"/>
      <c r="E481" s="41"/>
      <c r="F481" s="41"/>
      <c r="G481" s="41"/>
      <c r="H481" s="41"/>
      <c r="L481" s="64"/>
      <c r="M481" s="65"/>
    </row>
    <row r="482" spans="3:13" ht="13">
      <c r="C482" s="63"/>
      <c r="E482" s="41"/>
      <c r="F482" s="41"/>
      <c r="G482" s="41"/>
      <c r="H482" s="41"/>
      <c r="L482" s="64"/>
      <c r="M482" s="65"/>
    </row>
    <row r="483" spans="3:13" ht="13">
      <c r="C483" s="63"/>
      <c r="E483" s="41"/>
      <c r="F483" s="41"/>
      <c r="G483" s="41"/>
      <c r="H483" s="41"/>
      <c r="L483" s="64"/>
      <c r="M483" s="65"/>
    </row>
    <row r="484" spans="3:13" ht="13">
      <c r="C484" s="63"/>
      <c r="E484" s="41"/>
      <c r="F484" s="41"/>
      <c r="G484" s="41"/>
      <c r="H484" s="41"/>
      <c r="L484" s="64"/>
      <c r="M484" s="65"/>
    </row>
    <row r="485" spans="3:13" ht="13">
      <c r="C485" s="63"/>
      <c r="E485" s="41"/>
      <c r="F485" s="41"/>
      <c r="G485" s="41"/>
      <c r="H485" s="41"/>
      <c r="L485" s="64"/>
      <c r="M485" s="65"/>
    </row>
    <row r="486" spans="3:13" ht="13">
      <c r="C486" s="63"/>
      <c r="E486" s="41"/>
      <c r="F486" s="41"/>
      <c r="G486" s="41"/>
      <c r="H486" s="41"/>
      <c r="L486" s="64"/>
      <c r="M486" s="65"/>
    </row>
    <row r="487" spans="3:13" ht="13">
      <c r="C487" s="63"/>
      <c r="E487" s="41"/>
      <c r="F487" s="41"/>
      <c r="G487" s="41"/>
      <c r="H487" s="41"/>
      <c r="L487" s="64"/>
      <c r="M487" s="65"/>
    </row>
    <row r="488" spans="3:13" ht="13">
      <c r="C488" s="63"/>
      <c r="E488" s="41"/>
      <c r="F488" s="41"/>
      <c r="G488" s="41"/>
      <c r="H488" s="41"/>
      <c r="L488" s="64"/>
      <c r="M488" s="65"/>
    </row>
    <row r="489" spans="3:13" ht="13">
      <c r="C489" s="63"/>
      <c r="E489" s="41"/>
      <c r="F489" s="41"/>
      <c r="G489" s="41"/>
      <c r="H489" s="41"/>
      <c r="L489" s="64"/>
      <c r="M489" s="65"/>
    </row>
    <row r="490" spans="3:13" ht="13">
      <c r="C490" s="63"/>
      <c r="E490" s="41"/>
      <c r="F490" s="41"/>
      <c r="G490" s="41"/>
      <c r="H490" s="41"/>
      <c r="L490" s="64"/>
      <c r="M490" s="65"/>
    </row>
    <row r="491" spans="3:13" ht="13">
      <c r="C491" s="63"/>
      <c r="E491" s="41"/>
      <c r="F491" s="41"/>
      <c r="G491" s="41"/>
      <c r="H491" s="41"/>
      <c r="L491" s="64"/>
      <c r="M491" s="65"/>
    </row>
    <row r="492" spans="3:13" ht="13">
      <c r="C492" s="63"/>
      <c r="E492" s="41"/>
      <c r="F492" s="41"/>
      <c r="G492" s="41"/>
      <c r="H492" s="41"/>
      <c r="L492" s="64"/>
      <c r="M492" s="65"/>
    </row>
    <row r="493" spans="3:13" ht="13">
      <c r="C493" s="63"/>
      <c r="E493" s="41"/>
      <c r="F493" s="41"/>
      <c r="G493" s="41"/>
      <c r="H493" s="41"/>
      <c r="L493" s="64"/>
      <c r="M493" s="65"/>
    </row>
    <row r="494" spans="3:13" ht="13">
      <c r="C494" s="63"/>
      <c r="E494" s="41"/>
      <c r="F494" s="41"/>
      <c r="G494" s="41"/>
      <c r="H494" s="41"/>
      <c r="L494" s="64"/>
      <c r="M494" s="65"/>
    </row>
    <row r="495" spans="3:13" ht="13">
      <c r="C495" s="63"/>
      <c r="E495" s="41"/>
      <c r="F495" s="41"/>
      <c r="G495" s="41"/>
      <c r="H495" s="41"/>
      <c r="L495" s="64"/>
      <c r="M495" s="65"/>
    </row>
    <row r="496" spans="3:13" ht="13">
      <c r="C496" s="63"/>
      <c r="E496" s="41"/>
      <c r="F496" s="41"/>
      <c r="G496" s="41"/>
      <c r="H496" s="41"/>
      <c r="L496" s="64"/>
      <c r="M496" s="65"/>
    </row>
    <row r="497" spans="3:13" ht="13">
      <c r="C497" s="63"/>
      <c r="E497" s="41"/>
      <c r="F497" s="41"/>
      <c r="G497" s="41"/>
      <c r="H497" s="41"/>
      <c r="L497" s="64"/>
      <c r="M497" s="65"/>
    </row>
    <row r="498" spans="3:13" ht="13">
      <c r="C498" s="63"/>
      <c r="E498" s="41"/>
      <c r="F498" s="41"/>
      <c r="G498" s="41"/>
      <c r="H498" s="41"/>
      <c r="L498" s="64"/>
      <c r="M498" s="65"/>
    </row>
    <row r="499" spans="3:13" ht="13">
      <c r="C499" s="63"/>
      <c r="E499" s="41"/>
      <c r="F499" s="41"/>
      <c r="G499" s="41"/>
      <c r="H499" s="41"/>
      <c r="L499" s="64"/>
      <c r="M499" s="65"/>
    </row>
    <row r="500" spans="3:13" ht="13">
      <c r="C500" s="63"/>
      <c r="E500" s="41"/>
      <c r="F500" s="41"/>
      <c r="G500" s="41"/>
      <c r="H500" s="41"/>
      <c r="L500" s="64"/>
      <c r="M500" s="65"/>
    </row>
    <row r="501" spans="3:13" ht="13">
      <c r="C501" s="63"/>
      <c r="E501" s="41"/>
      <c r="F501" s="41"/>
      <c r="G501" s="41"/>
      <c r="H501" s="41"/>
      <c r="L501" s="64"/>
      <c r="M501" s="65"/>
    </row>
    <row r="502" spans="3:13" ht="13">
      <c r="C502" s="63"/>
      <c r="E502" s="41"/>
      <c r="F502" s="41"/>
      <c r="G502" s="41"/>
      <c r="H502" s="41"/>
      <c r="L502" s="64"/>
      <c r="M502" s="65"/>
    </row>
    <row r="503" spans="3:13" ht="13">
      <c r="C503" s="63"/>
      <c r="E503" s="41"/>
      <c r="F503" s="41"/>
      <c r="G503" s="41"/>
      <c r="H503" s="41"/>
      <c r="L503" s="64"/>
      <c r="M503" s="65"/>
    </row>
    <row r="504" spans="3:13" ht="13">
      <c r="C504" s="63"/>
      <c r="E504" s="41"/>
      <c r="F504" s="41"/>
      <c r="G504" s="41"/>
      <c r="H504" s="41"/>
      <c r="L504" s="64"/>
      <c r="M504" s="65"/>
    </row>
    <row r="505" spans="3:13" ht="13">
      <c r="C505" s="63"/>
      <c r="E505" s="41"/>
      <c r="F505" s="41"/>
      <c r="G505" s="41"/>
      <c r="H505" s="41"/>
      <c r="L505" s="64"/>
      <c r="M505" s="65"/>
    </row>
    <row r="506" spans="3:13" ht="13">
      <c r="C506" s="63"/>
      <c r="E506" s="41"/>
      <c r="F506" s="41"/>
      <c r="G506" s="41"/>
      <c r="H506" s="41"/>
      <c r="L506" s="64"/>
      <c r="M506" s="65"/>
    </row>
    <row r="507" spans="3:13" ht="13">
      <c r="C507" s="63"/>
      <c r="E507" s="41"/>
      <c r="F507" s="41"/>
      <c r="G507" s="41"/>
      <c r="H507" s="41"/>
      <c r="L507" s="64"/>
      <c r="M507" s="65"/>
    </row>
    <row r="508" spans="3:13" ht="13">
      <c r="C508" s="63"/>
      <c r="E508" s="41"/>
      <c r="F508" s="41"/>
      <c r="G508" s="41"/>
      <c r="H508" s="41"/>
      <c r="L508" s="64"/>
      <c r="M508" s="65"/>
    </row>
    <row r="509" spans="3:13" ht="13">
      <c r="C509" s="63"/>
      <c r="E509" s="41"/>
      <c r="F509" s="41"/>
      <c r="G509" s="41"/>
      <c r="H509" s="41"/>
      <c r="L509" s="64"/>
      <c r="M509" s="65"/>
    </row>
    <row r="510" spans="3:13" ht="13">
      <c r="C510" s="63"/>
      <c r="E510" s="41"/>
      <c r="F510" s="41"/>
      <c r="G510" s="41"/>
      <c r="H510" s="41"/>
      <c r="L510" s="64"/>
      <c r="M510" s="65"/>
    </row>
    <row r="511" spans="3:13" ht="13">
      <c r="C511" s="63"/>
      <c r="E511" s="41"/>
      <c r="F511" s="41"/>
      <c r="G511" s="41"/>
      <c r="H511" s="41"/>
      <c r="L511" s="64"/>
      <c r="M511" s="65"/>
    </row>
    <row r="512" spans="3:13" ht="13">
      <c r="C512" s="63"/>
      <c r="E512" s="41"/>
      <c r="F512" s="41"/>
      <c r="G512" s="41"/>
      <c r="H512" s="41"/>
      <c r="L512" s="64"/>
      <c r="M512" s="65"/>
    </row>
    <row r="513" spans="3:13" ht="13">
      <c r="C513" s="63"/>
      <c r="E513" s="41"/>
      <c r="F513" s="41"/>
      <c r="G513" s="41"/>
      <c r="H513" s="41"/>
      <c r="L513" s="64"/>
      <c r="M513" s="65"/>
    </row>
    <row r="514" spans="3:13" ht="13">
      <c r="C514" s="63"/>
      <c r="E514" s="41"/>
      <c r="F514" s="41"/>
      <c r="G514" s="41"/>
      <c r="H514" s="41"/>
      <c r="L514" s="64"/>
      <c r="M514" s="65"/>
    </row>
    <row r="515" spans="3:13" ht="13">
      <c r="C515" s="63"/>
      <c r="E515" s="41"/>
      <c r="F515" s="41"/>
      <c r="G515" s="41"/>
      <c r="H515" s="41"/>
      <c r="L515" s="64"/>
      <c r="M515" s="65"/>
    </row>
    <row r="516" spans="3:13" ht="13">
      <c r="C516" s="63"/>
      <c r="E516" s="41"/>
      <c r="F516" s="41"/>
      <c r="G516" s="41"/>
      <c r="H516" s="41"/>
      <c r="L516" s="64"/>
      <c r="M516" s="65"/>
    </row>
    <row r="517" spans="3:13" ht="13">
      <c r="C517" s="63"/>
      <c r="E517" s="41"/>
      <c r="F517" s="41"/>
      <c r="G517" s="41"/>
      <c r="H517" s="41"/>
      <c r="L517" s="64"/>
      <c r="M517" s="65"/>
    </row>
    <row r="518" spans="3:13" ht="13">
      <c r="C518" s="63"/>
      <c r="E518" s="41"/>
      <c r="F518" s="41"/>
      <c r="G518" s="41"/>
      <c r="H518" s="41"/>
      <c r="L518" s="64"/>
      <c r="M518" s="65"/>
    </row>
    <row r="519" spans="3:13" ht="13">
      <c r="C519" s="63"/>
      <c r="E519" s="41"/>
      <c r="F519" s="41"/>
      <c r="G519" s="41"/>
      <c r="H519" s="41"/>
      <c r="L519" s="64"/>
      <c r="M519" s="65"/>
    </row>
    <row r="520" spans="3:13" ht="13">
      <c r="C520" s="63"/>
      <c r="E520" s="41"/>
      <c r="F520" s="41"/>
      <c r="G520" s="41"/>
      <c r="H520" s="41"/>
      <c r="L520" s="64"/>
      <c r="M520" s="65"/>
    </row>
    <row r="521" spans="3:13" ht="13">
      <c r="C521" s="63"/>
      <c r="E521" s="41"/>
      <c r="F521" s="41"/>
      <c r="G521" s="41"/>
      <c r="H521" s="41"/>
      <c r="L521" s="64"/>
      <c r="M521" s="65"/>
    </row>
    <row r="522" spans="3:13" ht="13">
      <c r="C522" s="63"/>
      <c r="E522" s="41"/>
      <c r="F522" s="41"/>
      <c r="G522" s="41"/>
      <c r="H522" s="41"/>
      <c r="L522" s="64"/>
      <c r="M522" s="65"/>
    </row>
    <row r="523" spans="3:13" ht="13">
      <c r="C523" s="63"/>
      <c r="E523" s="41"/>
      <c r="F523" s="41"/>
      <c r="G523" s="41"/>
      <c r="H523" s="41"/>
      <c r="L523" s="64"/>
      <c r="M523" s="65"/>
    </row>
    <row r="524" spans="3:13" ht="13">
      <c r="C524" s="63"/>
      <c r="E524" s="41"/>
      <c r="F524" s="41"/>
      <c r="G524" s="41"/>
      <c r="H524" s="41"/>
      <c r="L524" s="64"/>
      <c r="M524" s="65"/>
    </row>
    <row r="525" spans="3:13" ht="13">
      <c r="C525" s="63"/>
      <c r="E525" s="41"/>
      <c r="F525" s="41"/>
      <c r="G525" s="41"/>
      <c r="H525" s="41"/>
      <c r="L525" s="64"/>
      <c r="M525" s="65"/>
    </row>
    <row r="526" spans="3:13" ht="13">
      <c r="C526" s="63"/>
      <c r="E526" s="41"/>
      <c r="F526" s="41"/>
      <c r="G526" s="41"/>
      <c r="H526" s="41"/>
      <c r="L526" s="64"/>
      <c r="M526" s="65"/>
    </row>
    <row r="527" spans="3:13" ht="13">
      <c r="C527" s="63"/>
      <c r="E527" s="41"/>
      <c r="F527" s="41"/>
      <c r="G527" s="41"/>
      <c r="H527" s="41"/>
      <c r="L527" s="64"/>
      <c r="M527" s="65"/>
    </row>
    <row r="528" spans="3:13" ht="13">
      <c r="C528" s="63"/>
      <c r="E528" s="41"/>
      <c r="F528" s="41"/>
      <c r="G528" s="41"/>
      <c r="H528" s="41"/>
      <c r="L528" s="64"/>
      <c r="M528" s="65"/>
    </row>
    <row r="529" spans="3:13" ht="13">
      <c r="C529" s="63"/>
      <c r="E529" s="41"/>
      <c r="F529" s="41"/>
      <c r="G529" s="41"/>
      <c r="H529" s="41"/>
      <c r="L529" s="64"/>
      <c r="M529" s="65"/>
    </row>
    <row r="530" spans="3:13" ht="13">
      <c r="C530" s="63"/>
      <c r="E530" s="41"/>
      <c r="F530" s="41"/>
      <c r="G530" s="41"/>
      <c r="H530" s="41"/>
      <c r="L530" s="64"/>
      <c r="M530" s="65"/>
    </row>
    <row r="531" spans="3:13" ht="13">
      <c r="C531" s="63"/>
      <c r="E531" s="41"/>
      <c r="F531" s="41"/>
      <c r="G531" s="41"/>
      <c r="H531" s="41"/>
      <c r="L531" s="64"/>
      <c r="M531" s="65"/>
    </row>
    <row r="532" spans="3:13" ht="13">
      <c r="C532" s="63"/>
      <c r="E532" s="41"/>
      <c r="F532" s="41"/>
      <c r="G532" s="41"/>
      <c r="H532" s="41"/>
      <c r="L532" s="64"/>
      <c r="M532" s="65"/>
    </row>
    <row r="533" spans="3:13" ht="13">
      <c r="C533" s="63"/>
      <c r="E533" s="41"/>
      <c r="F533" s="41"/>
      <c r="G533" s="41"/>
      <c r="H533" s="41"/>
      <c r="L533" s="64"/>
      <c r="M533" s="65"/>
    </row>
    <row r="534" spans="3:13" ht="13">
      <c r="C534" s="63"/>
      <c r="E534" s="41"/>
      <c r="F534" s="41"/>
      <c r="G534" s="41"/>
      <c r="H534" s="41"/>
      <c r="L534" s="64"/>
      <c r="M534" s="65"/>
    </row>
    <row r="535" spans="3:13" ht="13">
      <c r="C535" s="63"/>
      <c r="E535" s="41"/>
      <c r="F535" s="41"/>
      <c r="G535" s="41"/>
      <c r="H535" s="41"/>
      <c r="L535" s="64"/>
      <c r="M535" s="65"/>
    </row>
    <row r="536" spans="3:13" ht="13">
      <c r="C536" s="63"/>
      <c r="E536" s="41"/>
      <c r="F536" s="41"/>
      <c r="G536" s="41"/>
      <c r="H536" s="41"/>
      <c r="L536" s="64"/>
      <c r="M536" s="65"/>
    </row>
    <row r="537" spans="3:13" ht="13">
      <c r="C537" s="63"/>
      <c r="E537" s="41"/>
      <c r="F537" s="41"/>
      <c r="G537" s="41"/>
      <c r="H537" s="41"/>
      <c r="L537" s="64"/>
      <c r="M537" s="65"/>
    </row>
    <row r="538" spans="3:13" ht="13">
      <c r="C538" s="63"/>
      <c r="E538" s="41"/>
      <c r="F538" s="41"/>
      <c r="G538" s="41"/>
      <c r="H538" s="41"/>
      <c r="L538" s="64"/>
      <c r="M538" s="65"/>
    </row>
    <row r="539" spans="3:13" ht="13">
      <c r="C539" s="63"/>
      <c r="E539" s="41"/>
      <c r="F539" s="41"/>
      <c r="G539" s="41"/>
      <c r="H539" s="41"/>
      <c r="L539" s="64"/>
      <c r="M539" s="65"/>
    </row>
    <row r="540" spans="3:13" ht="13">
      <c r="C540" s="63"/>
      <c r="E540" s="41"/>
      <c r="F540" s="41"/>
      <c r="G540" s="41"/>
      <c r="H540" s="41"/>
      <c r="L540" s="64"/>
      <c r="M540" s="65"/>
    </row>
    <row r="541" spans="3:13" ht="13">
      <c r="C541" s="63"/>
      <c r="E541" s="41"/>
      <c r="F541" s="41"/>
      <c r="G541" s="41"/>
      <c r="H541" s="41"/>
      <c r="L541" s="64"/>
      <c r="M541" s="65"/>
    </row>
    <row r="542" spans="3:13" ht="13">
      <c r="C542" s="63"/>
      <c r="E542" s="41"/>
      <c r="F542" s="41"/>
      <c r="G542" s="41"/>
      <c r="H542" s="41"/>
      <c r="L542" s="64"/>
      <c r="M542" s="65"/>
    </row>
    <row r="543" spans="3:13" ht="13">
      <c r="C543" s="63"/>
      <c r="E543" s="41"/>
      <c r="F543" s="41"/>
      <c r="G543" s="41"/>
      <c r="H543" s="41"/>
      <c r="L543" s="64"/>
      <c r="M543" s="65"/>
    </row>
    <row r="544" spans="3:13" ht="13">
      <c r="C544" s="63"/>
      <c r="E544" s="41"/>
      <c r="F544" s="41"/>
      <c r="G544" s="41"/>
      <c r="H544" s="41"/>
      <c r="L544" s="64"/>
      <c r="M544" s="65"/>
    </row>
    <row r="545" spans="3:13" ht="13">
      <c r="C545" s="63"/>
      <c r="E545" s="41"/>
      <c r="F545" s="41"/>
      <c r="G545" s="41"/>
      <c r="H545" s="41"/>
      <c r="L545" s="64"/>
      <c r="M545" s="65"/>
    </row>
    <row r="546" spans="3:13" ht="13">
      <c r="C546" s="63"/>
      <c r="E546" s="41"/>
      <c r="F546" s="41"/>
      <c r="G546" s="41"/>
      <c r="H546" s="41"/>
      <c r="L546" s="64"/>
      <c r="M546" s="65"/>
    </row>
    <row r="547" spans="3:13" ht="13">
      <c r="C547" s="63"/>
      <c r="E547" s="41"/>
      <c r="F547" s="41"/>
      <c r="G547" s="41"/>
      <c r="H547" s="41"/>
      <c r="L547" s="64"/>
      <c r="M547" s="65"/>
    </row>
    <row r="548" spans="3:13" ht="13">
      <c r="C548" s="63"/>
      <c r="E548" s="41"/>
      <c r="F548" s="41"/>
      <c r="G548" s="41"/>
      <c r="H548" s="41"/>
      <c r="L548" s="64"/>
      <c r="M548" s="65"/>
    </row>
    <row r="549" spans="3:13" ht="13">
      <c r="C549" s="63"/>
      <c r="E549" s="41"/>
      <c r="F549" s="41"/>
      <c r="G549" s="41"/>
      <c r="H549" s="41"/>
      <c r="L549" s="64"/>
      <c r="M549" s="65"/>
    </row>
    <row r="550" spans="3:13" ht="13">
      <c r="C550" s="63"/>
      <c r="E550" s="41"/>
      <c r="F550" s="41"/>
      <c r="G550" s="41"/>
      <c r="H550" s="41"/>
      <c r="L550" s="64"/>
      <c r="M550" s="65"/>
    </row>
    <row r="551" spans="3:13" ht="13">
      <c r="C551" s="63"/>
      <c r="E551" s="41"/>
      <c r="F551" s="41"/>
      <c r="G551" s="41"/>
      <c r="H551" s="41"/>
      <c r="L551" s="64"/>
      <c r="M551" s="65"/>
    </row>
    <row r="552" spans="3:13" ht="13">
      <c r="C552" s="63"/>
      <c r="E552" s="41"/>
      <c r="F552" s="41"/>
      <c r="G552" s="41"/>
      <c r="H552" s="41"/>
      <c r="L552" s="64"/>
      <c r="M552" s="65"/>
    </row>
    <row r="553" spans="3:13" ht="13">
      <c r="C553" s="63"/>
      <c r="E553" s="41"/>
      <c r="F553" s="41"/>
      <c r="G553" s="41"/>
      <c r="H553" s="41"/>
      <c r="L553" s="64"/>
      <c r="M553" s="65"/>
    </row>
    <row r="554" spans="3:13" ht="13">
      <c r="C554" s="63"/>
      <c r="E554" s="41"/>
      <c r="F554" s="41"/>
      <c r="G554" s="41"/>
      <c r="H554" s="41"/>
      <c r="L554" s="64"/>
      <c r="M554" s="65"/>
    </row>
    <row r="555" spans="3:13" ht="13">
      <c r="C555" s="63"/>
      <c r="E555" s="41"/>
      <c r="F555" s="41"/>
      <c r="G555" s="41"/>
      <c r="H555" s="41"/>
      <c r="L555" s="64"/>
      <c r="M555" s="65"/>
    </row>
    <row r="556" spans="3:13" ht="13">
      <c r="C556" s="63"/>
      <c r="E556" s="41"/>
      <c r="F556" s="41"/>
      <c r="G556" s="41"/>
      <c r="H556" s="41"/>
      <c r="L556" s="64"/>
      <c r="M556" s="65"/>
    </row>
    <row r="557" spans="3:13" ht="13">
      <c r="C557" s="63"/>
      <c r="E557" s="41"/>
      <c r="F557" s="41"/>
      <c r="G557" s="41"/>
      <c r="H557" s="41"/>
      <c r="L557" s="64"/>
      <c r="M557" s="65"/>
    </row>
    <row r="558" spans="3:13" ht="13">
      <c r="C558" s="63"/>
      <c r="E558" s="41"/>
      <c r="F558" s="41"/>
      <c r="G558" s="41"/>
      <c r="H558" s="41"/>
      <c r="L558" s="64"/>
      <c r="M558" s="65"/>
    </row>
    <row r="559" spans="3:13" ht="13">
      <c r="C559" s="63"/>
      <c r="E559" s="41"/>
      <c r="F559" s="41"/>
      <c r="G559" s="41"/>
      <c r="H559" s="41"/>
      <c r="L559" s="64"/>
      <c r="M559" s="65"/>
    </row>
    <row r="560" spans="3:13" ht="13">
      <c r="C560" s="63"/>
      <c r="E560" s="41"/>
      <c r="F560" s="41"/>
      <c r="G560" s="41"/>
      <c r="H560" s="41"/>
      <c r="L560" s="64"/>
      <c r="M560" s="65"/>
    </row>
    <row r="561" spans="3:13" ht="13">
      <c r="C561" s="63"/>
      <c r="E561" s="41"/>
      <c r="F561" s="41"/>
      <c r="G561" s="41"/>
      <c r="H561" s="41"/>
      <c r="L561" s="64"/>
      <c r="M561" s="65"/>
    </row>
    <row r="562" spans="3:13" ht="13">
      <c r="C562" s="63"/>
      <c r="E562" s="41"/>
      <c r="F562" s="41"/>
      <c r="G562" s="41"/>
      <c r="H562" s="41"/>
      <c r="L562" s="64"/>
      <c r="M562" s="65"/>
    </row>
    <row r="563" spans="3:13" ht="13">
      <c r="C563" s="63"/>
      <c r="E563" s="41"/>
      <c r="F563" s="41"/>
      <c r="G563" s="41"/>
      <c r="H563" s="41"/>
      <c r="L563" s="64"/>
      <c r="M563" s="65"/>
    </row>
    <row r="564" spans="3:13" ht="13">
      <c r="C564" s="63"/>
      <c r="E564" s="41"/>
      <c r="F564" s="41"/>
      <c r="G564" s="41"/>
      <c r="H564" s="41"/>
      <c r="L564" s="64"/>
      <c r="M564" s="65"/>
    </row>
    <row r="565" spans="3:13" ht="13">
      <c r="C565" s="63"/>
      <c r="E565" s="41"/>
      <c r="F565" s="41"/>
      <c r="G565" s="41"/>
      <c r="H565" s="41"/>
      <c r="L565" s="64"/>
      <c r="M565" s="65"/>
    </row>
    <row r="566" spans="3:13" ht="13">
      <c r="C566" s="63"/>
      <c r="E566" s="41"/>
      <c r="F566" s="41"/>
      <c r="G566" s="41"/>
      <c r="H566" s="41"/>
      <c r="L566" s="64"/>
      <c r="M566" s="65"/>
    </row>
    <row r="567" spans="3:13" ht="13">
      <c r="C567" s="63"/>
      <c r="E567" s="41"/>
      <c r="F567" s="41"/>
      <c r="G567" s="41"/>
      <c r="H567" s="41"/>
      <c r="L567" s="64"/>
      <c r="M567" s="65"/>
    </row>
    <row r="568" spans="3:13" ht="13">
      <c r="C568" s="63"/>
      <c r="E568" s="41"/>
      <c r="F568" s="41"/>
      <c r="G568" s="41"/>
      <c r="H568" s="41"/>
      <c r="L568" s="64"/>
      <c r="M568" s="65"/>
    </row>
    <row r="569" spans="3:13" ht="13">
      <c r="C569" s="63"/>
      <c r="E569" s="41"/>
      <c r="F569" s="41"/>
      <c r="G569" s="41"/>
      <c r="H569" s="41"/>
      <c r="L569" s="64"/>
      <c r="M569" s="65"/>
    </row>
    <row r="570" spans="3:13" ht="13">
      <c r="C570" s="63"/>
      <c r="E570" s="41"/>
      <c r="F570" s="41"/>
      <c r="G570" s="41"/>
      <c r="H570" s="41"/>
      <c r="L570" s="64"/>
      <c r="M570" s="65"/>
    </row>
    <row r="571" spans="3:13" ht="13">
      <c r="C571" s="63"/>
      <c r="E571" s="41"/>
      <c r="F571" s="41"/>
      <c r="G571" s="41"/>
      <c r="H571" s="41"/>
      <c r="L571" s="64"/>
      <c r="M571" s="65"/>
    </row>
    <row r="572" spans="3:13" ht="13">
      <c r="C572" s="63"/>
      <c r="E572" s="41"/>
      <c r="F572" s="41"/>
      <c r="G572" s="41"/>
      <c r="H572" s="41"/>
      <c r="L572" s="64"/>
      <c r="M572" s="65"/>
    </row>
    <row r="573" spans="3:13" ht="13">
      <c r="C573" s="63"/>
      <c r="E573" s="41"/>
      <c r="F573" s="41"/>
      <c r="G573" s="41"/>
      <c r="H573" s="41"/>
      <c r="L573" s="64"/>
      <c r="M573" s="65"/>
    </row>
    <row r="574" spans="3:13" ht="13">
      <c r="C574" s="63"/>
      <c r="E574" s="41"/>
      <c r="F574" s="41"/>
      <c r="G574" s="41"/>
      <c r="H574" s="41"/>
      <c r="L574" s="64"/>
      <c r="M574" s="65"/>
    </row>
    <row r="575" spans="3:13" ht="13">
      <c r="C575" s="63"/>
      <c r="E575" s="41"/>
      <c r="F575" s="41"/>
      <c r="G575" s="41"/>
      <c r="H575" s="41"/>
      <c r="L575" s="64"/>
      <c r="M575" s="65"/>
    </row>
    <row r="576" spans="3:13" ht="13">
      <c r="C576" s="63"/>
      <c r="E576" s="41"/>
      <c r="F576" s="41"/>
      <c r="G576" s="41"/>
      <c r="H576" s="41"/>
      <c r="L576" s="64"/>
      <c r="M576" s="65"/>
    </row>
    <row r="577" spans="3:13" ht="13">
      <c r="C577" s="63"/>
      <c r="E577" s="41"/>
      <c r="F577" s="41"/>
      <c r="G577" s="41"/>
      <c r="H577" s="41"/>
      <c r="L577" s="64"/>
      <c r="M577" s="65"/>
    </row>
    <row r="578" spans="3:13" ht="13">
      <c r="C578" s="63"/>
      <c r="E578" s="41"/>
      <c r="F578" s="41"/>
      <c r="G578" s="41"/>
      <c r="H578" s="41"/>
      <c r="L578" s="64"/>
      <c r="M578" s="65"/>
    </row>
    <row r="579" spans="3:13" ht="13">
      <c r="C579" s="63"/>
      <c r="E579" s="41"/>
      <c r="F579" s="41"/>
      <c r="G579" s="41"/>
      <c r="H579" s="41"/>
      <c r="L579" s="64"/>
      <c r="M579" s="65"/>
    </row>
    <row r="580" spans="3:13" ht="13">
      <c r="C580" s="63"/>
      <c r="E580" s="41"/>
      <c r="F580" s="41"/>
      <c r="G580" s="41"/>
      <c r="H580" s="41"/>
      <c r="L580" s="64"/>
      <c r="M580" s="65"/>
    </row>
    <row r="581" spans="3:13" ht="13">
      <c r="C581" s="63"/>
      <c r="E581" s="41"/>
      <c r="F581" s="41"/>
      <c r="G581" s="41"/>
      <c r="H581" s="41"/>
      <c r="L581" s="64"/>
      <c r="M581" s="65"/>
    </row>
    <row r="582" spans="3:13" ht="13">
      <c r="C582" s="63"/>
      <c r="E582" s="41"/>
      <c r="F582" s="41"/>
      <c r="G582" s="41"/>
      <c r="H582" s="41"/>
      <c r="L582" s="64"/>
      <c r="M582" s="65"/>
    </row>
    <row r="583" spans="3:13" ht="13">
      <c r="C583" s="63"/>
      <c r="E583" s="41"/>
      <c r="F583" s="41"/>
      <c r="G583" s="41"/>
      <c r="H583" s="41"/>
      <c r="L583" s="64"/>
      <c r="M583" s="65"/>
    </row>
    <row r="584" spans="3:13" ht="13">
      <c r="C584" s="63"/>
      <c r="E584" s="41"/>
      <c r="F584" s="41"/>
      <c r="G584" s="41"/>
      <c r="H584" s="41"/>
      <c r="L584" s="64"/>
      <c r="M584" s="65"/>
    </row>
    <row r="585" spans="3:13" ht="13">
      <c r="C585" s="63"/>
      <c r="E585" s="41"/>
      <c r="F585" s="41"/>
      <c r="G585" s="41"/>
      <c r="H585" s="41"/>
      <c r="L585" s="64"/>
      <c r="M585" s="65"/>
    </row>
    <row r="586" spans="3:13" ht="13">
      <c r="C586" s="63"/>
      <c r="E586" s="41"/>
      <c r="F586" s="41"/>
      <c r="G586" s="41"/>
      <c r="H586" s="41"/>
      <c r="L586" s="64"/>
      <c r="M586" s="65"/>
    </row>
    <row r="587" spans="3:13" ht="13">
      <c r="C587" s="63"/>
      <c r="E587" s="41"/>
      <c r="F587" s="41"/>
      <c r="G587" s="41"/>
      <c r="H587" s="41"/>
      <c r="L587" s="64"/>
      <c r="M587" s="65"/>
    </row>
    <row r="588" spans="3:13" ht="13">
      <c r="C588" s="63"/>
      <c r="E588" s="41"/>
      <c r="F588" s="41"/>
      <c r="G588" s="41"/>
      <c r="H588" s="41"/>
      <c r="L588" s="64"/>
      <c r="M588" s="65"/>
    </row>
    <row r="589" spans="3:13" ht="13">
      <c r="C589" s="63"/>
      <c r="E589" s="41"/>
      <c r="F589" s="41"/>
      <c r="G589" s="41"/>
      <c r="H589" s="41"/>
      <c r="L589" s="64"/>
      <c r="M589" s="65"/>
    </row>
    <row r="590" spans="3:13" ht="13">
      <c r="C590" s="63"/>
      <c r="E590" s="41"/>
      <c r="F590" s="41"/>
      <c r="G590" s="41"/>
      <c r="H590" s="41"/>
      <c r="L590" s="64"/>
      <c r="M590" s="65"/>
    </row>
    <row r="591" spans="3:13" ht="13">
      <c r="C591" s="63"/>
      <c r="E591" s="41"/>
      <c r="F591" s="41"/>
      <c r="G591" s="41"/>
      <c r="H591" s="41"/>
      <c r="L591" s="64"/>
      <c r="M591" s="65"/>
    </row>
    <row r="592" spans="3:13" ht="13">
      <c r="C592" s="63"/>
      <c r="E592" s="41"/>
      <c r="F592" s="41"/>
      <c r="G592" s="41"/>
      <c r="H592" s="41"/>
      <c r="L592" s="64"/>
      <c r="M592" s="65"/>
    </row>
    <row r="593" spans="3:13" ht="13">
      <c r="C593" s="63"/>
      <c r="E593" s="41"/>
      <c r="F593" s="41"/>
      <c r="G593" s="41"/>
      <c r="H593" s="41"/>
      <c r="L593" s="64"/>
      <c r="M593" s="65"/>
    </row>
    <row r="594" spans="3:13" ht="13">
      <c r="C594" s="63"/>
      <c r="E594" s="41"/>
      <c r="F594" s="41"/>
      <c r="G594" s="41"/>
      <c r="H594" s="41"/>
      <c r="L594" s="64"/>
      <c r="M594" s="65"/>
    </row>
    <row r="595" spans="3:13" ht="13">
      <c r="C595" s="63"/>
      <c r="E595" s="41"/>
      <c r="F595" s="41"/>
      <c r="G595" s="41"/>
      <c r="H595" s="41"/>
      <c r="L595" s="64"/>
      <c r="M595" s="65"/>
    </row>
    <row r="596" spans="3:13" ht="13">
      <c r="C596" s="63"/>
      <c r="E596" s="41"/>
      <c r="F596" s="41"/>
      <c r="G596" s="41"/>
      <c r="H596" s="41"/>
      <c r="L596" s="64"/>
      <c r="M596" s="65"/>
    </row>
    <row r="597" spans="3:13" ht="13">
      <c r="C597" s="63"/>
      <c r="E597" s="41"/>
      <c r="F597" s="41"/>
      <c r="G597" s="41"/>
      <c r="H597" s="41"/>
      <c r="L597" s="64"/>
      <c r="M597" s="65"/>
    </row>
    <row r="598" spans="3:13" ht="13">
      <c r="C598" s="63"/>
      <c r="E598" s="41"/>
      <c r="F598" s="41"/>
      <c r="G598" s="41"/>
      <c r="H598" s="41"/>
      <c r="L598" s="64"/>
      <c r="M598" s="65"/>
    </row>
    <row r="599" spans="3:13" ht="13">
      <c r="C599" s="63"/>
      <c r="E599" s="41"/>
      <c r="F599" s="41"/>
      <c r="G599" s="41"/>
      <c r="H599" s="41"/>
      <c r="L599" s="64"/>
      <c r="M599" s="65"/>
    </row>
    <row r="600" spans="3:13" ht="13">
      <c r="C600" s="63"/>
      <c r="E600" s="41"/>
      <c r="F600" s="41"/>
      <c r="G600" s="41"/>
      <c r="H600" s="41"/>
      <c r="L600" s="64"/>
      <c r="M600" s="65"/>
    </row>
    <row r="601" spans="3:13" ht="13">
      <c r="C601" s="63"/>
      <c r="E601" s="41"/>
      <c r="F601" s="41"/>
      <c r="G601" s="41"/>
      <c r="H601" s="41"/>
      <c r="L601" s="64"/>
      <c r="M601" s="65"/>
    </row>
    <row r="602" spans="3:13" ht="13">
      <c r="C602" s="63"/>
      <c r="E602" s="41"/>
      <c r="F602" s="41"/>
      <c r="G602" s="41"/>
      <c r="H602" s="41"/>
      <c r="L602" s="64"/>
      <c r="M602" s="65"/>
    </row>
    <row r="603" spans="3:13" ht="13">
      <c r="C603" s="63"/>
      <c r="E603" s="41"/>
      <c r="F603" s="41"/>
      <c r="G603" s="41"/>
      <c r="H603" s="41"/>
      <c r="L603" s="64"/>
      <c r="M603" s="65"/>
    </row>
    <row r="604" spans="3:13" ht="13">
      <c r="C604" s="63"/>
      <c r="E604" s="41"/>
      <c r="F604" s="41"/>
      <c r="G604" s="41"/>
      <c r="H604" s="41"/>
      <c r="L604" s="64"/>
      <c r="M604" s="65"/>
    </row>
    <row r="605" spans="3:13" ht="13">
      <c r="C605" s="63"/>
      <c r="E605" s="41"/>
      <c r="F605" s="41"/>
      <c r="G605" s="41"/>
      <c r="H605" s="41"/>
      <c r="L605" s="64"/>
      <c r="M605" s="65"/>
    </row>
    <row r="606" spans="3:13" ht="13">
      <c r="C606" s="63"/>
      <c r="E606" s="41"/>
      <c r="F606" s="41"/>
      <c r="G606" s="41"/>
      <c r="H606" s="41"/>
      <c r="L606" s="64"/>
      <c r="M606" s="65"/>
    </row>
    <row r="607" spans="3:13" ht="13">
      <c r="C607" s="63"/>
      <c r="E607" s="41"/>
      <c r="F607" s="41"/>
      <c r="G607" s="41"/>
      <c r="H607" s="41"/>
      <c r="L607" s="64"/>
      <c r="M607" s="65"/>
    </row>
    <row r="608" spans="3:13" ht="13">
      <c r="C608" s="63"/>
      <c r="E608" s="41"/>
      <c r="F608" s="41"/>
      <c r="G608" s="41"/>
      <c r="H608" s="41"/>
      <c r="L608" s="64"/>
      <c r="M608" s="65"/>
    </row>
    <row r="609" spans="3:13" ht="13">
      <c r="C609" s="63"/>
      <c r="E609" s="41"/>
      <c r="F609" s="41"/>
      <c r="G609" s="41"/>
      <c r="H609" s="41"/>
      <c r="L609" s="64"/>
      <c r="M609" s="65"/>
    </row>
    <row r="610" spans="3:13" ht="13">
      <c r="C610" s="63"/>
      <c r="E610" s="41"/>
      <c r="F610" s="41"/>
      <c r="G610" s="41"/>
      <c r="H610" s="41"/>
      <c r="L610" s="64"/>
      <c r="M610" s="65"/>
    </row>
    <row r="611" spans="3:13" ht="13">
      <c r="C611" s="63"/>
      <c r="E611" s="41"/>
      <c r="F611" s="41"/>
      <c r="G611" s="41"/>
      <c r="H611" s="41"/>
      <c r="L611" s="64"/>
      <c r="M611" s="65"/>
    </row>
    <row r="612" spans="3:13" ht="13">
      <c r="C612" s="63"/>
      <c r="E612" s="41"/>
      <c r="F612" s="41"/>
      <c r="G612" s="41"/>
      <c r="H612" s="41"/>
      <c r="L612" s="64"/>
      <c r="M612" s="65"/>
    </row>
    <row r="613" spans="3:13" ht="13">
      <c r="C613" s="63"/>
      <c r="E613" s="41"/>
      <c r="F613" s="41"/>
      <c r="G613" s="41"/>
      <c r="H613" s="41"/>
      <c r="L613" s="64"/>
      <c r="M613" s="65"/>
    </row>
    <row r="614" spans="3:13" ht="13">
      <c r="C614" s="63"/>
      <c r="E614" s="41"/>
      <c r="F614" s="41"/>
      <c r="G614" s="41"/>
      <c r="H614" s="41"/>
      <c r="L614" s="64"/>
      <c r="M614" s="65"/>
    </row>
    <row r="615" spans="3:13" ht="13">
      <c r="C615" s="63"/>
      <c r="E615" s="41"/>
      <c r="F615" s="41"/>
      <c r="G615" s="41"/>
      <c r="H615" s="41"/>
      <c r="L615" s="64"/>
      <c r="M615" s="65"/>
    </row>
    <row r="616" spans="3:13" ht="13">
      <c r="C616" s="63"/>
      <c r="E616" s="41"/>
      <c r="F616" s="41"/>
      <c r="G616" s="41"/>
      <c r="H616" s="41"/>
      <c r="L616" s="64"/>
      <c r="M616" s="65"/>
    </row>
    <row r="617" spans="3:13" ht="13">
      <c r="C617" s="63"/>
      <c r="E617" s="41"/>
      <c r="F617" s="41"/>
      <c r="G617" s="41"/>
      <c r="H617" s="41"/>
      <c r="L617" s="64"/>
      <c r="M617" s="65"/>
    </row>
    <row r="618" spans="3:13" ht="13">
      <c r="C618" s="63"/>
      <c r="E618" s="41"/>
      <c r="F618" s="41"/>
      <c r="G618" s="41"/>
      <c r="H618" s="41"/>
      <c r="L618" s="64"/>
      <c r="M618" s="65"/>
    </row>
    <row r="619" spans="3:13" ht="13">
      <c r="C619" s="63"/>
      <c r="E619" s="41"/>
      <c r="F619" s="41"/>
      <c r="G619" s="41"/>
      <c r="H619" s="41"/>
      <c r="L619" s="64"/>
      <c r="M619" s="65"/>
    </row>
    <row r="620" spans="3:13" ht="13">
      <c r="C620" s="63"/>
      <c r="E620" s="41"/>
      <c r="F620" s="41"/>
      <c r="G620" s="41"/>
      <c r="H620" s="41"/>
      <c r="L620" s="64"/>
      <c r="M620" s="65"/>
    </row>
    <row r="621" spans="3:13" ht="13">
      <c r="C621" s="63"/>
      <c r="E621" s="41"/>
      <c r="F621" s="41"/>
      <c r="G621" s="41"/>
      <c r="H621" s="41"/>
      <c r="L621" s="64"/>
      <c r="M621" s="65"/>
    </row>
    <row r="622" spans="3:13" ht="13">
      <c r="C622" s="63"/>
      <c r="E622" s="41"/>
      <c r="F622" s="41"/>
      <c r="G622" s="41"/>
      <c r="H622" s="41"/>
      <c r="L622" s="64"/>
      <c r="M622" s="65"/>
    </row>
    <row r="623" spans="3:13" ht="13">
      <c r="C623" s="63"/>
      <c r="E623" s="41"/>
      <c r="F623" s="41"/>
      <c r="G623" s="41"/>
      <c r="H623" s="41"/>
      <c r="L623" s="64"/>
      <c r="M623" s="65"/>
    </row>
    <row r="624" spans="3:13" ht="13">
      <c r="C624" s="63"/>
      <c r="E624" s="41"/>
      <c r="F624" s="41"/>
      <c r="G624" s="41"/>
      <c r="H624" s="41"/>
      <c r="L624" s="64"/>
      <c r="M624" s="65"/>
    </row>
    <row r="625" spans="3:13" ht="13">
      <c r="C625" s="63"/>
      <c r="E625" s="41"/>
      <c r="F625" s="41"/>
      <c r="G625" s="41"/>
      <c r="H625" s="41"/>
      <c r="L625" s="64"/>
      <c r="M625" s="65"/>
    </row>
    <row r="626" spans="3:13" ht="13">
      <c r="C626" s="63"/>
      <c r="E626" s="41"/>
      <c r="F626" s="41"/>
      <c r="G626" s="41"/>
      <c r="H626" s="41"/>
      <c r="L626" s="64"/>
      <c r="M626" s="65"/>
    </row>
    <row r="627" spans="3:13" ht="13">
      <c r="C627" s="63"/>
      <c r="E627" s="41"/>
      <c r="F627" s="41"/>
      <c r="G627" s="41"/>
      <c r="H627" s="41"/>
      <c r="L627" s="64"/>
      <c r="M627" s="65"/>
    </row>
    <row r="628" spans="3:13" ht="13">
      <c r="C628" s="63"/>
      <c r="E628" s="41"/>
      <c r="F628" s="41"/>
      <c r="G628" s="41"/>
      <c r="H628" s="41"/>
      <c r="L628" s="64"/>
      <c r="M628" s="65"/>
    </row>
    <row r="629" spans="3:13" ht="13">
      <c r="C629" s="63"/>
      <c r="E629" s="41"/>
      <c r="F629" s="41"/>
      <c r="G629" s="41"/>
      <c r="H629" s="41"/>
      <c r="L629" s="64"/>
      <c r="M629" s="65"/>
    </row>
    <row r="630" spans="3:13" ht="13">
      <c r="C630" s="63"/>
      <c r="E630" s="41"/>
      <c r="F630" s="41"/>
      <c r="G630" s="41"/>
      <c r="H630" s="41"/>
      <c r="L630" s="64"/>
      <c r="M630" s="65"/>
    </row>
    <row r="631" spans="3:13" ht="13">
      <c r="C631" s="63"/>
      <c r="E631" s="41"/>
      <c r="F631" s="41"/>
      <c r="G631" s="41"/>
      <c r="H631" s="41"/>
      <c r="L631" s="64"/>
      <c r="M631" s="65"/>
    </row>
    <row r="632" spans="3:13" ht="13">
      <c r="C632" s="63"/>
      <c r="E632" s="41"/>
      <c r="F632" s="41"/>
      <c r="G632" s="41"/>
      <c r="H632" s="41"/>
      <c r="L632" s="64"/>
      <c r="M632" s="65"/>
    </row>
    <row r="633" spans="3:13" ht="13">
      <c r="C633" s="63"/>
      <c r="E633" s="41"/>
      <c r="F633" s="41"/>
      <c r="G633" s="41"/>
      <c r="H633" s="41"/>
      <c r="L633" s="64"/>
      <c r="M633" s="65"/>
    </row>
    <row r="634" spans="3:13" ht="13">
      <c r="C634" s="63"/>
      <c r="E634" s="41"/>
      <c r="F634" s="41"/>
      <c r="G634" s="41"/>
      <c r="H634" s="41"/>
      <c r="L634" s="64"/>
      <c r="M634" s="65"/>
    </row>
    <row r="635" spans="3:13" ht="13">
      <c r="C635" s="63"/>
      <c r="E635" s="41"/>
      <c r="F635" s="41"/>
      <c r="G635" s="41"/>
      <c r="H635" s="41"/>
      <c r="L635" s="64"/>
      <c r="M635" s="65"/>
    </row>
    <row r="636" spans="3:13" ht="13">
      <c r="C636" s="63"/>
      <c r="E636" s="41"/>
      <c r="F636" s="41"/>
      <c r="G636" s="41"/>
      <c r="H636" s="41"/>
      <c r="L636" s="64"/>
      <c r="M636" s="65"/>
    </row>
    <row r="637" spans="3:13" ht="13">
      <c r="C637" s="63"/>
      <c r="E637" s="41"/>
      <c r="F637" s="41"/>
      <c r="G637" s="41"/>
      <c r="H637" s="41"/>
      <c r="L637" s="64"/>
      <c r="M637" s="65"/>
    </row>
    <row r="638" spans="3:13" ht="13">
      <c r="C638" s="63"/>
      <c r="E638" s="41"/>
      <c r="F638" s="41"/>
      <c r="G638" s="41"/>
      <c r="H638" s="41"/>
      <c r="L638" s="64"/>
      <c r="M638" s="65"/>
    </row>
    <row r="639" spans="3:13" ht="13">
      <c r="C639" s="63"/>
      <c r="E639" s="41"/>
      <c r="F639" s="41"/>
      <c r="G639" s="41"/>
      <c r="H639" s="41"/>
      <c r="L639" s="64"/>
      <c r="M639" s="65"/>
    </row>
    <row r="640" spans="3:13" ht="13">
      <c r="C640" s="63"/>
      <c r="E640" s="41"/>
      <c r="F640" s="41"/>
      <c r="G640" s="41"/>
      <c r="H640" s="41"/>
      <c r="L640" s="64"/>
      <c r="M640" s="65"/>
    </row>
    <row r="641" spans="3:13" ht="13">
      <c r="C641" s="63"/>
      <c r="E641" s="41"/>
      <c r="F641" s="41"/>
      <c r="G641" s="41"/>
      <c r="H641" s="41"/>
      <c r="L641" s="64"/>
      <c r="M641" s="65"/>
    </row>
    <row r="642" spans="3:13" ht="13">
      <c r="C642" s="63"/>
      <c r="E642" s="41"/>
      <c r="F642" s="41"/>
      <c r="G642" s="41"/>
      <c r="H642" s="41"/>
      <c r="L642" s="64"/>
      <c r="M642" s="65"/>
    </row>
    <row r="643" spans="3:13" ht="13">
      <c r="C643" s="63"/>
      <c r="E643" s="41"/>
      <c r="F643" s="41"/>
      <c r="G643" s="41"/>
      <c r="H643" s="41"/>
      <c r="L643" s="64"/>
      <c r="M643" s="65"/>
    </row>
    <row r="644" spans="3:13" ht="13">
      <c r="C644" s="63"/>
      <c r="E644" s="41"/>
      <c r="F644" s="41"/>
      <c r="G644" s="41"/>
      <c r="H644" s="41"/>
      <c r="L644" s="64"/>
      <c r="M644" s="65"/>
    </row>
    <row r="645" spans="3:13" ht="13">
      <c r="C645" s="63"/>
      <c r="E645" s="41"/>
      <c r="F645" s="41"/>
      <c r="G645" s="41"/>
      <c r="H645" s="41"/>
      <c r="L645" s="64"/>
      <c r="M645" s="65"/>
    </row>
    <row r="646" spans="3:13" ht="13">
      <c r="C646" s="63"/>
      <c r="E646" s="41"/>
      <c r="F646" s="41"/>
      <c r="G646" s="41"/>
      <c r="H646" s="41"/>
      <c r="L646" s="64"/>
      <c r="M646" s="65"/>
    </row>
    <row r="647" spans="3:13" ht="13">
      <c r="C647" s="63"/>
      <c r="E647" s="41"/>
      <c r="F647" s="41"/>
      <c r="G647" s="41"/>
      <c r="H647" s="41"/>
      <c r="L647" s="64"/>
      <c r="M647" s="65"/>
    </row>
    <row r="648" spans="3:13" ht="13">
      <c r="C648" s="63"/>
      <c r="E648" s="41"/>
      <c r="F648" s="41"/>
      <c r="G648" s="41"/>
      <c r="H648" s="41"/>
      <c r="L648" s="64"/>
      <c r="M648" s="65"/>
    </row>
    <row r="649" spans="3:13" ht="13">
      <c r="C649" s="63"/>
      <c r="E649" s="41"/>
      <c r="F649" s="41"/>
      <c r="G649" s="41"/>
      <c r="H649" s="41"/>
      <c r="L649" s="64"/>
      <c r="M649" s="65"/>
    </row>
    <row r="650" spans="3:13" ht="13">
      <c r="C650" s="63"/>
      <c r="E650" s="41"/>
      <c r="F650" s="41"/>
      <c r="G650" s="41"/>
      <c r="H650" s="41"/>
      <c r="L650" s="64"/>
      <c r="M650" s="65"/>
    </row>
    <row r="651" spans="3:13" ht="13">
      <c r="C651" s="63"/>
      <c r="E651" s="41"/>
      <c r="F651" s="41"/>
      <c r="G651" s="41"/>
      <c r="H651" s="41"/>
      <c r="L651" s="64"/>
      <c r="M651" s="65"/>
    </row>
    <row r="652" spans="3:13" ht="13">
      <c r="C652" s="63"/>
      <c r="E652" s="41"/>
      <c r="F652" s="41"/>
      <c r="G652" s="41"/>
      <c r="H652" s="41"/>
      <c r="L652" s="64"/>
      <c r="M652" s="65"/>
    </row>
    <row r="653" spans="3:13" ht="13">
      <c r="C653" s="63"/>
      <c r="E653" s="41"/>
      <c r="F653" s="41"/>
      <c r="G653" s="41"/>
      <c r="H653" s="41"/>
      <c r="L653" s="64"/>
      <c r="M653" s="65"/>
    </row>
    <row r="654" spans="3:13" ht="13">
      <c r="C654" s="63"/>
      <c r="E654" s="41"/>
      <c r="F654" s="41"/>
      <c r="G654" s="41"/>
      <c r="H654" s="41"/>
      <c r="L654" s="64"/>
      <c r="M654" s="65"/>
    </row>
    <row r="655" spans="3:13" ht="13">
      <c r="C655" s="63"/>
      <c r="E655" s="41"/>
      <c r="F655" s="41"/>
      <c r="G655" s="41"/>
      <c r="H655" s="41"/>
      <c r="L655" s="64"/>
      <c r="M655" s="65"/>
    </row>
    <row r="656" spans="3:13" ht="13">
      <c r="C656" s="63"/>
      <c r="E656" s="41"/>
      <c r="F656" s="41"/>
      <c r="G656" s="41"/>
      <c r="H656" s="41"/>
      <c r="L656" s="64"/>
      <c r="M656" s="65"/>
    </row>
    <row r="657" spans="3:13" ht="13">
      <c r="C657" s="63"/>
      <c r="E657" s="41"/>
      <c r="F657" s="41"/>
      <c r="G657" s="41"/>
      <c r="H657" s="41"/>
      <c r="L657" s="64"/>
      <c r="M657" s="65"/>
    </row>
    <row r="658" spans="3:13" ht="13">
      <c r="C658" s="63"/>
      <c r="E658" s="41"/>
      <c r="F658" s="41"/>
      <c r="G658" s="41"/>
      <c r="H658" s="41"/>
      <c r="L658" s="64"/>
      <c r="M658" s="65"/>
    </row>
    <row r="659" spans="3:13" ht="13">
      <c r="C659" s="63"/>
      <c r="E659" s="41"/>
      <c r="F659" s="41"/>
      <c r="G659" s="41"/>
      <c r="H659" s="41"/>
      <c r="L659" s="64"/>
      <c r="M659" s="65"/>
    </row>
    <row r="660" spans="3:13" ht="13">
      <c r="C660" s="63"/>
      <c r="E660" s="41"/>
      <c r="F660" s="41"/>
      <c r="G660" s="41"/>
      <c r="H660" s="41"/>
      <c r="L660" s="64"/>
      <c r="M660" s="65"/>
    </row>
    <row r="661" spans="3:13" ht="13">
      <c r="C661" s="63"/>
      <c r="E661" s="41"/>
      <c r="F661" s="41"/>
      <c r="G661" s="41"/>
      <c r="H661" s="41"/>
      <c r="L661" s="64"/>
      <c r="M661" s="65"/>
    </row>
    <row r="662" spans="3:13" ht="13">
      <c r="C662" s="63"/>
      <c r="E662" s="41"/>
      <c r="F662" s="41"/>
      <c r="G662" s="41"/>
      <c r="H662" s="41"/>
      <c r="L662" s="64"/>
      <c r="M662" s="65"/>
    </row>
    <row r="663" spans="3:13" ht="13">
      <c r="C663" s="63"/>
      <c r="E663" s="41"/>
      <c r="F663" s="41"/>
      <c r="G663" s="41"/>
      <c r="H663" s="41"/>
      <c r="L663" s="64"/>
      <c r="M663" s="65"/>
    </row>
    <row r="664" spans="3:13" ht="13">
      <c r="C664" s="63"/>
      <c r="E664" s="41"/>
      <c r="F664" s="41"/>
      <c r="G664" s="41"/>
      <c r="H664" s="41"/>
      <c r="L664" s="64"/>
      <c r="M664" s="65"/>
    </row>
    <row r="665" spans="3:13" ht="13">
      <c r="C665" s="63"/>
      <c r="E665" s="41"/>
      <c r="F665" s="41"/>
      <c r="G665" s="41"/>
      <c r="H665" s="41"/>
      <c r="L665" s="64"/>
      <c r="M665" s="65"/>
    </row>
    <row r="666" spans="3:13" ht="13">
      <c r="C666" s="63"/>
      <c r="E666" s="41"/>
      <c r="F666" s="41"/>
      <c r="G666" s="41"/>
      <c r="H666" s="41"/>
      <c r="L666" s="64"/>
      <c r="M666" s="65"/>
    </row>
    <row r="667" spans="3:13" ht="13">
      <c r="C667" s="63"/>
      <c r="E667" s="41"/>
      <c r="F667" s="41"/>
      <c r="G667" s="41"/>
      <c r="H667" s="41"/>
      <c r="L667" s="64"/>
      <c r="M667" s="65"/>
    </row>
    <row r="668" spans="3:13" ht="13">
      <c r="C668" s="63"/>
      <c r="E668" s="41"/>
      <c r="F668" s="41"/>
      <c r="G668" s="41"/>
      <c r="H668" s="41"/>
      <c r="L668" s="64"/>
      <c r="M668" s="65"/>
    </row>
    <row r="669" spans="3:13" ht="13">
      <c r="C669" s="63"/>
      <c r="E669" s="41"/>
      <c r="F669" s="41"/>
      <c r="G669" s="41"/>
      <c r="H669" s="41"/>
      <c r="L669" s="64"/>
      <c r="M669" s="65"/>
    </row>
    <row r="670" spans="3:13" ht="13">
      <c r="C670" s="63"/>
      <c r="E670" s="41"/>
      <c r="F670" s="41"/>
      <c r="G670" s="41"/>
      <c r="H670" s="41"/>
      <c r="L670" s="64"/>
      <c r="M670" s="65"/>
    </row>
    <row r="671" spans="3:13" ht="13">
      <c r="C671" s="63"/>
      <c r="E671" s="41"/>
      <c r="F671" s="41"/>
      <c r="G671" s="41"/>
      <c r="H671" s="41"/>
      <c r="L671" s="64"/>
      <c r="M671" s="65"/>
    </row>
    <row r="672" spans="3:13" ht="13">
      <c r="C672" s="63"/>
      <c r="E672" s="41"/>
      <c r="F672" s="41"/>
      <c r="G672" s="41"/>
      <c r="H672" s="41"/>
      <c r="L672" s="64"/>
      <c r="M672" s="65"/>
    </row>
    <row r="673" spans="3:13" ht="13">
      <c r="C673" s="63"/>
      <c r="E673" s="41"/>
      <c r="F673" s="41"/>
      <c r="G673" s="41"/>
      <c r="H673" s="41"/>
      <c r="L673" s="64"/>
      <c r="M673" s="65"/>
    </row>
    <row r="674" spans="3:13" ht="13">
      <c r="C674" s="63"/>
      <c r="E674" s="41"/>
      <c r="F674" s="41"/>
      <c r="G674" s="41"/>
      <c r="H674" s="41"/>
      <c r="L674" s="64"/>
      <c r="M674" s="65"/>
    </row>
    <row r="675" spans="3:13" ht="13">
      <c r="C675" s="63"/>
      <c r="E675" s="41"/>
      <c r="F675" s="41"/>
      <c r="G675" s="41"/>
      <c r="H675" s="41"/>
      <c r="L675" s="64"/>
      <c r="M675" s="65"/>
    </row>
    <row r="676" spans="3:13" ht="13">
      <c r="C676" s="63"/>
      <c r="E676" s="41"/>
      <c r="F676" s="41"/>
      <c r="G676" s="41"/>
      <c r="H676" s="41"/>
      <c r="L676" s="64"/>
      <c r="M676" s="65"/>
    </row>
    <row r="677" spans="3:13" ht="13">
      <c r="C677" s="63"/>
      <c r="E677" s="41"/>
      <c r="F677" s="41"/>
      <c r="G677" s="41"/>
      <c r="H677" s="41"/>
      <c r="L677" s="64"/>
      <c r="M677" s="65"/>
    </row>
    <row r="678" spans="3:13" ht="13">
      <c r="C678" s="63"/>
      <c r="E678" s="41"/>
      <c r="F678" s="41"/>
      <c r="G678" s="41"/>
      <c r="H678" s="41"/>
      <c r="L678" s="64"/>
      <c r="M678" s="65"/>
    </row>
    <row r="679" spans="3:13" ht="13">
      <c r="C679" s="63"/>
      <c r="E679" s="41"/>
      <c r="F679" s="41"/>
      <c r="G679" s="41"/>
      <c r="H679" s="41"/>
      <c r="L679" s="64"/>
      <c r="M679" s="65"/>
    </row>
    <row r="680" spans="3:13" ht="13">
      <c r="C680" s="63"/>
      <c r="E680" s="41"/>
      <c r="F680" s="41"/>
      <c r="G680" s="41"/>
      <c r="H680" s="41"/>
      <c r="L680" s="64"/>
      <c r="M680" s="65"/>
    </row>
    <row r="681" spans="3:13" ht="13">
      <c r="C681" s="63"/>
      <c r="E681" s="41"/>
      <c r="F681" s="41"/>
      <c r="G681" s="41"/>
      <c r="H681" s="41"/>
      <c r="L681" s="64"/>
      <c r="M681" s="65"/>
    </row>
    <row r="682" spans="3:13" ht="13">
      <c r="C682" s="63"/>
      <c r="E682" s="41"/>
      <c r="F682" s="41"/>
      <c r="G682" s="41"/>
      <c r="H682" s="41"/>
      <c r="L682" s="64"/>
      <c r="M682" s="65"/>
    </row>
    <row r="683" spans="3:13" ht="13">
      <c r="C683" s="63"/>
      <c r="E683" s="41"/>
      <c r="F683" s="41"/>
      <c r="G683" s="41"/>
      <c r="H683" s="41"/>
      <c r="L683" s="64"/>
      <c r="M683" s="65"/>
    </row>
    <row r="684" spans="3:13" ht="13">
      <c r="C684" s="63"/>
      <c r="E684" s="41"/>
      <c r="F684" s="41"/>
      <c r="G684" s="41"/>
      <c r="H684" s="41"/>
      <c r="L684" s="64"/>
      <c r="M684" s="65"/>
    </row>
    <row r="685" spans="3:13" ht="13">
      <c r="C685" s="63"/>
      <c r="E685" s="41"/>
      <c r="F685" s="41"/>
      <c r="G685" s="41"/>
      <c r="H685" s="41"/>
      <c r="L685" s="64"/>
      <c r="M685" s="65"/>
    </row>
    <row r="686" spans="3:13" ht="13">
      <c r="C686" s="63"/>
      <c r="E686" s="41"/>
      <c r="F686" s="41"/>
      <c r="G686" s="41"/>
      <c r="H686" s="41"/>
      <c r="L686" s="64"/>
      <c r="M686" s="65"/>
    </row>
    <row r="687" spans="3:13" ht="13">
      <c r="C687" s="63"/>
      <c r="E687" s="41"/>
      <c r="F687" s="41"/>
      <c r="G687" s="41"/>
      <c r="H687" s="41"/>
      <c r="L687" s="64"/>
      <c r="M687" s="65"/>
    </row>
    <row r="688" spans="3:13" ht="13">
      <c r="C688" s="63"/>
      <c r="E688" s="41"/>
      <c r="F688" s="41"/>
      <c r="G688" s="41"/>
      <c r="H688" s="41"/>
      <c r="L688" s="64"/>
      <c r="M688" s="65"/>
    </row>
    <row r="689" spans="3:13" ht="13">
      <c r="C689" s="63"/>
      <c r="E689" s="41"/>
      <c r="F689" s="41"/>
      <c r="G689" s="41"/>
      <c r="H689" s="41"/>
      <c r="L689" s="64"/>
      <c r="M689" s="65"/>
    </row>
    <row r="690" spans="3:13" ht="13">
      <c r="C690" s="63"/>
      <c r="E690" s="41"/>
      <c r="F690" s="41"/>
      <c r="G690" s="41"/>
      <c r="H690" s="41"/>
      <c r="L690" s="64"/>
      <c r="M690" s="65"/>
    </row>
    <row r="691" spans="3:13" ht="13">
      <c r="C691" s="63"/>
      <c r="E691" s="41"/>
      <c r="F691" s="41"/>
      <c r="G691" s="41"/>
      <c r="H691" s="41"/>
      <c r="L691" s="64"/>
      <c r="M691" s="65"/>
    </row>
    <row r="692" spans="3:13" ht="13">
      <c r="C692" s="63"/>
      <c r="E692" s="41"/>
      <c r="F692" s="41"/>
      <c r="G692" s="41"/>
      <c r="H692" s="41"/>
      <c r="L692" s="64"/>
      <c r="M692" s="65"/>
    </row>
    <row r="693" spans="3:13" ht="13">
      <c r="C693" s="63"/>
      <c r="E693" s="41"/>
      <c r="F693" s="41"/>
      <c r="G693" s="41"/>
      <c r="H693" s="41"/>
      <c r="L693" s="64"/>
      <c r="M693" s="65"/>
    </row>
    <row r="694" spans="3:13" ht="13">
      <c r="C694" s="63"/>
      <c r="E694" s="41"/>
      <c r="F694" s="41"/>
      <c r="G694" s="41"/>
      <c r="H694" s="41"/>
      <c r="L694" s="64"/>
      <c r="M694" s="65"/>
    </row>
    <row r="695" spans="3:13" ht="13">
      <c r="C695" s="63"/>
      <c r="E695" s="41"/>
      <c r="F695" s="41"/>
      <c r="G695" s="41"/>
      <c r="H695" s="41"/>
      <c r="L695" s="64"/>
      <c r="M695" s="65"/>
    </row>
    <row r="696" spans="3:13" ht="13">
      <c r="C696" s="63"/>
      <c r="E696" s="41"/>
      <c r="F696" s="41"/>
      <c r="G696" s="41"/>
      <c r="H696" s="41"/>
      <c r="L696" s="64"/>
      <c r="M696" s="65"/>
    </row>
    <row r="697" spans="3:13" ht="13">
      <c r="C697" s="63"/>
      <c r="E697" s="41"/>
      <c r="F697" s="41"/>
      <c r="G697" s="41"/>
      <c r="H697" s="41"/>
      <c r="L697" s="64"/>
      <c r="M697" s="65"/>
    </row>
    <row r="698" spans="3:13" ht="13">
      <c r="C698" s="63"/>
      <c r="E698" s="41"/>
      <c r="F698" s="41"/>
      <c r="G698" s="41"/>
      <c r="H698" s="41"/>
      <c r="L698" s="64"/>
      <c r="M698" s="65"/>
    </row>
    <row r="699" spans="3:13" ht="13">
      <c r="C699" s="63"/>
      <c r="E699" s="41"/>
      <c r="F699" s="41"/>
      <c r="G699" s="41"/>
      <c r="H699" s="41"/>
      <c r="L699" s="64"/>
      <c r="M699" s="65"/>
    </row>
    <row r="700" spans="3:13" ht="13">
      <c r="C700" s="63"/>
      <c r="E700" s="41"/>
      <c r="F700" s="41"/>
      <c r="G700" s="41"/>
      <c r="H700" s="41"/>
      <c r="L700" s="64"/>
      <c r="M700" s="65"/>
    </row>
    <row r="701" spans="3:13" ht="13">
      <c r="C701" s="63"/>
      <c r="E701" s="41"/>
      <c r="F701" s="41"/>
      <c r="G701" s="41"/>
      <c r="H701" s="41"/>
      <c r="L701" s="64"/>
      <c r="M701" s="65"/>
    </row>
    <row r="702" spans="3:13" ht="13">
      <c r="C702" s="63"/>
      <c r="E702" s="41"/>
      <c r="F702" s="41"/>
      <c r="G702" s="41"/>
      <c r="H702" s="41"/>
      <c r="L702" s="64"/>
      <c r="M702" s="65"/>
    </row>
    <row r="703" spans="3:13" ht="13">
      <c r="C703" s="63"/>
      <c r="E703" s="41"/>
      <c r="F703" s="41"/>
      <c r="G703" s="41"/>
      <c r="H703" s="41"/>
      <c r="L703" s="64"/>
      <c r="M703" s="65"/>
    </row>
    <row r="704" spans="3:13" ht="13">
      <c r="C704" s="63"/>
      <c r="E704" s="41"/>
      <c r="F704" s="41"/>
      <c r="G704" s="41"/>
      <c r="H704" s="41"/>
      <c r="L704" s="64"/>
      <c r="M704" s="65"/>
    </row>
    <row r="705" spans="3:13" ht="13">
      <c r="C705" s="63"/>
      <c r="E705" s="41"/>
      <c r="F705" s="41"/>
      <c r="G705" s="41"/>
      <c r="H705" s="41"/>
      <c r="L705" s="64"/>
      <c r="M705" s="65"/>
    </row>
    <row r="706" spans="3:13" ht="13">
      <c r="C706" s="63"/>
      <c r="E706" s="41"/>
      <c r="F706" s="41"/>
      <c r="G706" s="41"/>
      <c r="H706" s="41"/>
      <c r="L706" s="64"/>
      <c r="M706" s="65"/>
    </row>
    <row r="707" spans="3:13" ht="13">
      <c r="C707" s="63"/>
      <c r="E707" s="41"/>
      <c r="F707" s="41"/>
      <c r="G707" s="41"/>
      <c r="H707" s="41"/>
      <c r="L707" s="64"/>
      <c r="M707" s="65"/>
    </row>
    <row r="708" spans="3:13" ht="13">
      <c r="C708" s="63"/>
      <c r="E708" s="41"/>
      <c r="F708" s="41"/>
      <c r="G708" s="41"/>
      <c r="H708" s="41"/>
      <c r="L708" s="64"/>
      <c r="M708" s="65"/>
    </row>
    <row r="709" spans="3:13" ht="13">
      <c r="C709" s="63"/>
      <c r="E709" s="41"/>
      <c r="F709" s="41"/>
      <c r="G709" s="41"/>
      <c r="H709" s="41"/>
      <c r="L709" s="64"/>
      <c r="M709" s="65"/>
    </row>
    <row r="710" spans="3:13" ht="13">
      <c r="C710" s="63"/>
      <c r="E710" s="41"/>
      <c r="F710" s="41"/>
      <c r="G710" s="41"/>
      <c r="H710" s="41"/>
      <c r="L710" s="64"/>
      <c r="M710" s="65"/>
    </row>
    <row r="711" spans="3:13" ht="13">
      <c r="C711" s="63"/>
      <c r="E711" s="41"/>
      <c r="F711" s="41"/>
      <c r="G711" s="41"/>
      <c r="H711" s="41"/>
      <c r="L711" s="64"/>
      <c r="M711" s="65"/>
    </row>
    <row r="712" spans="3:13" ht="13">
      <c r="C712" s="63"/>
      <c r="E712" s="41"/>
      <c r="F712" s="41"/>
      <c r="G712" s="41"/>
      <c r="H712" s="41"/>
      <c r="L712" s="64"/>
      <c r="M712" s="65"/>
    </row>
    <row r="713" spans="3:13" ht="13">
      <c r="C713" s="63"/>
      <c r="E713" s="41"/>
      <c r="F713" s="41"/>
      <c r="G713" s="41"/>
      <c r="H713" s="41"/>
      <c r="L713" s="64"/>
      <c r="M713" s="65"/>
    </row>
    <row r="714" spans="3:13" ht="13">
      <c r="C714" s="63"/>
      <c r="E714" s="41"/>
      <c r="F714" s="41"/>
      <c r="G714" s="41"/>
      <c r="H714" s="41"/>
      <c r="L714" s="64"/>
      <c r="M714" s="65"/>
    </row>
    <row r="715" spans="3:13" ht="13">
      <c r="C715" s="63"/>
      <c r="E715" s="41"/>
      <c r="F715" s="41"/>
      <c r="G715" s="41"/>
      <c r="H715" s="41"/>
      <c r="L715" s="64"/>
      <c r="M715" s="65"/>
    </row>
    <row r="716" spans="3:13" ht="13">
      <c r="C716" s="63"/>
      <c r="E716" s="41"/>
      <c r="F716" s="41"/>
      <c r="G716" s="41"/>
      <c r="H716" s="41"/>
      <c r="L716" s="64"/>
      <c r="M716" s="65"/>
    </row>
    <row r="717" spans="3:13" ht="13">
      <c r="C717" s="63"/>
      <c r="E717" s="41"/>
      <c r="F717" s="41"/>
      <c r="G717" s="41"/>
      <c r="H717" s="41"/>
      <c r="L717" s="64"/>
      <c r="M717" s="65"/>
    </row>
    <row r="718" spans="3:13" ht="13">
      <c r="C718" s="63"/>
      <c r="E718" s="41"/>
      <c r="F718" s="41"/>
      <c r="G718" s="41"/>
      <c r="H718" s="41"/>
      <c r="L718" s="64"/>
      <c r="M718" s="65"/>
    </row>
    <row r="719" spans="3:13" ht="13">
      <c r="C719" s="63"/>
      <c r="E719" s="41"/>
      <c r="F719" s="41"/>
      <c r="G719" s="41"/>
      <c r="H719" s="41"/>
      <c r="L719" s="64"/>
      <c r="M719" s="65"/>
    </row>
    <row r="720" spans="3:13" ht="13">
      <c r="C720" s="63"/>
      <c r="E720" s="41"/>
      <c r="F720" s="41"/>
      <c r="G720" s="41"/>
      <c r="H720" s="41"/>
      <c r="L720" s="64"/>
      <c r="M720" s="65"/>
    </row>
    <row r="721" spans="3:13" ht="13">
      <c r="C721" s="63"/>
      <c r="E721" s="41"/>
      <c r="F721" s="41"/>
      <c r="G721" s="41"/>
      <c r="H721" s="41"/>
      <c r="L721" s="64"/>
      <c r="M721" s="65"/>
    </row>
    <row r="722" spans="3:13" ht="13">
      <c r="C722" s="63"/>
      <c r="E722" s="41"/>
      <c r="F722" s="41"/>
      <c r="G722" s="41"/>
      <c r="H722" s="41"/>
      <c r="L722" s="64"/>
      <c r="M722" s="65"/>
    </row>
    <row r="723" spans="3:13" ht="13">
      <c r="C723" s="63"/>
      <c r="E723" s="41"/>
      <c r="F723" s="41"/>
      <c r="G723" s="41"/>
      <c r="H723" s="41"/>
      <c r="L723" s="64"/>
      <c r="M723" s="65"/>
    </row>
    <row r="724" spans="3:13" ht="13">
      <c r="C724" s="63"/>
      <c r="E724" s="41"/>
      <c r="F724" s="41"/>
      <c r="G724" s="41"/>
      <c r="H724" s="41"/>
      <c r="L724" s="64"/>
      <c r="M724" s="65"/>
    </row>
    <row r="725" spans="3:13" ht="13">
      <c r="C725" s="63"/>
      <c r="E725" s="41"/>
      <c r="F725" s="41"/>
      <c r="G725" s="41"/>
      <c r="H725" s="41"/>
      <c r="L725" s="64"/>
      <c r="M725" s="65"/>
    </row>
    <row r="726" spans="3:13" ht="13">
      <c r="C726" s="63"/>
      <c r="E726" s="41"/>
      <c r="F726" s="41"/>
      <c r="G726" s="41"/>
      <c r="H726" s="41"/>
      <c r="L726" s="64"/>
      <c r="M726" s="65"/>
    </row>
    <row r="727" spans="3:13" ht="13">
      <c r="C727" s="63"/>
      <c r="E727" s="41"/>
      <c r="F727" s="41"/>
      <c r="G727" s="41"/>
      <c r="H727" s="41"/>
      <c r="L727" s="64"/>
      <c r="M727" s="65"/>
    </row>
    <row r="728" spans="3:13" ht="13">
      <c r="C728" s="63"/>
      <c r="E728" s="41"/>
      <c r="F728" s="41"/>
      <c r="G728" s="41"/>
      <c r="H728" s="41"/>
      <c r="L728" s="64"/>
      <c r="M728" s="65"/>
    </row>
    <row r="729" spans="3:13" ht="13">
      <c r="C729" s="63"/>
      <c r="E729" s="41"/>
      <c r="F729" s="41"/>
      <c r="G729" s="41"/>
      <c r="H729" s="41"/>
      <c r="L729" s="64"/>
      <c r="M729" s="65"/>
    </row>
    <row r="730" spans="3:13" ht="13">
      <c r="C730" s="63"/>
      <c r="E730" s="41"/>
      <c r="F730" s="41"/>
      <c r="G730" s="41"/>
      <c r="H730" s="41"/>
      <c r="L730" s="64"/>
      <c r="M730" s="65"/>
    </row>
    <row r="731" spans="3:13" ht="13">
      <c r="C731" s="63"/>
      <c r="E731" s="41"/>
      <c r="F731" s="41"/>
      <c r="G731" s="41"/>
      <c r="H731" s="41"/>
      <c r="L731" s="64"/>
      <c r="M731" s="65"/>
    </row>
    <row r="732" spans="3:13" ht="13">
      <c r="C732" s="63"/>
      <c r="E732" s="41"/>
      <c r="F732" s="41"/>
      <c r="G732" s="41"/>
      <c r="H732" s="41"/>
      <c r="L732" s="64"/>
      <c r="M732" s="65"/>
    </row>
    <row r="733" spans="3:13" ht="13">
      <c r="C733" s="63"/>
      <c r="E733" s="41"/>
      <c r="F733" s="41"/>
      <c r="G733" s="41"/>
      <c r="H733" s="41"/>
      <c r="L733" s="64"/>
      <c r="M733" s="65"/>
    </row>
    <row r="734" spans="3:13" ht="13">
      <c r="C734" s="63"/>
      <c r="E734" s="41"/>
      <c r="F734" s="41"/>
      <c r="G734" s="41"/>
      <c r="H734" s="41"/>
      <c r="L734" s="64"/>
      <c r="M734" s="65"/>
    </row>
    <row r="735" spans="3:13" ht="13">
      <c r="C735" s="63"/>
      <c r="E735" s="41"/>
      <c r="F735" s="41"/>
      <c r="G735" s="41"/>
      <c r="H735" s="41"/>
      <c r="L735" s="64"/>
      <c r="M735" s="65"/>
    </row>
    <row r="736" spans="3:13" ht="13">
      <c r="C736" s="63"/>
      <c r="E736" s="41"/>
      <c r="F736" s="41"/>
      <c r="G736" s="41"/>
      <c r="H736" s="41"/>
      <c r="L736" s="64"/>
      <c r="M736" s="65"/>
    </row>
    <row r="737" spans="3:13" ht="13">
      <c r="C737" s="63"/>
      <c r="E737" s="41"/>
      <c r="F737" s="41"/>
      <c r="G737" s="41"/>
      <c r="H737" s="41"/>
      <c r="L737" s="64"/>
      <c r="M737" s="65"/>
    </row>
    <row r="738" spans="3:13" ht="13">
      <c r="C738" s="63"/>
      <c r="E738" s="41"/>
      <c r="F738" s="41"/>
      <c r="G738" s="41"/>
      <c r="H738" s="41"/>
      <c r="L738" s="64"/>
      <c r="M738" s="65"/>
    </row>
    <row r="739" spans="3:13" ht="13">
      <c r="C739" s="63"/>
      <c r="E739" s="41"/>
      <c r="F739" s="41"/>
      <c r="G739" s="41"/>
      <c r="H739" s="41"/>
      <c r="L739" s="64"/>
      <c r="M739" s="65"/>
    </row>
    <row r="740" spans="3:13" ht="13">
      <c r="C740" s="63"/>
      <c r="E740" s="41"/>
      <c r="F740" s="41"/>
      <c r="G740" s="41"/>
      <c r="H740" s="41"/>
      <c r="L740" s="64"/>
      <c r="M740" s="65"/>
    </row>
    <row r="741" spans="3:13" ht="13">
      <c r="C741" s="63"/>
      <c r="E741" s="41"/>
      <c r="F741" s="41"/>
      <c r="G741" s="41"/>
      <c r="H741" s="41"/>
      <c r="L741" s="64"/>
      <c r="M741" s="65"/>
    </row>
    <row r="742" spans="3:13" ht="13">
      <c r="C742" s="63"/>
      <c r="E742" s="41"/>
      <c r="F742" s="41"/>
      <c r="G742" s="41"/>
      <c r="H742" s="41"/>
      <c r="L742" s="64"/>
      <c r="M742" s="65"/>
    </row>
    <row r="743" spans="3:13" ht="13">
      <c r="C743" s="63"/>
      <c r="E743" s="41"/>
      <c r="F743" s="41"/>
      <c r="G743" s="41"/>
      <c r="H743" s="41"/>
      <c r="L743" s="64"/>
      <c r="M743" s="65"/>
    </row>
    <row r="744" spans="3:13" ht="13">
      <c r="C744" s="63"/>
      <c r="E744" s="41"/>
      <c r="F744" s="41"/>
      <c r="G744" s="41"/>
      <c r="H744" s="41"/>
      <c r="L744" s="64"/>
      <c r="M744" s="65"/>
    </row>
    <row r="745" spans="3:13" ht="13">
      <c r="C745" s="63"/>
      <c r="E745" s="41"/>
      <c r="F745" s="41"/>
      <c r="G745" s="41"/>
      <c r="H745" s="41"/>
      <c r="L745" s="64"/>
      <c r="M745" s="65"/>
    </row>
    <row r="746" spans="3:13" ht="13">
      <c r="C746" s="63"/>
      <c r="E746" s="41"/>
      <c r="F746" s="41"/>
      <c r="G746" s="41"/>
      <c r="H746" s="41"/>
      <c r="L746" s="64"/>
      <c r="M746" s="65"/>
    </row>
    <row r="747" spans="3:13" ht="13">
      <c r="C747" s="63"/>
      <c r="E747" s="41"/>
      <c r="F747" s="41"/>
      <c r="G747" s="41"/>
      <c r="H747" s="41"/>
      <c r="L747" s="64"/>
      <c r="M747" s="65"/>
    </row>
    <row r="748" spans="3:13" ht="13">
      <c r="C748" s="63"/>
      <c r="E748" s="41"/>
      <c r="F748" s="41"/>
      <c r="G748" s="41"/>
      <c r="H748" s="41"/>
      <c r="L748" s="64"/>
      <c r="M748" s="65"/>
    </row>
    <row r="749" spans="3:13" ht="13">
      <c r="C749" s="63"/>
      <c r="E749" s="41"/>
      <c r="F749" s="41"/>
      <c r="G749" s="41"/>
      <c r="H749" s="41"/>
      <c r="L749" s="64"/>
      <c r="M749" s="65"/>
    </row>
    <row r="750" spans="3:13" ht="13">
      <c r="C750" s="63"/>
      <c r="E750" s="41"/>
      <c r="F750" s="41"/>
      <c r="G750" s="41"/>
      <c r="H750" s="41"/>
      <c r="L750" s="64"/>
      <c r="M750" s="65"/>
    </row>
    <row r="751" spans="3:13" ht="13">
      <c r="C751" s="63"/>
      <c r="E751" s="41"/>
      <c r="F751" s="41"/>
      <c r="G751" s="41"/>
      <c r="H751" s="41"/>
      <c r="L751" s="64"/>
      <c r="M751" s="65"/>
    </row>
    <row r="752" spans="3:13" ht="13">
      <c r="C752" s="63"/>
      <c r="E752" s="41"/>
      <c r="F752" s="41"/>
      <c r="G752" s="41"/>
      <c r="H752" s="41"/>
      <c r="L752" s="64"/>
      <c r="M752" s="65"/>
    </row>
    <row r="753" spans="3:13" ht="13">
      <c r="C753" s="63"/>
      <c r="E753" s="41"/>
      <c r="F753" s="41"/>
      <c r="G753" s="41"/>
      <c r="H753" s="41"/>
      <c r="L753" s="64"/>
      <c r="M753" s="65"/>
    </row>
    <row r="754" spans="3:13" ht="13">
      <c r="C754" s="63"/>
      <c r="E754" s="41"/>
      <c r="F754" s="41"/>
      <c r="G754" s="41"/>
      <c r="H754" s="41"/>
      <c r="L754" s="64"/>
      <c r="M754" s="65"/>
    </row>
    <row r="755" spans="3:13" ht="13">
      <c r="C755" s="63"/>
      <c r="E755" s="41"/>
      <c r="F755" s="41"/>
      <c r="G755" s="41"/>
      <c r="H755" s="41"/>
      <c r="L755" s="64"/>
      <c r="M755" s="65"/>
    </row>
    <row r="756" spans="3:13" ht="13">
      <c r="C756" s="63"/>
      <c r="E756" s="41"/>
      <c r="F756" s="41"/>
      <c r="G756" s="41"/>
      <c r="H756" s="41"/>
      <c r="L756" s="64"/>
      <c r="M756" s="65"/>
    </row>
    <row r="757" spans="3:13" ht="13">
      <c r="C757" s="63"/>
      <c r="E757" s="41"/>
      <c r="F757" s="41"/>
      <c r="G757" s="41"/>
      <c r="H757" s="41"/>
      <c r="L757" s="64"/>
      <c r="M757" s="65"/>
    </row>
    <row r="758" spans="3:13" ht="13">
      <c r="C758" s="63"/>
      <c r="E758" s="41"/>
      <c r="F758" s="41"/>
      <c r="G758" s="41"/>
      <c r="H758" s="41"/>
      <c r="L758" s="64"/>
      <c r="M758" s="65"/>
    </row>
    <row r="759" spans="3:13" ht="13">
      <c r="C759" s="63"/>
      <c r="E759" s="41"/>
      <c r="F759" s="41"/>
      <c r="G759" s="41"/>
      <c r="H759" s="41"/>
      <c r="L759" s="64"/>
      <c r="M759" s="65"/>
    </row>
    <row r="760" spans="3:13" ht="13">
      <c r="C760" s="63"/>
      <c r="E760" s="41"/>
      <c r="F760" s="41"/>
      <c r="G760" s="41"/>
      <c r="H760" s="41"/>
      <c r="L760" s="64"/>
      <c r="M760" s="65"/>
    </row>
    <row r="761" spans="3:13" ht="13">
      <c r="C761" s="63"/>
      <c r="E761" s="41"/>
      <c r="F761" s="41"/>
      <c r="G761" s="41"/>
      <c r="H761" s="41"/>
      <c r="L761" s="64"/>
      <c r="M761" s="65"/>
    </row>
    <row r="762" spans="3:13" ht="13">
      <c r="C762" s="63"/>
      <c r="E762" s="41"/>
      <c r="F762" s="41"/>
      <c r="G762" s="41"/>
      <c r="H762" s="41"/>
      <c r="L762" s="64"/>
      <c r="M762" s="65"/>
    </row>
    <row r="763" spans="3:13" ht="13">
      <c r="C763" s="63"/>
      <c r="E763" s="41"/>
      <c r="F763" s="41"/>
      <c r="G763" s="41"/>
      <c r="H763" s="41"/>
      <c r="L763" s="64"/>
      <c r="M763" s="65"/>
    </row>
    <row r="764" spans="3:13" ht="13">
      <c r="C764" s="63"/>
      <c r="E764" s="41"/>
      <c r="F764" s="41"/>
      <c r="G764" s="41"/>
      <c r="H764" s="41"/>
      <c r="L764" s="64"/>
      <c r="M764" s="65"/>
    </row>
    <row r="765" spans="3:13" ht="13">
      <c r="C765" s="63"/>
      <c r="E765" s="41"/>
      <c r="F765" s="41"/>
      <c r="G765" s="41"/>
      <c r="H765" s="41"/>
      <c r="L765" s="64"/>
      <c r="M765" s="65"/>
    </row>
    <row r="766" spans="3:13" ht="13">
      <c r="C766" s="63"/>
      <c r="E766" s="41"/>
      <c r="F766" s="41"/>
      <c r="G766" s="41"/>
      <c r="H766" s="41"/>
      <c r="L766" s="64"/>
      <c r="M766" s="65"/>
    </row>
    <row r="767" spans="3:13" ht="13">
      <c r="C767" s="63"/>
      <c r="E767" s="41"/>
      <c r="F767" s="41"/>
      <c r="G767" s="41"/>
      <c r="H767" s="41"/>
      <c r="L767" s="64"/>
      <c r="M767" s="65"/>
    </row>
    <row r="768" spans="3:13" ht="13">
      <c r="C768" s="63"/>
      <c r="E768" s="41"/>
      <c r="F768" s="41"/>
      <c r="G768" s="41"/>
      <c r="H768" s="41"/>
      <c r="L768" s="64"/>
      <c r="M768" s="65"/>
    </row>
    <row r="769" spans="3:13" ht="13">
      <c r="C769" s="63"/>
      <c r="E769" s="41"/>
      <c r="F769" s="41"/>
      <c r="G769" s="41"/>
      <c r="H769" s="41"/>
      <c r="L769" s="64"/>
      <c r="M769" s="65"/>
    </row>
    <row r="770" spans="3:13" ht="13">
      <c r="C770" s="63"/>
      <c r="E770" s="41"/>
      <c r="F770" s="41"/>
      <c r="G770" s="41"/>
      <c r="H770" s="41"/>
      <c r="L770" s="64"/>
      <c r="M770" s="65"/>
    </row>
    <row r="771" spans="3:13" ht="13">
      <c r="C771" s="63"/>
      <c r="E771" s="41"/>
      <c r="F771" s="41"/>
      <c r="G771" s="41"/>
      <c r="H771" s="41"/>
      <c r="L771" s="64"/>
      <c r="M771" s="65"/>
    </row>
    <row r="772" spans="3:13" ht="13">
      <c r="C772" s="63"/>
      <c r="E772" s="41"/>
      <c r="F772" s="41"/>
      <c r="G772" s="41"/>
      <c r="H772" s="41"/>
      <c r="L772" s="64"/>
      <c r="M772" s="65"/>
    </row>
    <row r="773" spans="3:13" ht="13">
      <c r="C773" s="63"/>
      <c r="E773" s="41"/>
      <c r="F773" s="41"/>
      <c r="G773" s="41"/>
      <c r="H773" s="41"/>
      <c r="L773" s="64"/>
      <c r="M773" s="65"/>
    </row>
    <row r="774" spans="3:13" ht="13">
      <c r="C774" s="63"/>
      <c r="E774" s="41"/>
      <c r="F774" s="41"/>
      <c r="G774" s="41"/>
      <c r="H774" s="41"/>
      <c r="L774" s="64"/>
      <c r="M774" s="65"/>
    </row>
    <row r="775" spans="3:13" ht="13">
      <c r="C775" s="63"/>
      <c r="E775" s="41"/>
      <c r="F775" s="41"/>
      <c r="G775" s="41"/>
      <c r="H775" s="41"/>
      <c r="L775" s="64"/>
      <c r="M775" s="65"/>
    </row>
    <row r="776" spans="3:13" ht="13">
      <c r="C776" s="63"/>
      <c r="E776" s="41"/>
      <c r="F776" s="41"/>
      <c r="G776" s="41"/>
      <c r="H776" s="41"/>
      <c r="L776" s="64"/>
      <c r="M776" s="65"/>
    </row>
    <row r="777" spans="3:13" ht="13">
      <c r="C777" s="63"/>
      <c r="E777" s="41"/>
      <c r="F777" s="41"/>
      <c r="G777" s="41"/>
      <c r="H777" s="41"/>
      <c r="L777" s="64"/>
      <c r="M777" s="65"/>
    </row>
    <row r="778" spans="3:13" ht="13">
      <c r="C778" s="63"/>
      <c r="E778" s="41"/>
      <c r="F778" s="41"/>
      <c r="G778" s="41"/>
      <c r="H778" s="41"/>
      <c r="L778" s="64"/>
      <c r="M778" s="65"/>
    </row>
    <row r="779" spans="3:13" ht="13">
      <c r="C779" s="63"/>
      <c r="E779" s="41"/>
      <c r="F779" s="41"/>
      <c r="G779" s="41"/>
      <c r="H779" s="41"/>
      <c r="L779" s="64"/>
      <c r="M779" s="65"/>
    </row>
    <row r="780" spans="3:13" ht="13">
      <c r="C780" s="63"/>
      <c r="E780" s="41"/>
      <c r="F780" s="41"/>
      <c r="G780" s="41"/>
      <c r="H780" s="41"/>
      <c r="L780" s="64"/>
      <c r="M780" s="65"/>
    </row>
    <row r="781" spans="3:13" ht="13">
      <c r="C781" s="63"/>
      <c r="E781" s="41"/>
      <c r="F781" s="41"/>
      <c r="G781" s="41"/>
      <c r="H781" s="41"/>
      <c r="L781" s="64"/>
      <c r="M781" s="65"/>
    </row>
    <row r="782" spans="3:13" ht="13">
      <c r="C782" s="63"/>
      <c r="E782" s="41"/>
      <c r="F782" s="41"/>
      <c r="G782" s="41"/>
      <c r="H782" s="41"/>
      <c r="L782" s="64"/>
      <c r="M782" s="65"/>
    </row>
    <row r="783" spans="3:13" ht="13">
      <c r="C783" s="63"/>
      <c r="E783" s="41"/>
      <c r="F783" s="41"/>
      <c r="G783" s="41"/>
      <c r="H783" s="41"/>
      <c r="L783" s="64"/>
      <c r="M783" s="65"/>
    </row>
    <row r="784" spans="3:13" ht="13">
      <c r="C784" s="63"/>
      <c r="E784" s="41"/>
      <c r="F784" s="41"/>
      <c r="G784" s="41"/>
      <c r="H784" s="41"/>
      <c r="L784" s="64"/>
      <c r="M784" s="65"/>
    </row>
    <row r="785" spans="3:13" ht="13">
      <c r="C785" s="63"/>
      <c r="E785" s="41"/>
      <c r="F785" s="41"/>
      <c r="G785" s="41"/>
      <c r="H785" s="41"/>
      <c r="L785" s="64"/>
      <c r="M785" s="65"/>
    </row>
    <row r="786" spans="3:13" ht="13">
      <c r="C786" s="63"/>
      <c r="E786" s="41"/>
      <c r="F786" s="41"/>
      <c r="G786" s="41"/>
      <c r="H786" s="41"/>
      <c r="L786" s="64"/>
      <c r="M786" s="65"/>
    </row>
    <row r="787" spans="3:13" ht="13">
      <c r="C787" s="63"/>
      <c r="E787" s="41"/>
      <c r="F787" s="41"/>
      <c r="G787" s="41"/>
      <c r="H787" s="41"/>
      <c r="L787" s="64"/>
      <c r="M787" s="65"/>
    </row>
    <row r="788" spans="3:13" ht="13">
      <c r="C788" s="63"/>
      <c r="E788" s="41"/>
      <c r="F788" s="41"/>
      <c r="G788" s="41"/>
      <c r="H788" s="41"/>
      <c r="L788" s="64"/>
      <c r="M788" s="65"/>
    </row>
    <row r="789" spans="3:13" ht="13">
      <c r="C789" s="63"/>
      <c r="E789" s="41"/>
      <c r="F789" s="41"/>
      <c r="G789" s="41"/>
      <c r="H789" s="41"/>
      <c r="L789" s="64"/>
      <c r="M789" s="65"/>
    </row>
    <row r="790" spans="3:13" ht="13">
      <c r="C790" s="63"/>
      <c r="E790" s="41"/>
      <c r="F790" s="41"/>
      <c r="G790" s="41"/>
      <c r="H790" s="41"/>
      <c r="L790" s="64"/>
      <c r="M790" s="65"/>
    </row>
    <row r="791" spans="3:13" ht="13">
      <c r="C791" s="63"/>
      <c r="E791" s="41"/>
      <c r="F791" s="41"/>
      <c r="G791" s="41"/>
      <c r="H791" s="41"/>
      <c r="L791" s="64"/>
      <c r="M791" s="65"/>
    </row>
    <row r="792" spans="3:13" ht="13">
      <c r="C792" s="63"/>
      <c r="E792" s="41"/>
      <c r="F792" s="41"/>
      <c r="G792" s="41"/>
      <c r="H792" s="41"/>
      <c r="L792" s="64"/>
      <c r="M792" s="65"/>
    </row>
    <row r="793" spans="3:13" ht="13">
      <c r="C793" s="63"/>
      <c r="E793" s="41"/>
      <c r="F793" s="41"/>
      <c r="G793" s="41"/>
      <c r="H793" s="41"/>
      <c r="L793" s="64"/>
      <c r="M793" s="65"/>
    </row>
    <row r="794" spans="3:13" ht="13">
      <c r="C794" s="63"/>
      <c r="E794" s="41"/>
      <c r="F794" s="41"/>
      <c r="G794" s="41"/>
      <c r="H794" s="41"/>
      <c r="L794" s="64"/>
      <c r="M794" s="65"/>
    </row>
    <row r="795" spans="3:13" ht="13">
      <c r="C795" s="63"/>
      <c r="E795" s="41"/>
      <c r="F795" s="41"/>
      <c r="G795" s="41"/>
      <c r="H795" s="41"/>
      <c r="L795" s="64"/>
      <c r="M795" s="65"/>
    </row>
    <row r="796" spans="3:13" ht="13">
      <c r="C796" s="63"/>
      <c r="E796" s="41"/>
      <c r="F796" s="41"/>
      <c r="G796" s="41"/>
      <c r="H796" s="41"/>
      <c r="L796" s="64"/>
      <c r="M796" s="65"/>
    </row>
    <row r="797" spans="3:13" ht="13">
      <c r="C797" s="63"/>
      <c r="E797" s="41"/>
      <c r="F797" s="41"/>
      <c r="G797" s="41"/>
      <c r="H797" s="41"/>
      <c r="L797" s="64"/>
      <c r="M797" s="65"/>
    </row>
    <row r="798" spans="3:13" ht="13">
      <c r="C798" s="63"/>
      <c r="E798" s="41"/>
      <c r="F798" s="41"/>
      <c r="G798" s="41"/>
      <c r="H798" s="41"/>
      <c r="L798" s="64"/>
      <c r="M798" s="65"/>
    </row>
    <row r="799" spans="3:13" ht="13">
      <c r="C799" s="63"/>
      <c r="E799" s="41"/>
      <c r="F799" s="41"/>
      <c r="G799" s="41"/>
      <c r="H799" s="41"/>
      <c r="L799" s="64"/>
      <c r="M799" s="65"/>
    </row>
    <row r="800" spans="3:13" ht="13">
      <c r="C800" s="63"/>
      <c r="E800" s="41"/>
      <c r="F800" s="41"/>
      <c r="G800" s="41"/>
      <c r="H800" s="41"/>
      <c r="L800" s="64"/>
      <c r="M800" s="65"/>
    </row>
    <row r="801" spans="3:13" ht="13">
      <c r="C801" s="63"/>
      <c r="E801" s="41"/>
      <c r="F801" s="41"/>
      <c r="G801" s="41"/>
      <c r="H801" s="41"/>
      <c r="L801" s="64"/>
      <c r="M801" s="65"/>
    </row>
    <row r="802" spans="3:13" ht="13">
      <c r="C802" s="63"/>
      <c r="E802" s="41"/>
      <c r="F802" s="41"/>
      <c r="G802" s="41"/>
      <c r="H802" s="41"/>
      <c r="L802" s="64"/>
      <c r="M802" s="65"/>
    </row>
    <row r="803" spans="3:13" ht="13">
      <c r="C803" s="63"/>
      <c r="E803" s="41"/>
      <c r="F803" s="41"/>
      <c r="G803" s="41"/>
      <c r="H803" s="41"/>
      <c r="L803" s="64"/>
      <c r="M803" s="65"/>
    </row>
    <row r="804" spans="3:13" ht="13">
      <c r="C804" s="63"/>
      <c r="E804" s="41"/>
      <c r="F804" s="41"/>
      <c r="G804" s="41"/>
      <c r="H804" s="41"/>
      <c r="L804" s="64"/>
      <c r="M804" s="65"/>
    </row>
    <row r="805" spans="3:13" ht="13">
      <c r="C805" s="63"/>
      <c r="E805" s="41"/>
      <c r="F805" s="41"/>
      <c r="G805" s="41"/>
      <c r="H805" s="41"/>
      <c r="L805" s="64"/>
      <c r="M805" s="65"/>
    </row>
    <row r="806" spans="3:13" ht="13">
      <c r="C806" s="63"/>
      <c r="E806" s="41"/>
      <c r="F806" s="41"/>
      <c r="G806" s="41"/>
      <c r="H806" s="41"/>
      <c r="L806" s="64"/>
      <c r="M806" s="65"/>
    </row>
    <row r="807" spans="3:13" ht="13">
      <c r="C807" s="63"/>
      <c r="E807" s="41"/>
      <c r="F807" s="41"/>
      <c r="G807" s="41"/>
      <c r="H807" s="41"/>
      <c r="L807" s="64"/>
      <c r="M807" s="65"/>
    </row>
    <row r="808" spans="3:13" ht="13">
      <c r="C808" s="63"/>
      <c r="E808" s="41"/>
      <c r="F808" s="41"/>
      <c r="G808" s="41"/>
      <c r="H808" s="41"/>
      <c r="L808" s="64"/>
      <c r="M808" s="65"/>
    </row>
    <row r="809" spans="3:13" ht="13">
      <c r="C809" s="63"/>
      <c r="E809" s="41"/>
      <c r="F809" s="41"/>
      <c r="G809" s="41"/>
      <c r="H809" s="41"/>
      <c r="L809" s="64"/>
      <c r="M809" s="65"/>
    </row>
    <row r="810" spans="3:13" ht="13">
      <c r="C810" s="63"/>
      <c r="E810" s="41"/>
      <c r="F810" s="41"/>
      <c r="G810" s="41"/>
      <c r="H810" s="41"/>
      <c r="L810" s="64"/>
      <c r="M810" s="65"/>
    </row>
    <row r="811" spans="3:13" ht="13">
      <c r="C811" s="63"/>
      <c r="E811" s="41"/>
      <c r="F811" s="41"/>
      <c r="G811" s="41"/>
      <c r="H811" s="41"/>
      <c r="L811" s="64"/>
      <c r="M811" s="65"/>
    </row>
    <row r="812" spans="3:13" ht="13">
      <c r="C812" s="63"/>
      <c r="E812" s="41"/>
      <c r="F812" s="41"/>
      <c r="G812" s="41"/>
      <c r="H812" s="41"/>
      <c r="L812" s="64"/>
      <c r="M812" s="65"/>
    </row>
    <row r="813" spans="3:13" ht="13">
      <c r="C813" s="63"/>
      <c r="E813" s="41"/>
      <c r="F813" s="41"/>
      <c r="G813" s="41"/>
      <c r="H813" s="41"/>
      <c r="L813" s="64"/>
      <c r="M813" s="65"/>
    </row>
    <row r="814" spans="3:13" ht="13">
      <c r="C814" s="63"/>
      <c r="E814" s="41"/>
      <c r="F814" s="41"/>
      <c r="G814" s="41"/>
      <c r="H814" s="41"/>
      <c r="L814" s="64"/>
      <c r="M814" s="65"/>
    </row>
    <row r="815" spans="3:13" ht="13">
      <c r="C815" s="63"/>
      <c r="E815" s="41"/>
      <c r="F815" s="41"/>
      <c r="G815" s="41"/>
      <c r="H815" s="41"/>
      <c r="L815" s="64"/>
      <c r="M815" s="65"/>
    </row>
    <row r="816" spans="3:13" ht="13">
      <c r="C816" s="63"/>
      <c r="E816" s="41"/>
      <c r="F816" s="41"/>
      <c r="G816" s="41"/>
      <c r="H816" s="41"/>
      <c r="L816" s="64"/>
      <c r="M816" s="65"/>
    </row>
    <row r="817" spans="3:13" ht="13">
      <c r="C817" s="63"/>
      <c r="E817" s="41"/>
      <c r="F817" s="41"/>
      <c r="G817" s="41"/>
      <c r="H817" s="41"/>
      <c r="L817" s="64"/>
      <c r="M817" s="65"/>
    </row>
    <row r="818" spans="3:13" ht="13">
      <c r="C818" s="63"/>
      <c r="E818" s="41"/>
      <c r="F818" s="41"/>
      <c r="G818" s="41"/>
      <c r="H818" s="41"/>
      <c r="L818" s="64"/>
      <c r="M818" s="65"/>
    </row>
    <row r="819" spans="3:13" ht="13">
      <c r="C819" s="63"/>
      <c r="E819" s="41"/>
      <c r="F819" s="41"/>
      <c r="G819" s="41"/>
      <c r="H819" s="41"/>
      <c r="L819" s="64"/>
      <c r="M819" s="65"/>
    </row>
    <row r="820" spans="3:13" ht="13">
      <c r="C820" s="63"/>
      <c r="E820" s="41"/>
      <c r="F820" s="41"/>
      <c r="G820" s="41"/>
      <c r="H820" s="41"/>
      <c r="L820" s="64"/>
      <c r="M820" s="65"/>
    </row>
    <row r="821" spans="3:13" ht="13">
      <c r="C821" s="63"/>
      <c r="E821" s="41"/>
      <c r="F821" s="41"/>
      <c r="G821" s="41"/>
      <c r="H821" s="41"/>
      <c r="L821" s="64"/>
      <c r="M821" s="65"/>
    </row>
    <row r="822" spans="3:13" ht="13">
      <c r="C822" s="63"/>
      <c r="E822" s="41"/>
      <c r="F822" s="41"/>
      <c r="G822" s="41"/>
      <c r="H822" s="41"/>
      <c r="L822" s="64"/>
      <c r="M822" s="65"/>
    </row>
    <row r="823" spans="3:13" ht="13">
      <c r="C823" s="63"/>
      <c r="E823" s="41"/>
      <c r="F823" s="41"/>
      <c r="G823" s="41"/>
      <c r="H823" s="41"/>
      <c r="L823" s="64"/>
      <c r="M823" s="65"/>
    </row>
    <row r="824" spans="3:13" ht="13">
      <c r="C824" s="63"/>
      <c r="E824" s="41"/>
      <c r="F824" s="41"/>
      <c r="G824" s="41"/>
      <c r="H824" s="41"/>
      <c r="L824" s="64"/>
      <c r="M824" s="65"/>
    </row>
    <row r="825" spans="3:13" ht="13">
      <c r="C825" s="63"/>
      <c r="E825" s="41"/>
      <c r="F825" s="41"/>
      <c r="G825" s="41"/>
      <c r="H825" s="41"/>
      <c r="L825" s="64"/>
      <c r="M825" s="65"/>
    </row>
    <row r="826" spans="3:13" ht="13">
      <c r="C826" s="63"/>
      <c r="E826" s="41"/>
      <c r="F826" s="41"/>
      <c r="G826" s="41"/>
      <c r="H826" s="41"/>
      <c r="L826" s="64"/>
      <c r="M826" s="65"/>
    </row>
    <row r="827" spans="3:13" ht="13">
      <c r="C827" s="63"/>
      <c r="E827" s="41"/>
      <c r="F827" s="41"/>
      <c r="G827" s="41"/>
      <c r="H827" s="41"/>
      <c r="L827" s="64"/>
      <c r="M827" s="65"/>
    </row>
    <row r="828" spans="3:13" ht="13">
      <c r="C828" s="63"/>
      <c r="E828" s="41"/>
      <c r="F828" s="41"/>
      <c r="G828" s="41"/>
      <c r="H828" s="41"/>
      <c r="L828" s="64"/>
      <c r="M828" s="65"/>
    </row>
    <row r="829" spans="3:13" ht="13">
      <c r="C829" s="63"/>
      <c r="E829" s="41"/>
      <c r="F829" s="41"/>
      <c r="G829" s="41"/>
      <c r="H829" s="41"/>
      <c r="L829" s="64"/>
      <c r="M829" s="65"/>
    </row>
    <row r="830" spans="3:13" ht="13">
      <c r="C830" s="63"/>
      <c r="E830" s="41"/>
      <c r="F830" s="41"/>
      <c r="G830" s="41"/>
      <c r="H830" s="41"/>
      <c r="L830" s="64"/>
      <c r="M830" s="65"/>
    </row>
    <row r="831" spans="3:13" ht="13">
      <c r="C831" s="63"/>
      <c r="E831" s="41"/>
      <c r="F831" s="41"/>
      <c r="G831" s="41"/>
      <c r="H831" s="41"/>
      <c r="L831" s="64"/>
      <c r="M831" s="65"/>
    </row>
    <row r="832" spans="3:13" ht="13">
      <c r="C832" s="63"/>
      <c r="E832" s="41"/>
      <c r="F832" s="41"/>
      <c r="G832" s="41"/>
      <c r="H832" s="41"/>
      <c r="L832" s="64"/>
      <c r="M832" s="65"/>
    </row>
    <row r="833" spans="3:13" ht="13">
      <c r="C833" s="63"/>
      <c r="E833" s="41"/>
      <c r="F833" s="41"/>
      <c r="G833" s="41"/>
      <c r="H833" s="41"/>
      <c r="L833" s="64"/>
      <c r="M833" s="65"/>
    </row>
    <row r="834" spans="3:13" ht="13">
      <c r="C834" s="63"/>
      <c r="E834" s="41"/>
      <c r="F834" s="41"/>
      <c r="G834" s="41"/>
      <c r="H834" s="41"/>
      <c r="L834" s="64"/>
      <c r="M834" s="65"/>
    </row>
    <row r="835" spans="3:13" ht="13">
      <c r="C835" s="63"/>
      <c r="E835" s="41"/>
      <c r="F835" s="41"/>
      <c r="G835" s="41"/>
      <c r="H835" s="41"/>
      <c r="L835" s="64"/>
      <c r="M835" s="65"/>
    </row>
    <row r="836" spans="3:13" ht="13">
      <c r="C836" s="63"/>
      <c r="E836" s="41"/>
      <c r="F836" s="41"/>
      <c r="G836" s="41"/>
      <c r="H836" s="41"/>
      <c r="L836" s="64"/>
      <c r="M836" s="65"/>
    </row>
    <row r="837" spans="3:13" ht="13">
      <c r="C837" s="63"/>
      <c r="E837" s="41"/>
      <c r="F837" s="41"/>
      <c r="G837" s="41"/>
      <c r="H837" s="41"/>
      <c r="L837" s="64"/>
      <c r="M837" s="65"/>
    </row>
    <row r="838" spans="3:13" ht="13">
      <c r="C838" s="63"/>
      <c r="E838" s="41"/>
      <c r="F838" s="41"/>
      <c r="G838" s="41"/>
      <c r="H838" s="41"/>
      <c r="L838" s="64"/>
      <c r="M838" s="65"/>
    </row>
    <row r="839" spans="3:13" ht="13">
      <c r="C839" s="63"/>
      <c r="E839" s="41"/>
      <c r="F839" s="41"/>
      <c r="G839" s="41"/>
      <c r="H839" s="41"/>
      <c r="L839" s="64"/>
      <c r="M839" s="65"/>
    </row>
    <row r="840" spans="3:13" ht="13">
      <c r="C840" s="63"/>
      <c r="E840" s="41"/>
      <c r="F840" s="41"/>
      <c r="G840" s="41"/>
      <c r="H840" s="41"/>
      <c r="L840" s="64"/>
      <c r="M840" s="65"/>
    </row>
    <row r="841" spans="3:13" ht="13">
      <c r="C841" s="63"/>
      <c r="E841" s="41"/>
      <c r="F841" s="41"/>
      <c r="G841" s="41"/>
      <c r="H841" s="41"/>
      <c r="L841" s="64"/>
      <c r="M841" s="65"/>
    </row>
    <row r="842" spans="3:13" ht="13">
      <c r="C842" s="63"/>
      <c r="E842" s="41"/>
      <c r="F842" s="41"/>
      <c r="G842" s="41"/>
      <c r="H842" s="41"/>
      <c r="L842" s="64"/>
      <c r="M842" s="65"/>
    </row>
    <row r="843" spans="3:13" ht="13">
      <c r="C843" s="63"/>
      <c r="E843" s="41"/>
      <c r="F843" s="41"/>
      <c r="G843" s="41"/>
      <c r="H843" s="41"/>
      <c r="L843" s="64"/>
      <c r="M843" s="65"/>
    </row>
    <row r="844" spans="3:13" ht="13">
      <c r="C844" s="63"/>
      <c r="E844" s="41"/>
      <c r="F844" s="41"/>
      <c r="G844" s="41"/>
      <c r="H844" s="41"/>
      <c r="L844" s="64"/>
      <c r="M844" s="65"/>
    </row>
    <row r="845" spans="3:13" ht="13">
      <c r="C845" s="63"/>
      <c r="E845" s="41"/>
      <c r="F845" s="41"/>
      <c r="G845" s="41"/>
      <c r="H845" s="41"/>
      <c r="L845" s="64"/>
      <c r="M845" s="65"/>
    </row>
    <row r="846" spans="3:13" ht="13">
      <c r="C846" s="63"/>
      <c r="E846" s="41"/>
      <c r="F846" s="41"/>
      <c r="G846" s="41"/>
      <c r="H846" s="41"/>
      <c r="L846" s="64"/>
      <c r="M846" s="65"/>
    </row>
    <row r="847" spans="3:13" ht="13">
      <c r="C847" s="63"/>
      <c r="E847" s="41"/>
      <c r="F847" s="41"/>
      <c r="G847" s="41"/>
      <c r="H847" s="41"/>
      <c r="L847" s="64"/>
      <c r="M847" s="65"/>
    </row>
    <row r="848" spans="3:13" ht="13">
      <c r="C848" s="63"/>
      <c r="E848" s="41"/>
      <c r="F848" s="41"/>
      <c r="G848" s="41"/>
      <c r="H848" s="41"/>
      <c r="L848" s="64"/>
      <c r="M848" s="65"/>
    </row>
    <row r="849" spans="3:13" ht="13">
      <c r="C849" s="63"/>
      <c r="E849" s="41"/>
      <c r="F849" s="41"/>
      <c r="G849" s="41"/>
      <c r="H849" s="41"/>
      <c r="L849" s="64"/>
      <c r="M849" s="65"/>
    </row>
    <row r="850" spans="3:13" ht="13">
      <c r="C850" s="63"/>
      <c r="E850" s="41"/>
      <c r="F850" s="41"/>
      <c r="G850" s="41"/>
      <c r="H850" s="41"/>
      <c r="L850" s="64"/>
      <c r="M850" s="65"/>
    </row>
    <row r="851" spans="3:13" ht="13">
      <c r="C851" s="63"/>
      <c r="E851" s="41"/>
      <c r="F851" s="41"/>
      <c r="G851" s="41"/>
      <c r="H851" s="41"/>
      <c r="L851" s="64"/>
      <c r="M851" s="65"/>
    </row>
    <row r="852" spans="3:13" ht="13">
      <c r="C852" s="63"/>
      <c r="E852" s="41"/>
      <c r="F852" s="41"/>
      <c r="G852" s="41"/>
      <c r="H852" s="41"/>
      <c r="L852" s="64"/>
      <c r="M852" s="65"/>
    </row>
    <row r="853" spans="3:13" ht="13">
      <c r="C853" s="63"/>
      <c r="E853" s="41"/>
      <c r="F853" s="41"/>
      <c r="G853" s="41"/>
      <c r="H853" s="41"/>
      <c r="L853" s="64"/>
      <c r="M853" s="65"/>
    </row>
    <row r="854" spans="3:13" ht="13">
      <c r="C854" s="63"/>
      <c r="E854" s="41"/>
      <c r="F854" s="41"/>
      <c r="G854" s="41"/>
      <c r="H854" s="41"/>
      <c r="L854" s="64"/>
      <c r="M854" s="65"/>
    </row>
    <row r="855" spans="3:13" ht="13">
      <c r="C855" s="63"/>
      <c r="E855" s="41"/>
      <c r="F855" s="41"/>
      <c r="G855" s="41"/>
      <c r="H855" s="41"/>
      <c r="L855" s="64"/>
      <c r="M855" s="65"/>
    </row>
    <row r="856" spans="3:13" ht="13">
      <c r="C856" s="63"/>
      <c r="E856" s="41"/>
      <c r="F856" s="41"/>
      <c r="G856" s="41"/>
      <c r="H856" s="41"/>
      <c r="L856" s="64"/>
      <c r="M856" s="65"/>
    </row>
    <row r="857" spans="3:13" ht="13">
      <c r="C857" s="63"/>
      <c r="E857" s="41"/>
      <c r="F857" s="41"/>
      <c r="G857" s="41"/>
      <c r="H857" s="41"/>
      <c r="L857" s="64"/>
      <c r="M857" s="65"/>
    </row>
    <row r="858" spans="3:13" ht="13">
      <c r="C858" s="63"/>
      <c r="E858" s="41"/>
      <c r="F858" s="41"/>
      <c r="G858" s="41"/>
      <c r="H858" s="41"/>
      <c r="L858" s="64"/>
      <c r="M858" s="65"/>
    </row>
    <row r="859" spans="3:13" ht="13">
      <c r="C859" s="63"/>
      <c r="E859" s="41"/>
      <c r="F859" s="41"/>
      <c r="G859" s="41"/>
      <c r="H859" s="41"/>
      <c r="L859" s="64"/>
      <c r="M859" s="65"/>
    </row>
    <row r="860" spans="3:13" ht="13">
      <c r="C860" s="63"/>
      <c r="E860" s="41"/>
      <c r="F860" s="41"/>
      <c r="G860" s="41"/>
      <c r="H860" s="41"/>
      <c r="L860" s="64"/>
      <c r="M860" s="65"/>
    </row>
    <row r="861" spans="3:13" ht="13">
      <c r="C861" s="63"/>
      <c r="E861" s="41"/>
      <c r="F861" s="41"/>
      <c r="G861" s="41"/>
      <c r="H861" s="41"/>
      <c r="L861" s="64"/>
      <c r="M861" s="65"/>
    </row>
    <row r="862" spans="3:13" ht="13">
      <c r="C862" s="63"/>
      <c r="E862" s="41"/>
      <c r="F862" s="41"/>
      <c r="G862" s="41"/>
      <c r="H862" s="41"/>
      <c r="L862" s="64"/>
      <c r="M862" s="65"/>
    </row>
    <row r="863" spans="3:13" ht="13">
      <c r="C863" s="63"/>
      <c r="E863" s="41"/>
      <c r="F863" s="41"/>
      <c r="G863" s="41"/>
      <c r="H863" s="41"/>
      <c r="L863" s="64"/>
      <c r="M863" s="65"/>
    </row>
    <row r="864" spans="3:13" ht="13">
      <c r="C864" s="63"/>
      <c r="E864" s="41"/>
      <c r="F864" s="41"/>
      <c r="G864" s="41"/>
      <c r="H864" s="41"/>
      <c r="L864" s="64"/>
      <c r="M864" s="65"/>
    </row>
    <row r="865" spans="3:13" ht="13">
      <c r="C865" s="63"/>
      <c r="E865" s="41"/>
      <c r="F865" s="41"/>
      <c r="G865" s="41"/>
      <c r="H865" s="41"/>
      <c r="L865" s="64"/>
      <c r="M865" s="65"/>
    </row>
    <row r="866" spans="3:13" ht="13">
      <c r="C866" s="63"/>
      <c r="E866" s="41"/>
      <c r="F866" s="41"/>
      <c r="G866" s="41"/>
      <c r="H866" s="41"/>
      <c r="L866" s="64"/>
      <c r="M866" s="65"/>
    </row>
    <row r="867" spans="3:13" ht="13">
      <c r="C867" s="63"/>
      <c r="E867" s="41"/>
      <c r="F867" s="41"/>
      <c r="G867" s="41"/>
      <c r="H867" s="41"/>
      <c r="L867" s="64"/>
      <c r="M867" s="65"/>
    </row>
    <row r="868" spans="3:13" ht="13">
      <c r="C868" s="63"/>
      <c r="E868" s="41"/>
      <c r="F868" s="41"/>
      <c r="G868" s="41"/>
      <c r="H868" s="41"/>
      <c r="L868" s="64"/>
      <c r="M868" s="65"/>
    </row>
    <row r="869" spans="3:13" ht="13">
      <c r="C869" s="63"/>
      <c r="E869" s="41"/>
      <c r="F869" s="41"/>
      <c r="G869" s="41"/>
      <c r="H869" s="41"/>
      <c r="L869" s="64"/>
      <c r="M869" s="65"/>
    </row>
    <row r="870" spans="3:13" ht="13">
      <c r="C870" s="63"/>
      <c r="E870" s="41"/>
      <c r="F870" s="41"/>
      <c r="G870" s="41"/>
      <c r="H870" s="41"/>
      <c r="L870" s="64"/>
      <c r="M870" s="65"/>
    </row>
    <row r="871" spans="3:13" ht="13">
      <c r="C871" s="63"/>
      <c r="E871" s="41"/>
      <c r="F871" s="41"/>
      <c r="G871" s="41"/>
      <c r="H871" s="41"/>
      <c r="L871" s="64"/>
      <c r="M871" s="65"/>
    </row>
    <row r="872" spans="3:13" ht="13">
      <c r="C872" s="63"/>
      <c r="E872" s="41"/>
      <c r="F872" s="41"/>
      <c r="G872" s="41"/>
      <c r="H872" s="41"/>
      <c r="L872" s="64"/>
      <c r="M872" s="65"/>
    </row>
    <row r="873" spans="3:13" ht="13">
      <c r="C873" s="63"/>
      <c r="E873" s="41"/>
      <c r="F873" s="41"/>
      <c r="G873" s="41"/>
      <c r="H873" s="41"/>
      <c r="L873" s="64"/>
      <c r="M873" s="65"/>
    </row>
    <row r="874" spans="3:13" ht="13">
      <c r="C874" s="63"/>
      <c r="E874" s="41"/>
      <c r="F874" s="41"/>
      <c r="G874" s="41"/>
      <c r="H874" s="41"/>
      <c r="L874" s="64"/>
      <c r="M874" s="65"/>
    </row>
    <row r="875" spans="3:13" ht="13">
      <c r="C875" s="63"/>
      <c r="E875" s="41"/>
      <c r="F875" s="41"/>
      <c r="G875" s="41"/>
      <c r="H875" s="41"/>
      <c r="L875" s="64"/>
      <c r="M875" s="65"/>
    </row>
    <row r="876" spans="3:13" ht="13">
      <c r="C876" s="63"/>
      <c r="E876" s="41"/>
      <c r="F876" s="41"/>
      <c r="G876" s="41"/>
      <c r="H876" s="41"/>
      <c r="L876" s="64"/>
      <c r="M876" s="65"/>
    </row>
    <row r="877" spans="3:13" ht="13">
      <c r="C877" s="63"/>
      <c r="E877" s="41"/>
      <c r="F877" s="41"/>
      <c r="G877" s="41"/>
      <c r="H877" s="41"/>
      <c r="L877" s="64"/>
      <c r="M877" s="65"/>
    </row>
    <row r="878" spans="3:13" ht="13">
      <c r="C878" s="63"/>
      <c r="E878" s="41"/>
      <c r="F878" s="41"/>
      <c r="G878" s="41"/>
      <c r="H878" s="41"/>
      <c r="L878" s="64"/>
      <c r="M878" s="65"/>
    </row>
    <row r="879" spans="3:13" ht="13">
      <c r="C879" s="63"/>
      <c r="E879" s="41"/>
      <c r="F879" s="41"/>
      <c r="G879" s="41"/>
      <c r="H879" s="41"/>
      <c r="L879" s="64"/>
      <c r="M879" s="65"/>
    </row>
    <row r="880" spans="3:13" ht="13">
      <c r="C880" s="63"/>
      <c r="E880" s="41"/>
      <c r="F880" s="41"/>
      <c r="G880" s="41"/>
      <c r="H880" s="41"/>
      <c r="L880" s="64"/>
      <c r="M880" s="65"/>
    </row>
    <row r="881" spans="3:13" ht="13">
      <c r="C881" s="63"/>
      <c r="E881" s="41"/>
      <c r="F881" s="41"/>
      <c r="G881" s="41"/>
      <c r="H881" s="41"/>
      <c r="L881" s="64"/>
      <c r="M881" s="65"/>
    </row>
    <row r="882" spans="3:13" ht="13">
      <c r="C882" s="63"/>
      <c r="E882" s="41"/>
      <c r="F882" s="41"/>
      <c r="G882" s="41"/>
      <c r="H882" s="41"/>
      <c r="L882" s="64"/>
      <c r="M882" s="65"/>
    </row>
    <row r="883" spans="3:13" ht="13">
      <c r="C883" s="63"/>
      <c r="E883" s="41"/>
      <c r="F883" s="41"/>
      <c r="G883" s="41"/>
      <c r="H883" s="41"/>
      <c r="L883" s="64"/>
      <c r="M883" s="65"/>
    </row>
    <row r="884" spans="3:13" ht="13">
      <c r="C884" s="63"/>
      <c r="E884" s="41"/>
      <c r="F884" s="41"/>
      <c r="G884" s="41"/>
      <c r="H884" s="41"/>
      <c r="L884" s="64"/>
      <c r="M884" s="65"/>
    </row>
    <row r="885" spans="3:13" ht="13">
      <c r="C885" s="63"/>
      <c r="E885" s="41"/>
      <c r="F885" s="41"/>
      <c r="G885" s="41"/>
      <c r="H885" s="41"/>
      <c r="L885" s="64"/>
      <c r="M885" s="65"/>
    </row>
    <row r="886" spans="3:13" ht="13">
      <c r="C886" s="63"/>
      <c r="E886" s="41"/>
      <c r="F886" s="41"/>
      <c r="G886" s="41"/>
      <c r="H886" s="41"/>
      <c r="L886" s="64"/>
      <c r="M886" s="65"/>
    </row>
    <row r="887" spans="3:13" ht="13">
      <c r="C887" s="63"/>
      <c r="E887" s="41"/>
      <c r="F887" s="41"/>
      <c r="G887" s="41"/>
      <c r="H887" s="41"/>
      <c r="L887" s="64"/>
      <c r="M887" s="65"/>
    </row>
    <row r="888" spans="3:13" ht="13">
      <c r="C888" s="63"/>
      <c r="E888" s="41"/>
      <c r="F888" s="41"/>
      <c r="G888" s="41"/>
      <c r="H888" s="41"/>
      <c r="L888" s="64"/>
      <c r="M888" s="65"/>
    </row>
    <row r="889" spans="3:13" ht="13">
      <c r="C889" s="63"/>
      <c r="E889" s="41"/>
      <c r="F889" s="41"/>
      <c r="G889" s="41"/>
      <c r="H889" s="41"/>
      <c r="L889" s="64"/>
      <c r="M889" s="65"/>
    </row>
    <row r="890" spans="3:13" ht="13">
      <c r="C890" s="63"/>
      <c r="E890" s="41"/>
      <c r="F890" s="41"/>
      <c r="G890" s="41"/>
      <c r="H890" s="41"/>
      <c r="L890" s="64"/>
      <c r="M890" s="65"/>
    </row>
    <row r="891" spans="3:13" ht="13">
      <c r="C891" s="63"/>
      <c r="E891" s="41"/>
      <c r="F891" s="41"/>
      <c r="G891" s="41"/>
      <c r="H891" s="41"/>
      <c r="L891" s="64"/>
      <c r="M891" s="65"/>
    </row>
    <row r="892" spans="3:13" ht="13">
      <c r="C892" s="63"/>
      <c r="E892" s="41"/>
      <c r="F892" s="41"/>
      <c r="G892" s="41"/>
      <c r="H892" s="41"/>
      <c r="L892" s="64"/>
      <c r="M892" s="65"/>
    </row>
    <row r="893" spans="3:13" ht="13">
      <c r="C893" s="63"/>
      <c r="E893" s="41"/>
      <c r="F893" s="41"/>
      <c r="G893" s="41"/>
      <c r="H893" s="41"/>
      <c r="L893" s="64"/>
      <c r="M893" s="65"/>
    </row>
    <row r="894" spans="3:13" ht="13">
      <c r="C894" s="63"/>
      <c r="E894" s="41"/>
      <c r="F894" s="41"/>
      <c r="G894" s="41"/>
      <c r="H894" s="41"/>
      <c r="L894" s="64"/>
      <c r="M894" s="65"/>
    </row>
    <row r="895" spans="3:13" ht="13">
      <c r="C895" s="63"/>
      <c r="E895" s="41"/>
      <c r="F895" s="41"/>
      <c r="G895" s="41"/>
      <c r="H895" s="41"/>
      <c r="L895" s="64"/>
      <c r="M895" s="65"/>
    </row>
    <row r="896" spans="3:13" ht="13">
      <c r="C896" s="63"/>
      <c r="E896" s="41"/>
      <c r="F896" s="41"/>
      <c r="G896" s="41"/>
      <c r="H896" s="41"/>
      <c r="L896" s="64"/>
      <c r="M896" s="65"/>
    </row>
    <row r="897" spans="3:13" ht="13">
      <c r="C897" s="63"/>
      <c r="E897" s="41"/>
      <c r="F897" s="41"/>
      <c r="G897" s="41"/>
      <c r="H897" s="41"/>
      <c r="L897" s="64"/>
      <c r="M897" s="65"/>
    </row>
    <row r="898" spans="3:13" ht="13">
      <c r="C898" s="63"/>
      <c r="E898" s="41"/>
      <c r="F898" s="41"/>
      <c r="G898" s="41"/>
      <c r="H898" s="41"/>
      <c r="L898" s="64"/>
      <c r="M898" s="65"/>
    </row>
    <row r="899" spans="3:13" ht="13">
      <c r="C899" s="63"/>
      <c r="E899" s="41"/>
      <c r="F899" s="41"/>
      <c r="G899" s="41"/>
      <c r="H899" s="41"/>
      <c r="L899" s="64"/>
      <c r="M899" s="65"/>
    </row>
    <row r="900" spans="3:13" ht="13">
      <c r="C900" s="63"/>
      <c r="E900" s="41"/>
      <c r="F900" s="41"/>
      <c r="G900" s="41"/>
      <c r="H900" s="41"/>
      <c r="L900" s="64"/>
      <c r="M900" s="65"/>
    </row>
    <row r="901" spans="3:13" ht="13">
      <c r="C901" s="63"/>
      <c r="E901" s="41"/>
      <c r="F901" s="41"/>
      <c r="G901" s="41"/>
      <c r="H901" s="41"/>
      <c r="L901" s="64"/>
      <c r="M901" s="65"/>
    </row>
    <row r="902" spans="3:13" ht="13">
      <c r="C902" s="63"/>
      <c r="E902" s="41"/>
      <c r="F902" s="41"/>
      <c r="G902" s="41"/>
      <c r="H902" s="41"/>
      <c r="L902" s="64"/>
      <c r="M902" s="65"/>
    </row>
    <row r="903" spans="3:13" ht="13">
      <c r="C903" s="63"/>
      <c r="E903" s="41"/>
      <c r="F903" s="41"/>
      <c r="G903" s="41"/>
      <c r="H903" s="41"/>
      <c r="L903" s="64"/>
      <c r="M903" s="65"/>
    </row>
    <row r="904" spans="3:13" ht="13">
      <c r="C904" s="63"/>
      <c r="E904" s="41"/>
      <c r="F904" s="41"/>
      <c r="G904" s="41"/>
      <c r="H904" s="41"/>
      <c r="L904" s="64"/>
      <c r="M904" s="65"/>
    </row>
    <row r="905" spans="3:13" ht="13">
      <c r="C905" s="63"/>
      <c r="E905" s="41"/>
      <c r="F905" s="41"/>
      <c r="G905" s="41"/>
      <c r="H905" s="41"/>
      <c r="L905" s="64"/>
      <c r="M905" s="65"/>
    </row>
    <row r="906" spans="3:13" ht="13">
      <c r="C906" s="63"/>
      <c r="E906" s="41"/>
      <c r="F906" s="41"/>
      <c r="G906" s="41"/>
      <c r="H906" s="41"/>
      <c r="L906" s="64"/>
      <c r="M906" s="65"/>
    </row>
    <row r="907" spans="3:13" ht="13">
      <c r="C907" s="63"/>
      <c r="E907" s="41"/>
      <c r="F907" s="41"/>
      <c r="G907" s="41"/>
      <c r="H907" s="41"/>
      <c r="L907" s="64"/>
      <c r="M907" s="65"/>
    </row>
    <row r="908" spans="3:13" ht="13">
      <c r="C908" s="63"/>
      <c r="E908" s="41"/>
      <c r="F908" s="41"/>
      <c r="G908" s="41"/>
      <c r="H908" s="41"/>
      <c r="L908" s="64"/>
      <c r="M908" s="65"/>
    </row>
    <row r="909" spans="3:13" ht="13">
      <c r="C909" s="63"/>
      <c r="E909" s="41"/>
      <c r="F909" s="41"/>
      <c r="G909" s="41"/>
      <c r="H909" s="41"/>
      <c r="L909" s="64"/>
      <c r="M909" s="65"/>
    </row>
    <row r="910" spans="3:13" ht="13">
      <c r="C910" s="63"/>
      <c r="E910" s="41"/>
      <c r="F910" s="41"/>
      <c r="G910" s="41"/>
      <c r="H910" s="41"/>
      <c r="L910" s="64"/>
      <c r="M910" s="65"/>
    </row>
    <row r="911" spans="3:13" ht="13">
      <c r="C911" s="63"/>
      <c r="E911" s="41"/>
      <c r="F911" s="41"/>
      <c r="G911" s="41"/>
      <c r="H911" s="41"/>
      <c r="L911" s="64"/>
      <c r="M911" s="65"/>
    </row>
    <row r="912" spans="3:13" ht="13">
      <c r="C912" s="63"/>
      <c r="E912" s="41"/>
      <c r="F912" s="41"/>
      <c r="G912" s="41"/>
      <c r="H912" s="41"/>
      <c r="L912" s="64"/>
      <c r="M912" s="65"/>
    </row>
    <row r="913" spans="3:13" ht="13">
      <c r="C913" s="63"/>
      <c r="E913" s="41"/>
      <c r="F913" s="41"/>
      <c r="G913" s="41"/>
      <c r="H913" s="41"/>
      <c r="L913" s="64"/>
      <c r="M913" s="65"/>
    </row>
    <row r="914" spans="3:13" ht="13">
      <c r="C914" s="63"/>
      <c r="E914" s="41"/>
      <c r="F914" s="41"/>
      <c r="G914" s="41"/>
      <c r="H914" s="41"/>
      <c r="L914" s="64"/>
      <c r="M914" s="65"/>
    </row>
    <row r="915" spans="3:13" ht="13">
      <c r="C915" s="63"/>
      <c r="E915" s="41"/>
      <c r="F915" s="41"/>
      <c r="G915" s="41"/>
      <c r="H915" s="41"/>
      <c r="L915" s="64"/>
      <c r="M915" s="65"/>
    </row>
    <row r="916" spans="3:13" ht="13">
      <c r="C916" s="63"/>
      <c r="E916" s="41"/>
      <c r="F916" s="41"/>
      <c r="G916" s="41"/>
      <c r="H916" s="41"/>
      <c r="L916" s="64"/>
      <c r="M916" s="65"/>
    </row>
    <row r="917" spans="3:13" ht="13">
      <c r="C917" s="63"/>
      <c r="E917" s="41"/>
      <c r="F917" s="41"/>
      <c r="G917" s="41"/>
      <c r="H917" s="41"/>
      <c r="L917" s="64"/>
      <c r="M917" s="65"/>
    </row>
    <row r="918" spans="3:13" ht="13">
      <c r="C918" s="63"/>
      <c r="E918" s="41"/>
      <c r="F918" s="41"/>
      <c r="G918" s="41"/>
      <c r="H918" s="41"/>
      <c r="L918" s="64"/>
      <c r="M918" s="65"/>
    </row>
    <row r="919" spans="3:13" ht="13">
      <c r="C919" s="63"/>
      <c r="E919" s="41"/>
      <c r="F919" s="41"/>
      <c r="G919" s="41"/>
      <c r="H919" s="41"/>
      <c r="L919" s="64"/>
      <c r="M919" s="65"/>
    </row>
    <row r="920" spans="3:13" ht="13">
      <c r="C920" s="63"/>
      <c r="E920" s="41"/>
      <c r="F920" s="41"/>
      <c r="G920" s="41"/>
      <c r="H920" s="41"/>
      <c r="L920" s="64"/>
      <c r="M920" s="65"/>
    </row>
    <row r="921" spans="3:13" ht="13">
      <c r="C921" s="63"/>
      <c r="E921" s="41"/>
      <c r="F921" s="41"/>
      <c r="G921" s="41"/>
      <c r="H921" s="41"/>
      <c r="L921" s="64"/>
      <c r="M921" s="65"/>
    </row>
    <row r="922" spans="3:13" ht="13">
      <c r="C922" s="63"/>
      <c r="E922" s="41"/>
      <c r="F922" s="41"/>
      <c r="G922" s="41"/>
      <c r="H922" s="41"/>
      <c r="L922" s="64"/>
      <c r="M922" s="65"/>
    </row>
    <row r="923" spans="3:13" ht="13">
      <c r="C923" s="63"/>
      <c r="E923" s="41"/>
      <c r="F923" s="41"/>
      <c r="G923" s="41"/>
      <c r="H923" s="41"/>
      <c r="L923" s="64"/>
      <c r="M923" s="65"/>
    </row>
    <row r="924" spans="3:13" ht="13">
      <c r="C924" s="63"/>
      <c r="E924" s="41"/>
      <c r="F924" s="41"/>
      <c r="G924" s="41"/>
      <c r="H924" s="41"/>
      <c r="L924" s="64"/>
      <c r="M924" s="65"/>
    </row>
    <row r="925" spans="3:13" ht="13">
      <c r="C925" s="63"/>
      <c r="E925" s="41"/>
      <c r="F925" s="41"/>
      <c r="G925" s="41"/>
      <c r="H925" s="41"/>
      <c r="L925" s="64"/>
      <c r="M925" s="65"/>
    </row>
    <row r="926" spans="3:13" ht="13">
      <c r="C926" s="63"/>
      <c r="E926" s="41"/>
      <c r="F926" s="41"/>
      <c r="G926" s="41"/>
      <c r="H926" s="41"/>
      <c r="L926" s="64"/>
      <c r="M926" s="65"/>
    </row>
    <row r="927" spans="3:13" ht="13">
      <c r="C927" s="63"/>
      <c r="E927" s="41"/>
      <c r="F927" s="41"/>
      <c r="G927" s="41"/>
      <c r="H927" s="41"/>
      <c r="L927" s="64"/>
      <c r="M927" s="65"/>
    </row>
    <row r="928" spans="3:13" ht="13">
      <c r="C928" s="63"/>
      <c r="E928" s="41"/>
      <c r="F928" s="41"/>
      <c r="G928" s="41"/>
      <c r="H928" s="41"/>
      <c r="L928" s="64"/>
      <c r="M928" s="65"/>
    </row>
    <row r="929" spans="3:13" ht="13">
      <c r="C929" s="63"/>
      <c r="E929" s="41"/>
      <c r="F929" s="41"/>
      <c r="G929" s="41"/>
      <c r="H929" s="41"/>
      <c r="L929" s="64"/>
      <c r="M929" s="65"/>
    </row>
    <row r="930" spans="3:13" ht="13">
      <c r="C930" s="63"/>
      <c r="E930" s="41"/>
      <c r="F930" s="41"/>
      <c r="G930" s="41"/>
      <c r="H930" s="41"/>
      <c r="L930" s="64"/>
      <c r="M930" s="65"/>
    </row>
    <row r="931" spans="3:13" ht="13">
      <c r="C931" s="63"/>
      <c r="E931" s="41"/>
      <c r="F931" s="41"/>
      <c r="G931" s="41"/>
      <c r="H931" s="41"/>
      <c r="L931" s="64"/>
      <c r="M931" s="65"/>
    </row>
    <row r="932" spans="3:13" ht="13">
      <c r="C932" s="63"/>
      <c r="E932" s="41"/>
      <c r="F932" s="41"/>
      <c r="G932" s="41"/>
      <c r="H932" s="41"/>
      <c r="L932" s="64"/>
      <c r="M932" s="65"/>
    </row>
    <row r="933" spans="3:13" ht="13">
      <c r="C933" s="63"/>
      <c r="E933" s="41"/>
      <c r="F933" s="41"/>
      <c r="G933" s="41"/>
      <c r="H933" s="41"/>
      <c r="L933" s="64"/>
      <c r="M933" s="65"/>
    </row>
    <row r="934" spans="3:13" ht="13">
      <c r="C934" s="63"/>
      <c r="E934" s="41"/>
      <c r="F934" s="41"/>
      <c r="G934" s="41"/>
      <c r="H934" s="41"/>
      <c r="L934" s="64"/>
      <c r="M934" s="65"/>
    </row>
    <row r="935" spans="3:13" ht="13">
      <c r="C935" s="63"/>
      <c r="E935" s="41"/>
      <c r="F935" s="41"/>
      <c r="G935" s="41"/>
      <c r="H935" s="41"/>
      <c r="L935" s="64"/>
      <c r="M935" s="65"/>
    </row>
    <row r="936" spans="3:13" ht="13">
      <c r="C936" s="63"/>
      <c r="E936" s="41"/>
      <c r="F936" s="41"/>
      <c r="G936" s="41"/>
      <c r="H936" s="41"/>
      <c r="L936" s="64"/>
      <c r="M936" s="65"/>
    </row>
    <row r="937" spans="3:13" ht="13">
      <c r="C937" s="63"/>
      <c r="E937" s="41"/>
      <c r="F937" s="41"/>
      <c r="G937" s="41"/>
      <c r="H937" s="41"/>
      <c r="L937" s="64"/>
      <c r="M937" s="65"/>
    </row>
    <row r="938" spans="3:13" ht="13">
      <c r="C938" s="63"/>
      <c r="E938" s="41"/>
      <c r="F938" s="41"/>
      <c r="G938" s="41"/>
      <c r="H938" s="41"/>
      <c r="L938" s="64"/>
      <c r="M938" s="65"/>
    </row>
    <row r="939" spans="3:13" ht="13">
      <c r="C939" s="63"/>
      <c r="E939" s="41"/>
      <c r="F939" s="41"/>
      <c r="G939" s="41"/>
      <c r="H939" s="41"/>
      <c r="L939" s="64"/>
      <c r="M939" s="65"/>
    </row>
    <row r="940" spans="3:13" ht="13">
      <c r="C940" s="63"/>
      <c r="E940" s="41"/>
      <c r="F940" s="41"/>
      <c r="G940" s="41"/>
      <c r="H940" s="41"/>
      <c r="L940" s="64"/>
      <c r="M940" s="65"/>
    </row>
    <row r="941" spans="3:13" ht="13">
      <c r="C941" s="63"/>
      <c r="E941" s="41"/>
      <c r="F941" s="41"/>
      <c r="G941" s="41"/>
      <c r="H941" s="41"/>
      <c r="L941" s="64"/>
      <c r="M941" s="65"/>
    </row>
    <row r="942" spans="3:13" ht="13">
      <c r="C942" s="63"/>
      <c r="E942" s="41"/>
      <c r="F942" s="41"/>
      <c r="G942" s="41"/>
      <c r="H942" s="41"/>
      <c r="L942" s="64"/>
      <c r="M942" s="65"/>
    </row>
    <row r="943" spans="3:13" ht="13">
      <c r="C943" s="63"/>
      <c r="E943" s="41"/>
      <c r="F943" s="41"/>
      <c r="G943" s="41"/>
      <c r="H943" s="41"/>
      <c r="L943" s="64"/>
      <c r="M943" s="65"/>
    </row>
    <row r="944" spans="3:13" ht="13">
      <c r="C944" s="63"/>
      <c r="E944" s="41"/>
      <c r="F944" s="41"/>
      <c r="G944" s="41"/>
      <c r="H944" s="41"/>
      <c r="L944" s="64"/>
      <c r="M944" s="65"/>
    </row>
    <row r="945" spans="3:13" ht="13">
      <c r="C945" s="63"/>
      <c r="E945" s="41"/>
      <c r="F945" s="41"/>
      <c r="G945" s="41"/>
      <c r="H945" s="41"/>
      <c r="L945" s="64"/>
      <c r="M945" s="65"/>
    </row>
    <row r="946" spans="3:13" ht="13">
      <c r="C946" s="63"/>
      <c r="E946" s="41"/>
      <c r="F946" s="41"/>
      <c r="G946" s="41"/>
      <c r="H946" s="41"/>
      <c r="L946" s="64"/>
      <c r="M946" s="65"/>
    </row>
    <row r="947" spans="3:13" ht="13">
      <c r="C947" s="63"/>
      <c r="E947" s="41"/>
      <c r="F947" s="41"/>
      <c r="G947" s="41"/>
      <c r="H947" s="41"/>
      <c r="L947" s="64"/>
      <c r="M947" s="65"/>
    </row>
    <row r="948" spans="3:13" ht="13">
      <c r="C948" s="63"/>
      <c r="E948" s="41"/>
      <c r="F948" s="41"/>
      <c r="G948" s="41"/>
      <c r="H948" s="41"/>
      <c r="L948" s="64"/>
      <c r="M948" s="65"/>
    </row>
    <row r="949" spans="3:13" ht="13">
      <c r="C949" s="63"/>
      <c r="E949" s="41"/>
      <c r="F949" s="41"/>
      <c r="G949" s="41"/>
      <c r="H949" s="41"/>
      <c r="L949" s="64"/>
      <c r="M949" s="65"/>
    </row>
    <row r="950" spans="3:13" ht="13">
      <c r="C950" s="63"/>
      <c r="E950" s="41"/>
      <c r="F950" s="41"/>
      <c r="G950" s="41"/>
      <c r="H950" s="41"/>
      <c r="L950" s="64"/>
      <c r="M950" s="65"/>
    </row>
    <row r="951" spans="3:13" ht="13">
      <c r="C951" s="63"/>
      <c r="E951" s="41"/>
      <c r="F951" s="41"/>
      <c r="G951" s="41"/>
      <c r="H951" s="41"/>
      <c r="L951" s="64"/>
      <c r="M951" s="65"/>
    </row>
    <row r="952" spans="3:13" ht="13">
      <c r="C952" s="63"/>
      <c r="E952" s="41"/>
      <c r="F952" s="41"/>
      <c r="G952" s="41"/>
      <c r="H952" s="41"/>
      <c r="L952" s="64"/>
      <c r="M952" s="65"/>
    </row>
    <row r="953" spans="3:13" ht="13">
      <c r="C953" s="63"/>
      <c r="E953" s="41"/>
      <c r="F953" s="41"/>
      <c r="G953" s="41"/>
      <c r="H953" s="41"/>
      <c r="L953" s="64"/>
      <c r="M953" s="65"/>
    </row>
    <row r="954" spans="3:13" ht="13">
      <c r="C954" s="63"/>
      <c r="E954" s="41"/>
      <c r="F954" s="41"/>
      <c r="G954" s="41"/>
      <c r="H954" s="41"/>
      <c r="L954" s="64"/>
      <c r="M954" s="65"/>
    </row>
    <row r="955" spans="3:13" ht="13">
      <c r="C955" s="63"/>
      <c r="E955" s="41"/>
      <c r="F955" s="41"/>
      <c r="G955" s="41"/>
      <c r="H955" s="41"/>
      <c r="L955" s="64"/>
      <c r="M955" s="65"/>
    </row>
    <row r="956" spans="3:13" ht="13">
      <c r="C956" s="63"/>
      <c r="E956" s="41"/>
      <c r="F956" s="41"/>
      <c r="G956" s="41"/>
      <c r="H956" s="41"/>
      <c r="L956" s="64"/>
      <c r="M956" s="65"/>
    </row>
    <row r="957" spans="3:13" ht="13">
      <c r="C957" s="63"/>
      <c r="E957" s="41"/>
      <c r="F957" s="41"/>
      <c r="G957" s="41"/>
      <c r="H957" s="41"/>
      <c r="L957" s="64"/>
      <c r="M957" s="65"/>
    </row>
    <row r="958" spans="3:13" ht="13">
      <c r="C958" s="63"/>
      <c r="E958" s="41"/>
      <c r="F958" s="41"/>
      <c r="G958" s="41"/>
      <c r="H958" s="41"/>
      <c r="L958" s="64"/>
      <c r="M958" s="65"/>
    </row>
    <row r="959" spans="3:13" ht="13">
      <c r="C959" s="63"/>
      <c r="E959" s="41"/>
      <c r="F959" s="41"/>
      <c r="G959" s="41"/>
      <c r="H959" s="41"/>
      <c r="L959" s="64"/>
      <c r="M959" s="65"/>
    </row>
    <row r="960" spans="3:13" ht="13">
      <c r="C960" s="63"/>
      <c r="E960" s="41"/>
      <c r="F960" s="41"/>
      <c r="G960" s="41"/>
      <c r="H960" s="41"/>
      <c r="L960" s="64"/>
      <c r="M960" s="65"/>
    </row>
    <row r="961" spans="3:13" ht="13">
      <c r="C961" s="63"/>
      <c r="E961" s="41"/>
      <c r="F961" s="41"/>
      <c r="G961" s="41"/>
      <c r="H961" s="41"/>
      <c r="L961" s="64"/>
      <c r="M961" s="65"/>
    </row>
    <row r="962" spans="3:13" ht="13">
      <c r="C962" s="63"/>
      <c r="E962" s="41"/>
      <c r="F962" s="41"/>
      <c r="G962" s="41"/>
      <c r="H962" s="41"/>
      <c r="L962" s="64"/>
      <c r="M962" s="65"/>
    </row>
    <row r="963" spans="3:13" ht="13">
      <c r="C963" s="63"/>
      <c r="E963" s="41"/>
      <c r="F963" s="41"/>
      <c r="G963" s="41"/>
      <c r="H963" s="41"/>
      <c r="L963" s="64"/>
      <c r="M963" s="65"/>
    </row>
    <row r="964" spans="3:13" ht="13">
      <c r="C964" s="63"/>
      <c r="E964" s="41"/>
      <c r="F964" s="41"/>
      <c r="G964" s="41"/>
      <c r="H964" s="41"/>
      <c r="L964" s="64"/>
      <c r="M964" s="65"/>
    </row>
    <row r="965" spans="3:13" ht="13">
      <c r="C965" s="63"/>
      <c r="E965" s="41"/>
      <c r="F965" s="41"/>
      <c r="G965" s="41"/>
      <c r="H965" s="41"/>
      <c r="L965" s="64"/>
      <c r="M965" s="65"/>
    </row>
    <row r="966" spans="3:13" ht="13">
      <c r="C966" s="63"/>
      <c r="E966" s="41"/>
      <c r="F966" s="41"/>
      <c r="G966" s="41"/>
      <c r="H966" s="41"/>
      <c r="L966" s="64"/>
      <c r="M966" s="65"/>
    </row>
    <row r="967" spans="3:13" ht="13">
      <c r="C967" s="63"/>
      <c r="E967" s="41"/>
      <c r="F967" s="41"/>
      <c r="G967" s="41"/>
      <c r="H967" s="41"/>
      <c r="L967" s="64"/>
      <c r="M967" s="65"/>
    </row>
    <row r="968" spans="3:13" ht="13">
      <c r="C968" s="63"/>
      <c r="E968" s="41"/>
      <c r="F968" s="41"/>
      <c r="G968" s="41"/>
      <c r="H968" s="41"/>
      <c r="L968" s="64"/>
      <c r="M968" s="65"/>
    </row>
    <row r="969" spans="3:13" ht="13">
      <c r="C969" s="63"/>
      <c r="E969" s="41"/>
      <c r="F969" s="41"/>
      <c r="G969" s="41"/>
      <c r="H969" s="41"/>
      <c r="L969" s="64"/>
      <c r="M969" s="65"/>
    </row>
    <row r="970" spans="3:13" ht="13">
      <c r="C970" s="63"/>
      <c r="E970" s="41"/>
      <c r="F970" s="41"/>
      <c r="G970" s="41"/>
      <c r="H970" s="41"/>
      <c r="L970" s="64"/>
      <c r="M970" s="65"/>
    </row>
    <row r="971" spans="3:13" ht="13">
      <c r="C971" s="63"/>
      <c r="E971" s="41"/>
      <c r="F971" s="41"/>
      <c r="G971" s="41"/>
      <c r="H971" s="41"/>
      <c r="L971" s="64"/>
      <c r="M971" s="65"/>
    </row>
    <row r="972" spans="3:13" ht="13">
      <c r="C972" s="63"/>
      <c r="E972" s="41"/>
      <c r="F972" s="41"/>
      <c r="G972" s="41"/>
      <c r="H972" s="41"/>
      <c r="L972" s="64"/>
      <c r="M972" s="65"/>
    </row>
    <row r="973" spans="3:13" ht="13">
      <c r="C973" s="63"/>
      <c r="E973" s="41"/>
      <c r="F973" s="41"/>
      <c r="G973" s="41"/>
      <c r="H973" s="41"/>
      <c r="L973" s="64"/>
      <c r="M973" s="65"/>
    </row>
    <row r="974" spans="3:13" ht="13">
      <c r="C974" s="63"/>
      <c r="E974" s="41"/>
      <c r="F974" s="41"/>
      <c r="G974" s="41"/>
      <c r="H974" s="41"/>
      <c r="L974" s="64"/>
      <c r="M974" s="65"/>
    </row>
    <row r="975" spans="3:13" ht="13">
      <c r="C975" s="63"/>
      <c r="E975" s="41"/>
      <c r="F975" s="41"/>
      <c r="G975" s="41"/>
      <c r="H975" s="41"/>
      <c r="L975" s="64"/>
      <c r="M975" s="65"/>
    </row>
    <row r="976" spans="3:13" ht="13">
      <c r="C976" s="63"/>
      <c r="E976" s="41"/>
      <c r="F976" s="41"/>
      <c r="G976" s="41"/>
      <c r="H976" s="41"/>
      <c r="L976" s="64"/>
      <c r="M976" s="65"/>
    </row>
    <row r="977" spans="3:13" ht="13">
      <c r="C977" s="63"/>
      <c r="E977" s="41"/>
      <c r="F977" s="41"/>
      <c r="G977" s="41"/>
      <c r="H977" s="41"/>
      <c r="L977" s="64"/>
      <c r="M977" s="65"/>
    </row>
    <row r="978" spans="3:13" ht="13">
      <c r="C978" s="63"/>
      <c r="E978" s="41"/>
      <c r="F978" s="41"/>
      <c r="G978" s="41"/>
      <c r="H978" s="41"/>
      <c r="L978" s="64"/>
      <c r="M978" s="65"/>
    </row>
    <row r="979" spans="3:13" ht="13">
      <c r="C979" s="63"/>
      <c r="E979" s="41"/>
      <c r="F979" s="41"/>
      <c r="G979" s="41"/>
      <c r="H979" s="41"/>
      <c r="L979" s="64"/>
      <c r="M979" s="65"/>
    </row>
    <row r="980" spans="3:13" ht="13">
      <c r="C980" s="63"/>
      <c r="E980" s="41"/>
      <c r="F980" s="41"/>
      <c r="G980" s="41"/>
      <c r="H980" s="41"/>
      <c r="L980" s="64"/>
      <c r="M980" s="65"/>
    </row>
    <row r="981" spans="3:13" ht="13">
      <c r="C981" s="63"/>
      <c r="E981" s="41"/>
      <c r="F981" s="41"/>
      <c r="G981" s="41"/>
      <c r="H981" s="41"/>
      <c r="L981" s="64"/>
      <c r="M981" s="65"/>
    </row>
    <row r="982" spans="3:13" ht="13">
      <c r="C982" s="63"/>
      <c r="E982" s="41"/>
      <c r="F982" s="41"/>
      <c r="G982" s="41"/>
      <c r="H982" s="41"/>
      <c r="L982" s="64"/>
      <c r="M982" s="65"/>
    </row>
    <row r="983" spans="3:13" ht="13">
      <c r="C983" s="63"/>
      <c r="E983" s="41"/>
      <c r="F983" s="41"/>
      <c r="G983" s="41"/>
      <c r="H983" s="41"/>
      <c r="L983" s="64"/>
      <c r="M983" s="65"/>
    </row>
    <row r="984" spans="3:13" ht="13">
      <c r="C984" s="63"/>
      <c r="E984" s="41"/>
      <c r="F984" s="41"/>
      <c r="G984" s="41"/>
      <c r="H984" s="41"/>
      <c r="L984" s="64"/>
      <c r="M984" s="65"/>
    </row>
    <row r="985" spans="3:13" ht="13">
      <c r="C985" s="63"/>
      <c r="E985" s="41"/>
      <c r="F985" s="41"/>
      <c r="G985" s="41"/>
      <c r="H985" s="41"/>
      <c r="L985" s="64"/>
      <c r="M985" s="65"/>
    </row>
    <row r="986" spans="3:13" ht="13">
      <c r="C986" s="63"/>
      <c r="E986" s="41"/>
      <c r="F986" s="41"/>
      <c r="G986" s="41"/>
      <c r="H986" s="41"/>
      <c r="L986" s="64"/>
      <c r="M986" s="65"/>
    </row>
    <row r="987" spans="3:13" ht="13">
      <c r="C987" s="63"/>
      <c r="E987" s="41"/>
      <c r="F987" s="41"/>
      <c r="G987" s="41"/>
      <c r="H987" s="41"/>
      <c r="L987" s="64"/>
      <c r="M987" s="65"/>
    </row>
    <row r="988" spans="3:13" ht="13">
      <c r="C988" s="63"/>
      <c r="E988" s="41"/>
      <c r="F988" s="41"/>
      <c r="G988" s="41"/>
      <c r="H988" s="41"/>
      <c r="L988" s="64"/>
      <c r="M988" s="65"/>
    </row>
    <row r="989" spans="3:13" ht="13">
      <c r="C989" s="63"/>
      <c r="E989" s="41"/>
      <c r="F989" s="41"/>
      <c r="G989" s="41"/>
      <c r="H989" s="41"/>
      <c r="L989" s="64"/>
      <c r="M989" s="65"/>
    </row>
    <row r="990" spans="3:13" ht="13">
      <c r="C990" s="63"/>
      <c r="E990" s="41"/>
      <c r="F990" s="41"/>
      <c r="G990" s="41"/>
      <c r="H990" s="41"/>
      <c r="L990" s="64"/>
      <c r="M990" s="65"/>
    </row>
    <row r="991" spans="3:13" ht="13">
      <c r="C991" s="63"/>
      <c r="E991" s="41"/>
      <c r="F991" s="41"/>
      <c r="G991" s="41"/>
      <c r="H991" s="41"/>
      <c r="L991" s="64"/>
      <c r="M991" s="65"/>
    </row>
    <row r="992" spans="3:13" ht="13">
      <c r="C992" s="63"/>
      <c r="E992" s="41"/>
      <c r="F992" s="41"/>
      <c r="G992" s="41"/>
      <c r="H992" s="41"/>
      <c r="L992" s="64"/>
      <c r="M992" s="65"/>
    </row>
    <row r="993" spans="3:13" ht="13">
      <c r="C993" s="63"/>
      <c r="E993" s="41"/>
      <c r="F993" s="41"/>
      <c r="G993" s="41"/>
      <c r="H993" s="41"/>
      <c r="L993" s="64"/>
      <c r="M993" s="65"/>
    </row>
    <row r="994" spans="3:13" ht="13">
      <c r="C994" s="63"/>
      <c r="E994" s="41"/>
      <c r="F994" s="41"/>
      <c r="G994" s="41"/>
      <c r="H994" s="41"/>
      <c r="L994" s="64"/>
      <c r="M994" s="65"/>
    </row>
    <row r="995" spans="3:13" ht="13">
      <c r="C995" s="63"/>
      <c r="E995" s="41"/>
      <c r="F995" s="41"/>
      <c r="G995" s="41"/>
      <c r="H995" s="41"/>
      <c r="L995" s="64"/>
      <c r="M995" s="65"/>
    </row>
    <row r="996" spans="3:13" ht="13">
      <c r="C996" s="63"/>
      <c r="E996" s="41"/>
      <c r="F996" s="41"/>
      <c r="G996" s="41"/>
      <c r="H996" s="41"/>
      <c r="L996" s="64"/>
      <c r="M996" s="65"/>
    </row>
    <row r="997" spans="3:13" ht="13">
      <c r="C997" s="63"/>
      <c r="E997" s="41"/>
      <c r="F997" s="41"/>
      <c r="G997" s="41"/>
      <c r="H997" s="41"/>
      <c r="L997" s="64"/>
      <c r="M997" s="65"/>
    </row>
    <row r="998" spans="3:13" ht="13">
      <c r="C998" s="63"/>
      <c r="E998" s="41"/>
      <c r="F998" s="41"/>
      <c r="G998" s="41"/>
      <c r="H998" s="41"/>
      <c r="L998" s="64"/>
      <c r="M998" s="65"/>
    </row>
    <row r="999" spans="3:13" ht="13">
      <c r="C999" s="63"/>
      <c r="E999" s="41"/>
      <c r="F999" s="41"/>
      <c r="G999" s="41"/>
      <c r="H999" s="41"/>
      <c r="L999" s="64"/>
      <c r="M999" s="65"/>
    </row>
    <row r="1000" spans="3:13" ht="13">
      <c r="C1000" s="63"/>
      <c r="E1000" s="41"/>
      <c r="F1000" s="41"/>
      <c r="G1000" s="41"/>
      <c r="H1000" s="41"/>
      <c r="L1000" s="64"/>
      <c r="M1000" s="65"/>
    </row>
  </sheetData>
  <autoFilter ref="A1:L27" xr:uid="{00000000-0009-0000-0000-000003000000}"/>
  <customSheetViews>
    <customSheetView guid="{B8519574-77FB-49A0-940D-FDADA7009AF9}" filter="1" showAutoFilter="1">
      <pageMargins left="0.7" right="0.7" top="0.75" bottom="0.75" header="0.3" footer="0.3"/>
      <autoFilter ref="A1:L27" xr:uid="{00000000-0000-0000-0000-000000000000}"/>
    </customSheetView>
  </customSheetView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M1000"/>
  <sheetViews>
    <sheetView workbookViewId="0">
      <pane xSplit="1" ySplit="1" topLeftCell="C26" activePane="bottomRight" state="frozen"/>
      <selection pane="topRight" activeCell="B1" sqref="B1"/>
      <selection pane="bottomLeft" activeCell="A2" sqref="A2"/>
      <selection pane="bottomRight" activeCell="E27" sqref="E27:I27"/>
    </sheetView>
  </sheetViews>
  <sheetFormatPr baseColWidth="10" defaultColWidth="14.5" defaultRowHeight="15.75" customHeight="1"/>
  <cols>
    <col min="1" max="1" width="29.1640625" customWidth="1"/>
    <col min="2" max="2" width="14.5" hidden="1"/>
    <col min="3" max="3" width="19.5" customWidth="1"/>
    <col min="5" max="5" width="15.83203125" customWidth="1"/>
    <col min="6" max="6" width="20.6640625" customWidth="1"/>
    <col min="9" max="9" width="25.5" customWidth="1"/>
    <col min="11" max="11" width="21.6640625" customWidth="1"/>
    <col min="12" max="12" width="62" customWidth="1"/>
    <col min="13" max="13" width="49.5" customWidth="1"/>
  </cols>
  <sheetData>
    <row r="1" spans="1:13" ht="15">
      <c r="A1" s="66" t="s">
        <v>175</v>
      </c>
      <c r="B1" s="13" t="s">
        <v>46</v>
      </c>
      <c r="C1" s="42" t="s">
        <v>109</v>
      </c>
      <c r="D1" s="14" t="s">
        <v>47</v>
      </c>
      <c r="E1" s="13" t="s">
        <v>48</v>
      </c>
      <c r="F1" s="13" t="s">
        <v>49</v>
      </c>
      <c r="G1" s="13" t="s">
        <v>50</v>
      </c>
      <c r="H1" s="13" t="s">
        <v>51</v>
      </c>
      <c r="I1" s="13" t="s">
        <v>52</v>
      </c>
      <c r="J1" s="15" t="s">
        <v>53</v>
      </c>
      <c r="K1" s="15" t="s">
        <v>54</v>
      </c>
      <c r="L1" s="43" t="s">
        <v>55</v>
      </c>
      <c r="M1" s="67" t="s">
        <v>176</v>
      </c>
    </row>
    <row r="2" spans="1:13" ht="70">
      <c r="A2" s="40" t="s">
        <v>63</v>
      </c>
      <c r="B2" s="45"/>
      <c r="C2" s="40" t="s">
        <v>111</v>
      </c>
      <c r="D2" s="68" t="s">
        <v>112</v>
      </c>
      <c r="E2" s="69">
        <v>3</v>
      </c>
      <c r="F2" s="70">
        <v>2</v>
      </c>
      <c r="G2" s="70">
        <v>3</v>
      </c>
      <c r="H2" s="70">
        <v>3</v>
      </c>
      <c r="I2" s="71">
        <v>1</v>
      </c>
      <c r="J2" s="50">
        <f t="shared" ref="J2:J18" si="0">AVERAGE(E2:I2)</f>
        <v>2.4</v>
      </c>
      <c r="K2" s="40" t="s">
        <v>177</v>
      </c>
      <c r="L2" s="31" t="s">
        <v>178</v>
      </c>
      <c r="M2" s="44" t="s">
        <v>179</v>
      </c>
    </row>
    <row r="3" spans="1:13" ht="70">
      <c r="A3" s="40" t="s">
        <v>85</v>
      </c>
      <c r="B3" s="45"/>
      <c r="C3" s="40" t="s">
        <v>111</v>
      </c>
      <c r="D3" s="68" t="s">
        <v>112</v>
      </c>
      <c r="E3" s="54">
        <v>3</v>
      </c>
      <c r="F3" s="54">
        <v>3</v>
      </c>
      <c r="G3" s="54">
        <v>3</v>
      </c>
      <c r="H3" s="54">
        <v>3</v>
      </c>
      <c r="I3" s="40">
        <v>3</v>
      </c>
      <c r="J3" s="50">
        <f t="shared" si="0"/>
        <v>3</v>
      </c>
      <c r="K3" s="40" t="b">
        <v>1</v>
      </c>
      <c r="L3" s="52" t="s">
        <v>180</v>
      </c>
      <c r="M3" s="44" t="s">
        <v>181</v>
      </c>
    </row>
    <row r="4" spans="1:13" ht="75">
      <c r="A4" s="40" t="s">
        <v>91</v>
      </c>
      <c r="B4" s="45"/>
      <c r="C4" s="40" t="s">
        <v>111</v>
      </c>
      <c r="D4" s="68" t="s">
        <v>112</v>
      </c>
      <c r="E4" s="48">
        <v>4</v>
      </c>
      <c r="F4" s="49">
        <v>3</v>
      </c>
      <c r="G4" s="49">
        <v>4</v>
      </c>
      <c r="H4" s="49">
        <v>3</v>
      </c>
      <c r="I4" s="40">
        <v>3</v>
      </c>
      <c r="J4" s="50">
        <f t="shared" si="0"/>
        <v>3.4</v>
      </c>
      <c r="K4" s="40" t="b">
        <v>1</v>
      </c>
      <c r="L4" s="52" t="s">
        <v>182</v>
      </c>
      <c r="M4" s="44" t="s">
        <v>183</v>
      </c>
    </row>
    <row r="5" spans="1:13" ht="285">
      <c r="A5" s="40" t="s">
        <v>93</v>
      </c>
      <c r="B5" s="45"/>
      <c r="C5" s="40" t="s">
        <v>119</v>
      </c>
      <c r="D5" s="40" t="s">
        <v>112</v>
      </c>
      <c r="E5" s="54">
        <v>4</v>
      </c>
      <c r="F5" s="54">
        <v>5</v>
      </c>
      <c r="G5" s="54">
        <v>2</v>
      </c>
      <c r="H5" s="54">
        <v>2</v>
      </c>
      <c r="I5" s="54">
        <v>3</v>
      </c>
      <c r="J5" s="50">
        <f t="shared" si="0"/>
        <v>3.2</v>
      </c>
      <c r="K5" s="72">
        <v>1</v>
      </c>
      <c r="L5" s="55" t="s">
        <v>184</v>
      </c>
      <c r="M5" s="67" t="s">
        <v>185</v>
      </c>
    </row>
    <row r="6" spans="1:13" ht="84">
      <c r="A6" s="40" t="s">
        <v>103</v>
      </c>
      <c r="B6" s="45"/>
      <c r="C6" s="40" t="s">
        <v>186</v>
      </c>
      <c r="D6" s="68" t="s">
        <v>123</v>
      </c>
      <c r="E6" s="54">
        <v>3</v>
      </c>
      <c r="F6" s="54">
        <v>2</v>
      </c>
      <c r="G6" s="54">
        <v>2</v>
      </c>
      <c r="H6" s="54">
        <v>3</v>
      </c>
      <c r="I6" s="54">
        <v>3</v>
      </c>
      <c r="J6" s="50">
        <f t="shared" si="0"/>
        <v>2.6</v>
      </c>
      <c r="K6" s="51">
        <v>1</v>
      </c>
      <c r="L6" s="56" t="s">
        <v>187</v>
      </c>
      <c r="M6" s="44" t="s">
        <v>188</v>
      </c>
    </row>
    <row r="7" spans="1:13" ht="56">
      <c r="A7" s="40" t="s">
        <v>105</v>
      </c>
      <c r="B7" s="45"/>
      <c r="C7" s="40" t="s">
        <v>111</v>
      </c>
      <c r="D7" s="68" t="s">
        <v>123</v>
      </c>
      <c r="E7" s="48">
        <v>2</v>
      </c>
      <c r="F7" s="49">
        <v>2</v>
      </c>
      <c r="G7" s="49">
        <v>3</v>
      </c>
      <c r="H7" s="49">
        <v>3</v>
      </c>
      <c r="I7" s="40">
        <v>3</v>
      </c>
      <c r="J7" s="50">
        <f t="shared" si="0"/>
        <v>2.6</v>
      </c>
      <c r="K7" s="51">
        <v>1</v>
      </c>
      <c r="L7" s="35" t="s">
        <v>189</v>
      </c>
      <c r="M7" s="44" t="s">
        <v>190</v>
      </c>
    </row>
    <row r="8" spans="1:13" ht="168">
      <c r="A8" s="40" t="s">
        <v>59</v>
      </c>
      <c r="B8" s="45"/>
      <c r="C8" s="40" t="s">
        <v>186</v>
      </c>
      <c r="D8" s="40" t="s">
        <v>123</v>
      </c>
      <c r="E8" s="54">
        <v>4</v>
      </c>
      <c r="F8" s="49">
        <v>4</v>
      </c>
      <c r="G8" s="54">
        <v>4</v>
      </c>
      <c r="H8" s="54">
        <v>4</v>
      </c>
      <c r="I8" s="40">
        <v>4</v>
      </c>
      <c r="J8" s="50">
        <f t="shared" si="0"/>
        <v>4</v>
      </c>
      <c r="K8" s="51">
        <v>1</v>
      </c>
      <c r="L8" s="57" t="s">
        <v>191</v>
      </c>
      <c r="M8" s="44" t="s">
        <v>192</v>
      </c>
    </row>
    <row r="9" spans="1:13" ht="140">
      <c r="A9" s="40" t="s">
        <v>101</v>
      </c>
      <c r="B9" s="45"/>
      <c r="C9" s="40" t="s">
        <v>186</v>
      </c>
      <c r="D9" s="40" t="s">
        <v>123</v>
      </c>
      <c r="E9" s="48">
        <v>4</v>
      </c>
      <c r="F9" s="49">
        <v>2</v>
      </c>
      <c r="G9" s="49">
        <v>4</v>
      </c>
      <c r="H9" s="49">
        <v>3</v>
      </c>
      <c r="I9" s="40">
        <v>4</v>
      </c>
      <c r="J9" s="50">
        <f t="shared" si="0"/>
        <v>3.4</v>
      </c>
      <c r="K9" s="51">
        <v>1</v>
      </c>
      <c r="L9" s="55" t="s">
        <v>193</v>
      </c>
      <c r="M9" s="44" t="s">
        <v>194</v>
      </c>
    </row>
    <row r="10" spans="1:13" ht="342">
      <c r="A10" s="40" t="s">
        <v>79</v>
      </c>
      <c r="B10" s="45"/>
      <c r="C10" s="40" t="s">
        <v>119</v>
      </c>
      <c r="D10" s="40" t="s">
        <v>132</v>
      </c>
      <c r="E10" s="59">
        <v>4</v>
      </c>
      <c r="F10" s="54">
        <v>3</v>
      </c>
      <c r="G10" s="54">
        <v>2</v>
      </c>
      <c r="H10" s="54">
        <v>4</v>
      </c>
      <c r="I10" s="54">
        <v>3</v>
      </c>
      <c r="J10" s="50">
        <f t="shared" si="0"/>
        <v>3.2</v>
      </c>
      <c r="K10" s="72">
        <v>1</v>
      </c>
      <c r="L10" s="55" t="s">
        <v>195</v>
      </c>
      <c r="M10" s="73" t="s">
        <v>196</v>
      </c>
    </row>
    <row r="11" spans="1:13" ht="196">
      <c r="A11" s="40" t="s">
        <v>56</v>
      </c>
      <c r="B11" s="45"/>
      <c r="C11" s="40" t="s">
        <v>135</v>
      </c>
      <c r="D11" s="40" t="s">
        <v>132</v>
      </c>
      <c r="E11" s="54">
        <v>3</v>
      </c>
      <c r="F11" s="54">
        <v>2</v>
      </c>
      <c r="G11" s="54">
        <v>2</v>
      </c>
      <c r="H11" s="54">
        <v>2</v>
      </c>
      <c r="I11" s="40">
        <v>2</v>
      </c>
      <c r="J11" s="50">
        <f t="shared" si="0"/>
        <v>2.2000000000000002</v>
      </c>
      <c r="K11" s="51">
        <v>1</v>
      </c>
      <c r="L11" s="44" t="s">
        <v>197</v>
      </c>
      <c r="M11" s="44" t="s">
        <v>198</v>
      </c>
    </row>
    <row r="12" spans="1:13" ht="225">
      <c r="A12" s="40" t="s">
        <v>89</v>
      </c>
      <c r="B12" s="45"/>
      <c r="C12" s="40" t="s">
        <v>119</v>
      </c>
      <c r="D12" s="68" t="s">
        <v>132</v>
      </c>
      <c r="E12" s="54">
        <v>4</v>
      </c>
      <c r="F12" s="54">
        <v>3</v>
      </c>
      <c r="G12" s="54">
        <v>2</v>
      </c>
      <c r="H12" s="54">
        <v>2</v>
      </c>
      <c r="I12" s="54">
        <v>3</v>
      </c>
      <c r="J12" s="50">
        <f t="shared" si="0"/>
        <v>2.8</v>
      </c>
      <c r="K12" s="50"/>
      <c r="L12" s="55" t="s">
        <v>199</v>
      </c>
      <c r="M12" s="67" t="s">
        <v>200</v>
      </c>
    </row>
    <row r="13" spans="1:13" ht="409.6">
      <c r="A13" s="40" t="s">
        <v>61</v>
      </c>
      <c r="B13" s="45"/>
      <c r="C13" s="40" t="s">
        <v>148</v>
      </c>
      <c r="D13" s="40" t="s">
        <v>132</v>
      </c>
      <c r="E13" s="59">
        <v>3</v>
      </c>
      <c r="F13" s="54">
        <v>3</v>
      </c>
      <c r="G13" s="54">
        <v>3</v>
      </c>
      <c r="H13" s="54">
        <v>3</v>
      </c>
      <c r="I13" s="40">
        <v>3</v>
      </c>
      <c r="J13" s="50">
        <f t="shared" si="0"/>
        <v>3</v>
      </c>
      <c r="K13" s="51">
        <v>1</v>
      </c>
      <c r="L13" s="74" t="s">
        <v>201</v>
      </c>
      <c r="M13" s="55" t="s">
        <v>202</v>
      </c>
    </row>
    <row r="14" spans="1:13" ht="210">
      <c r="A14" s="40" t="s">
        <v>71</v>
      </c>
      <c r="B14" s="45"/>
      <c r="C14" s="40" t="s">
        <v>135</v>
      </c>
      <c r="D14" s="68" t="s">
        <v>143</v>
      </c>
      <c r="E14" s="54">
        <v>4</v>
      </c>
      <c r="F14" s="54">
        <v>4</v>
      </c>
      <c r="G14" s="54">
        <v>3</v>
      </c>
      <c r="H14" s="54">
        <v>4</v>
      </c>
      <c r="I14" s="40">
        <v>3</v>
      </c>
      <c r="J14" s="50">
        <f t="shared" si="0"/>
        <v>3.6</v>
      </c>
      <c r="K14" s="51">
        <v>1</v>
      </c>
      <c r="L14" s="55" t="s">
        <v>203</v>
      </c>
      <c r="M14" s="44" t="s">
        <v>204</v>
      </c>
    </row>
    <row r="15" spans="1:13" ht="182">
      <c r="A15" s="40" t="s">
        <v>73</v>
      </c>
      <c r="B15" s="45"/>
      <c r="C15" s="40" t="s">
        <v>135</v>
      </c>
      <c r="D15" s="68" t="s">
        <v>143</v>
      </c>
      <c r="E15" s="48">
        <v>2</v>
      </c>
      <c r="F15" s="49">
        <v>1</v>
      </c>
      <c r="G15" s="49">
        <v>1</v>
      </c>
      <c r="H15" s="49">
        <v>2</v>
      </c>
      <c r="I15" s="40">
        <v>2</v>
      </c>
      <c r="J15" s="50">
        <f t="shared" si="0"/>
        <v>1.6</v>
      </c>
      <c r="K15" s="51">
        <v>0</v>
      </c>
      <c r="L15" s="55" t="s">
        <v>205</v>
      </c>
      <c r="M15" s="44" t="s">
        <v>206</v>
      </c>
    </row>
    <row r="16" spans="1:13" ht="300">
      <c r="A16" s="40" t="s">
        <v>81</v>
      </c>
      <c r="B16" s="45"/>
      <c r="C16" s="40" t="s">
        <v>148</v>
      </c>
      <c r="D16" s="40" t="s">
        <v>143</v>
      </c>
      <c r="E16" s="48">
        <v>1</v>
      </c>
      <c r="F16" s="49">
        <v>1</v>
      </c>
      <c r="G16" s="49">
        <v>2</v>
      </c>
      <c r="H16" s="49">
        <v>3</v>
      </c>
      <c r="I16" s="40">
        <v>1</v>
      </c>
      <c r="J16" s="50">
        <f t="shared" si="0"/>
        <v>1.6</v>
      </c>
      <c r="K16" s="51">
        <v>0</v>
      </c>
      <c r="L16" s="75" t="s">
        <v>207</v>
      </c>
      <c r="M16" s="55" t="s">
        <v>208</v>
      </c>
    </row>
    <row r="17" spans="1:13" ht="84">
      <c r="A17" s="40" t="s">
        <v>65</v>
      </c>
      <c r="B17" s="45"/>
      <c r="C17" s="40" t="s">
        <v>111</v>
      </c>
      <c r="D17" s="68" t="s">
        <v>143</v>
      </c>
      <c r="E17" s="54">
        <v>3</v>
      </c>
      <c r="F17" s="54">
        <v>3</v>
      </c>
      <c r="G17" s="54">
        <v>2</v>
      </c>
      <c r="H17" s="54">
        <v>3</v>
      </c>
      <c r="I17" s="40">
        <v>2</v>
      </c>
      <c r="J17" s="50">
        <f t="shared" si="0"/>
        <v>2.6</v>
      </c>
      <c r="K17" s="40" t="s">
        <v>177</v>
      </c>
      <c r="L17" s="31" t="s">
        <v>209</v>
      </c>
      <c r="M17" s="61" t="s">
        <v>210</v>
      </c>
    </row>
    <row r="18" spans="1:13" ht="75">
      <c r="A18" s="40" t="s">
        <v>99</v>
      </c>
      <c r="B18" s="45"/>
      <c r="C18" s="40" t="s">
        <v>186</v>
      </c>
      <c r="D18" s="40" t="s">
        <v>153</v>
      </c>
      <c r="E18" s="54">
        <v>4</v>
      </c>
      <c r="F18" s="54">
        <v>3</v>
      </c>
      <c r="G18" s="54">
        <v>3</v>
      </c>
      <c r="H18" s="54">
        <v>3</v>
      </c>
      <c r="I18" s="40">
        <v>4</v>
      </c>
      <c r="J18" s="50">
        <f t="shared" si="0"/>
        <v>3.4</v>
      </c>
      <c r="K18" s="51">
        <v>1</v>
      </c>
      <c r="L18" s="52" t="s">
        <v>211</v>
      </c>
      <c r="M18" s="44" t="s">
        <v>212</v>
      </c>
    </row>
    <row r="19" spans="1:13" ht="314">
      <c r="A19" s="40" t="s">
        <v>97</v>
      </c>
      <c r="B19" s="45"/>
      <c r="C19" s="40" t="s">
        <v>119</v>
      </c>
      <c r="D19" s="40" t="s">
        <v>153</v>
      </c>
      <c r="E19" s="54">
        <v>3</v>
      </c>
      <c r="F19" s="54">
        <v>1</v>
      </c>
      <c r="G19" s="54">
        <v>1</v>
      </c>
      <c r="H19" s="54">
        <v>4</v>
      </c>
      <c r="I19" s="54">
        <v>1</v>
      </c>
      <c r="J19" s="50">
        <f>AVERAGE(E19:I19) - 1</f>
        <v>1</v>
      </c>
      <c r="K19" s="54" t="s">
        <v>213</v>
      </c>
      <c r="L19" s="55" t="s">
        <v>214</v>
      </c>
      <c r="M19" s="76" t="s">
        <v>215</v>
      </c>
    </row>
    <row r="20" spans="1:13" ht="409.6">
      <c r="A20" s="40" t="s">
        <v>87</v>
      </c>
      <c r="B20" s="45"/>
      <c r="C20" s="40" t="s">
        <v>148</v>
      </c>
      <c r="D20" s="40" t="s">
        <v>153</v>
      </c>
      <c r="E20" s="54">
        <v>3</v>
      </c>
      <c r="F20" s="54">
        <v>4</v>
      </c>
      <c r="G20" s="54">
        <v>3</v>
      </c>
      <c r="H20" s="54">
        <v>4</v>
      </c>
      <c r="I20" s="40">
        <v>3</v>
      </c>
      <c r="J20" s="50">
        <f t="shared" ref="J20:J27" si="1">AVERAGE(E20:I20)</f>
        <v>3.4</v>
      </c>
      <c r="K20" s="51">
        <v>1</v>
      </c>
      <c r="L20" s="74" t="s">
        <v>216</v>
      </c>
      <c r="M20" s="55" t="s">
        <v>217</v>
      </c>
    </row>
    <row r="21" spans="1:13" ht="384">
      <c r="A21" s="40" t="s">
        <v>107</v>
      </c>
      <c r="B21" s="45"/>
      <c r="C21" s="40" t="s">
        <v>135</v>
      </c>
      <c r="D21" s="68" t="s">
        <v>153</v>
      </c>
      <c r="E21" s="48">
        <v>3</v>
      </c>
      <c r="F21" s="49">
        <v>3</v>
      </c>
      <c r="G21" s="49">
        <v>4</v>
      </c>
      <c r="H21" s="49">
        <v>4</v>
      </c>
      <c r="I21" s="40">
        <v>4</v>
      </c>
      <c r="J21" s="50">
        <f t="shared" si="1"/>
        <v>3.6</v>
      </c>
      <c r="K21" s="51">
        <v>1</v>
      </c>
      <c r="L21" s="55" t="s">
        <v>218</v>
      </c>
      <c r="M21" s="44" t="s">
        <v>219</v>
      </c>
    </row>
    <row r="22" spans="1:13" ht="398">
      <c r="A22" s="40" t="s">
        <v>69</v>
      </c>
      <c r="B22" s="45"/>
      <c r="C22" s="40" t="s">
        <v>135</v>
      </c>
      <c r="D22" s="40" t="s">
        <v>153</v>
      </c>
      <c r="E22" s="54">
        <v>2</v>
      </c>
      <c r="F22" s="54">
        <v>3</v>
      </c>
      <c r="G22" s="54">
        <v>2</v>
      </c>
      <c r="H22" s="54">
        <v>2</v>
      </c>
      <c r="I22" s="40">
        <v>2</v>
      </c>
      <c r="J22" s="50">
        <f t="shared" si="1"/>
        <v>2.2000000000000002</v>
      </c>
      <c r="K22" s="51">
        <v>1</v>
      </c>
      <c r="L22" s="55" t="s">
        <v>220</v>
      </c>
      <c r="M22" s="44" t="s">
        <v>221</v>
      </c>
    </row>
    <row r="23" spans="1:13" ht="122.25" customHeight="1">
      <c r="A23" s="40" t="s">
        <v>83</v>
      </c>
      <c r="B23" s="45"/>
      <c r="C23" s="40" t="s">
        <v>119</v>
      </c>
      <c r="D23" s="68" t="s">
        <v>164</v>
      </c>
      <c r="E23" s="54">
        <v>3</v>
      </c>
      <c r="F23" s="54">
        <v>4</v>
      </c>
      <c r="G23" s="54">
        <v>3</v>
      </c>
      <c r="H23" s="54">
        <v>4</v>
      </c>
      <c r="I23" s="54">
        <v>3</v>
      </c>
      <c r="J23" s="50">
        <f t="shared" si="1"/>
        <v>3.4</v>
      </c>
      <c r="K23" s="72">
        <v>1</v>
      </c>
      <c r="L23" s="52" t="s">
        <v>222</v>
      </c>
      <c r="M23" s="67" t="s">
        <v>223</v>
      </c>
    </row>
    <row r="24" spans="1:13" ht="105">
      <c r="A24" s="40" t="s">
        <v>75</v>
      </c>
      <c r="B24" s="45"/>
      <c r="C24" s="40" t="s">
        <v>186</v>
      </c>
      <c r="D24" s="40" t="s">
        <v>164</v>
      </c>
      <c r="E24" s="54">
        <v>3</v>
      </c>
      <c r="F24" s="54">
        <v>3</v>
      </c>
      <c r="G24" s="54">
        <v>3</v>
      </c>
      <c r="H24" s="54">
        <v>4</v>
      </c>
      <c r="I24" s="54">
        <v>2</v>
      </c>
      <c r="J24" s="50">
        <f t="shared" si="1"/>
        <v>3</v>
      </c>
      <c r="K24" s="40" t="s">
        <v>224</v>
      </c>
      <c r="L24" s="52" t="s">
        <v>225</v>
      </c>
      <c r="M24" s="44" t="s">
        <v>226</v>
      </c>
    </row>
    <row r="25" spans="1:13" ht="84">
      <c r="A25" s="40" t="s">
        <v>77</v>
      </c>
      <c r="B25" s="45"/>
      <c r="C25" s="40" t="s">
        <v>111</v>
      </c>
      <c r="D25" s="40" t="s">
        <v>164</v>
      </c>
      <c r="E25" s="77">
        <v>3</v>
      </c>
      <c r="F25" s="77">
        <v>3</v>
      </c>
      <c r="G25" s="77">
        <v>1</v>
      </c>
      <c r="H25" s="77">
        <v>2</v>
      </c>
      <c r="I25" s="71">
        <v>2</v>
      </c>
      <c r="J25" s="50">
        <f t="shared" si="1"/>
        <v>2.2000000000000002</v>
      </c>
      <c r="K25" s="40" t="b">
        <v>1</v>
      </c>
      <c r="L25" s="78" t="s">
        <v>227</v>
      </c>
      <c r="M25" s="44" t="s">
        <v>228</v>
      </c>
    </row>
    <row r="26" spans="1:13" ht="328">
      <c r="A26" s="40" t="s">
        <v>95</v>
      </c>
      <c r="B26" s="45"/>
      <c r="C26" s="40" t="s">
        <v>148</v>
      </c>
      <c r="D26" s="37" t="s">
        <v>164</v>
      </c>
      <c r="E26" s="59">
        <v>3</v>
      </c>
      <c r="F26" s="54">
        <v>4</v>
      </c>
      <c r="G26" s="54">
        <v>4</v>
      </c>
      <c r="H26" s="54">
        <v>3</v>
      </c>
      <c r="I26" s="40">
        <v>3</v>
      </c>
      <c r="J26" s="50">
        <f t="shared" si="1"/>
        <v>3.4</v>
      </c>
      <c r="K26" s="51">
        <v>1</v>
      </c>
      <c r="L26" s="74" t="s">
        <v>229</v>
      </c>
      <c r="M26" s="55" t="s">
        <v>230</v>
      </c>
    </row>
    <row r="27" spans="1:13" ht="328">
      <c r="A27" s="40" t="s">
        <v>67</v>
      </c>
      <c r="B27" s="45"/>
      <c r="C27" s="40" t="s">
        <v>148</v>
      </c>
      <c r="D27" s="40" t="s">
        <v>164</v>
      </c>
      <c r="E27" s="54">
        <v>3</v>
      </c>
      <c r="F27" s="54">
        <v>3</v>
      </c>
      <c r="G27" s="54">
        <v>2</v>
      </c>
      <c r="H27" s="54">
        <v>2</v>
      </c>
      <c r="I27" s="40">
        <v>3</v>
      </c>
      <c r="J27" s="50">
        <f t="shared" si="1"/>
        <v>2.6</v>
      </c>
      <c r="K27" s="40" t="s">
        <v>231</v>
      </c>
      <c r="L27" s="74" t="s">
        <v>232</v>
      </c>
      <c r="M27" s="55" t="s">
        <v>233</v>
      </c>
    </row>
    <row r="28" spans="1:13" ht="14">
      <c r="C28" s="45"/>
      <c r="D28" s="26"/>
      <c r="E28" s="41"/>
      <c r="F28" s="41"/>
      <c r="G28" s="41"/>
      <c r="H28" s="41"/>
      <c r="I28" s="41"/>
      <c r="K28" s="41"/>
      <c r="L28" s="64"/>
      <c r="M28" s="79"/>
    </row>
    <row r="29" spans="1:13" ht="14">
      <c r="C29" s="45"/>
      <c r="D29" s="26"/>
      <c r="E29" s="41"/>
      <c r="F29" s="41"/>
      <c r="G29" s="41"/>
      <c r="H29" s="41"/>
      <c r="I29" s="41"/>
      <c r="K29" s="41"/>
      <c r="L29" s="64"/>
      <c r="M29" s="79"/>
    </row>
    <row r="30" spans="1:13" ht="14">
      <c r="C30" s="45"/>
      <c r="D30" s="26"/>
      <c r="E30" s="41"/>
      <c r="F30" s="41"/>
      <c r="G30" s="41"/>
      <c r="H30" s="41"/>
      <c r="I30" s="41"/>
      <c r="K30" s="41"/>
      <c r="L30" s="64"/>
      <c r="M30" s="79"/>
    </row>
    <row r="31" spans="1:13" ht="14">
      <c r="C31" s="45"/>
      <c r="D31" s="26"/>
      <c r="E31" s="41"/>
      <c r="F31" s="41"/>
      <c r="G31" s="41"/>
      <c r="H31" s="41"/>
      <c r="I31" s="41"/>
      <c r="K31" s="41"/>
      <c r="L31" s="64"/>
      <c r="M31" s="79"/>
    </row>
    <row r="32" spans="1:13" ht="14">
      <c r="C32" s="45"/>
      <c r="D32" s="26"/>
      <c r="E32" s="41"/>
      <c r="F32" s="41"/>
      <c r="G32" s="41"/>
      <c r="H32" s="41"/>
      <c r="I32" s="41"/>
      <c r="K32" s="41"/>
      <c r="L32" s="64"/>
      <c r="M32" s="79"/>
    </row>
    <row r="33" spans="3:13" ht="14">
      <c r="C33" s="45"/>
      <c r="D33" s="26"/>
      <c r="E33" s="41"/>
      <c r="F33" s="41"/>
      <c r="G33" s="41"/>
      <c r="H33" s="41"/>
      <c r="I33" s="41"/>
      <c r="K33" s="41"/>
      <c r="L33" s="64"/>
      <c r="M33" s="79"/>
    </row>
    <row r="34" spans="3:13" ht="14">
      <c r="C34" s="45"/>
      <c r="D34" s="26"/>
      <c r="E34" s="41"/>
      <c r="F34" s="41"/>
      <c r="G34" s="41"/>
      <c r="H34" s="41"/>
      <c r="I34" s="41"/>
      <c r="K34" s="41"/>
      <c r="L34" s="64"/>
      <c r="M34" s="79"/>
    </row>
    <row r="35" spans="3:13" ht="14">
      <c r="C35" s="45"/>
      <c r="D35" s="26"/>
      <c r="E35" s="41"/>
      <c r="F35" s="41"/>
      <c r="G35" s="41"/>
      <c r="H35" s="41"/>
      <c r="I35" s="41"/>
      <c r="K35" s="41"/>
      <c r="L35" s="64"/>
      <c r="M35" s="79"/>
    </row>
    <row r="36" spans="3:13" ht="14">
      <c r="C36" s="45"/>
      <c r="D36" s="26"/>
      <c r="E36" s="41"/>
      <c r="F36" s="41"/>
      <c r="G36" s="41"/>
      <c r="H36" s="41"/>
      <c r="I36" s="41"/>
      <c r="K36" s="41"/>
      <c r="L36" s="64"/>
      <c r="M36" s="79"/>
    </row>
    <row r="37" spans="3:13" ht="14">
      <c r="C37" s="45"/>
      <c r="D37" s="26"/>
      <c r="E37" s="41"/>
      <c r="F37" s="41"/>
      <c r="G37" s="41"/>
      <c r="H37" s="41"/>
      <c r="I37" s="41"/>
      <c r="K37" s="41"/>
      <c r="L37" s="64"/>
      <c r="M37" s="79"/>
    </row>
    <row r="38" spans="3:13" ht="14">
      <c r="C38" s="45"/>
      <c r="D38" s="26"/>
      <c r="E38" s="41"/>
      <c r="F38" s="41"/>
      <c r="G38" s="41"/>
      <c r="H38" s="41"/>
      <c r="I38" s="41"/>
      <c r="K38" s="41"/>
      <c r="L38" s="64"/>
      <c r="M38" s="79"/>
    </row>
    <row r="39" spans="3:13" ht="14">
      <c r="C39" s="45"/>
      <c r="D39" s="26"/>
      <c r="E39" s="41"/>
      <c r="F39" s="41"/>
      <c r="G39" s="41"/>
      <c r="H39" s="41"/>
      <c r="I39" s="41"/>
      <c r="K39" s="41"/>
      <c r="L39" s="64"/>
      <c r="M39" s="79"/>
    </row>
    <row r="40" spans="3:13" ht="14">
      <c r="C40" s="45"/>
      <c r="D40" s="26"/>
      <c r="E40" s="41"/>
      <c r="F40" s="41"/>
      <c r="G40" s="41"/>
      <c r="H40" s="41"/>
      <c r="I40" s="41"/>
      <c r="K40" s="41"/>
      <c r="L40" s="64"/>
      <c r="M40" s="79"/>
    </row>
    <row r="41" spans="3:13" ht="14">
      <c r="C41" s="45"/>
      <c r="D41" s="26"/>
      <c r="E41" s="41"/>
      <c r="F41" s="41"/>
      <c r="G41" s="41"/>
      <c r="H41" s="41"/>
      <c r="I41" s="41"/>
      <c r="K41" s="41"/>
      <c r="L41" s="64"/>
      <c r="M41" s="79"/>
    </row>
    <row r="42" spans="3:13" ht="14">
      <c r="C42" s="45"/>
      <c r="D42" s="26"/>
      <c r="E42" s="41"/>
      <c r="F42" s="41"/>
      <c r="G42" s="41"/>
      <c r="H42" s="41"/>
      <c r="I42" s="41"/>
      <c r="K42" s="41"/>
      <c r="L42" s="64"/>
      <c r="M42" s="79"/>
    </row>
    <row r="43" spans="3:13" ht="14">
      <c r="C43" s="45"/>
      <c r="D43" s="26"/>
      <c r="E43" s="41"/>
      <c r="F43" s="41"/>
      <c r="G43" s="41"/>
      <c r="H43" s="41"/>
      <c r="I43" s="41"/>
      <c r="K43" s="41"/>
      <c r="L43" s="64"/>
      <c r="M43" s="79"/>
    </row>
    <row r="44" spans="3:13" ht="14">
      <c r="C44" s="45"/>
      <c r="D44" s="26"/>
      <c r="E44" s="41"/>
      <c r="F44" s="41"/>
      <c r="G44" s="41"/>
      <c r="H44" s="41"/>
      <c r="I44" s="41"/>
      <c r="K44" s="41"/>
      <c r="L44" s="64"/>
      <c r="M44" s="79"/>
    </row>
    <row r="45" spans="3:13" ht="14">
      <c r="C45" s="45"/>
      <c r="D45" s="26"/>
      <c r="E45" s="41"/>
      <c r="F45" s="41"/>
      <c r="G45" s="41"/>
      <c r="H45" s="41"/>
      <c r="I45" s="41"/>
      <c r="K45" s="41"/>
      <c r="L45" s="64"/>
      <c r="M45" s="79"/>
    </row>
    <row r="46" spans="3:13" ht="14">
      <c r="C46" s="45"/>
      <c r="D46" s="26"/>
      <c r="E46" s="41"/>
      <c r="F46" s="41"/>
      <c r="G46" s="41"/>
      <c r="H46" s="41"/>
      <c r="I46" s="41"/>
      <c r="K46" s="41"/>
      <c r="L46" s="64"/>
      <c r="M46" s="79"/>
    </row>
    <row r="47" spans="3:13" ht="14">
      <c r="C47" s="45"/>
      <c r="D47" s="26"/>
      <c r="E47" s="41"/>
      <c r="F47" s="41"/>
      <c r="G47" s="41"/>
      <c r="H47" s="41"/>
      <c r="I47" s="41"/>
      <c r="K47" s="41"/>
      <c r="L47" s="64"/>
      <c r="M47" s="79"/>
    </row>
    <row r="48" spans="3:13" ht="14">
      <c r="C48" s="45"/>
      <c r="D48" s="26"/>
      <c r="E48" s="41"/>
      <c r="F48" s="41"/>
      <c r="G48" s="41"/>
      <c r="H48" s="41"/>
      <c r="I48" s="41"/>
      <c r="K48" s="41"/>
      <c r="L48" s="64"/>
      <c r="M48" s="79"/>
    </row>
    <row r="49" spans="3:13" ht="14">
      <c r="C49" s="45"/>
      <c r="D49" s="26"/>
      <c r="E49" s="41"/>
      <c r="F49" s="41"/>
      <c r="G49" s="41"/>
      <c r="H49" s="41"/>
      <c r="I49" s="41"/>
      <c r="K49" s="41"/>
      <c r="L49" s="64"/>
      <c r="M49" s="79"/>
    </row>
    <row r="50" spans="3:13" ht="14">
      <c r="C50" s="45"/>
      <c r="D50" s="26"/>
      <c r="E50" s="41"/>
      <c r="F50" s="41"/>
      <c r="G50" s="41"/>
      <c r="H50" s="41"/>
      <c r="I50" s="41"/>
      <c r="K50" s="41"/>
      <c r="L50" s="64"/>
      <c r="M50" s="79"/>
    </row>
    <row r="51" spans="3:13" ht="14">
      <c r="C51" s="45"/>
      <c r="D51" s="26"/>
      <c r="E51" s="41"/>
      <c r="F51" s="41"/>
      <c r="G51" s="41"/>
      <c r="H51" s="41"/>
      <c r="I51" s="41"/>
      <c r="K51" s="41"/>
      <c r="L51" s="64"/>
      <c r="M51" s="79"/>
    </row>
    <row r="52" spans="3:13" ht="13">
      <c r="C52" s="63"/>
      <c r="E52" s="41"/>
      <c r="F52" s="41"/>
      <c r="G52" s="41"/>
      <c r="H52" s="41"/>
      <c r="I52" s="41"/>
      <c r="K52" s="41"/>
      <c r="L52" s="64"/>
      <c r="M52" s="79"/>
    </row>
    <row r="53" spans="3:13" ht="13">
      <c r="C53" s="63"/>
      <c r="E53" s="41"/>
      <c r="F53" s="41"/>
      <c r="G53" s="41"/>
      <c r="H53" s="41"/>
      <c r="I53" s="41"/>
      <c r="K53" s="41"/>
      <c r="L53" s="64"/>
      <c r="M53" s="79"/>
    </row>
    <row r="54" spans="3:13" ht="13">
      <c r="C54" s="63"/>
      <c r="E54" s="41"/>
      <c r="F54" s="41"/>
      <c r="G54" s="41"/>
      <c r="H54" s="41"/>
      <c r="I54" s="41"/>
      <c r="K54" s="41"/>
      <c r="L54" s="64"/>
      <c r="M54" s="79"/>
    </row>
    <row r="55" spans="3:13" ht="13">
      <c r="C55" s="63"/>
      <c r="E55" s="41"/>
      <c r="F55" s="41"/>
      <c r="G55" s="41"/>
      <c r="H55" s="41"/>
      <c r="I55" s="41"/>
      <c r="K55" s="41"/>
      <c r="L55" s="64"/>
      <c r="M55" s="79"/>
    </row>
    <row r="56" spans="3:13" ht="13">
      <c r="C56" s="63"/>
      <c r="E56" s="41"/>
      <c r="F56" s="41"/>
      <c r="G56" s="41"/>
      <c r="H56" s="41"/>
      <c r="I56" s="41"/>
      <c r="K56" s="41"/>
      <c r="L56" s="64"/>
      <c r="M56" s="79"/>
    </row>
    <row r="57" spans="3:13" ht="13">
      <c r="C57" s="63"/>
      <c r="E57" s="41"/>
      <c r="F57" s="41"/>
      <c r="G57" s="41"/>
      <c r="H57" s="41"/>
      <c r="I57" s="41"/>
      <c r="K57" s="41"/>
      <c r="L57" s="64"/>
      <c r="M57" s="79"/>
    </row>
    <row r="58" spans="3:13" ht="13">
      <c r="C58" s="63"/>
      <c r="E58" s="41"/>
      <c r="F58" s="41"/>
      <c r="G58" s="41"/>
      <c r="H58" s="41"/>
      <c r="I58" s="41"/>
      <c r="K58" s="41"/>
      <c r="L58" s="64"/>
      <c r="M58" s="79"/>
    </row>
    <row r="59" spans="3:13" ht="13">
      <c r="C59" s="63"/>
      <c r="E59" s="41"/>
      <c r="F59" s="41"/>
      <c r="G59" s="41"/>
      <c r="H59" s="41"/>
      <c r="I59" s="41"/>
      <c r="K59" s="41"/>
      <c r="L59" s="64"/>
      <c r="M59" s="79"/>
    </row>
    <row r="60" spans="3:13" ht="13">
      <c r="C60" s="63"/>
      <c r="E60" s="41"/>
      <c r="F60" s="41"/>
      <c r="G60" s="41"/>
      <c r="H60" s="41"/>
      <c r="I60" s="41"/>
      <c r="K60" s="41"/>
      <c r="L60" s="64"/>
      <c r="M60" s="79"/>
    </row>
    <row r="61" spans="3:13" ht="13">
      <c r="C61" s="63"/>
      <c r="E61" s="41"/>
      <c r="F61" s="41"/>
      <c r="G61" s="41"/>
      <c r="H61" s="41"/>
      <c r="I61" s="41"/>
      <c r="K61" s="41"/>
      <c r="L61" s="64"/>
      <c r="M61" s="79"/>
    </row>
    <row r="62" spans="3:13" ht="13">
      <c r="C62" s="63"/>
      <c r="E62" s="41"/>
      <c r="F62" s="41"/>
      <c r="G62" s="41"/>
      <c r="H62" s="41"/>
      <c r="I62" s="41"/>
      <c r="K62" s="41"/>
      <c r="L62" s="64"/>
      <c r="M62" s="79"/>
    </row>
    <row r="63" spans="3:13" ht="13">
      <c r="C63" s="63"/>
      <c r="E63" s="41"/>
      <c r="F63" s="41"/>
      <c r="G63" s="41"/>
      <c r="H63" s="41"/>
      <c r="I63" s="41"/>
      <c r="K63" s="41"/>
      <c r="L63" s="64"/>
      <c r="M63" s="79"/>
    </row>
    <row r="64" spans="3:13" ht="13">
      <c r="C64" s="63"/>
      <c r="E64" s="41"/>
      <c r="F64" s="41"/>
      <c r="G64" s="41"/>
      <c r="H64" s="41"/>
      <c r="I64" s="41"/>
      <c r="K64" s="41"/>
      <c r="L64" s="64"/>
      <c r="M64" s="79"/>
    </row>
    <row r="65" spans="3:13" ht="13">
      <c r="C65" s="63"/>
      <c r="E65" s="41"/>
      <c r="F65" s="41"/>
      <c r="G65" s="41"/>
      <c r="H65" s="41"/>
      <c r="I65" s="41"/>
      <c r="K65" s="41"/>
      <c r="L65" s="64"/>
      <c r="M65" s="79"/>
    </row>
    <row r="66" spans="3:13" ht="13">
      <c r="C66" s="63"/>
      <c r="E66" s="41"/>
      <c r="F66" s="41"/>
      <c r="G66" s="41"/>
      <c r="H66" s="41"/>
      <c r="I66" s="41"/>
      <c r="K66" s="41"/>
      <c r="L66" s="64"/>
      <c r="M66" s="79"/>
    </row>
    <row r="67" spans="3:13" ht="13">
      <c r="C67" s="63"/>
      <c r="E67" s="41"/>
      <c r="F67" s="41"/>
      <c r="G67" s="41"/>
      <c r="H67" s="41"/>
      <c r="I67" s="41"/>
      <c r="K67" s="41"/>
      <c r="L67" s="64"/>
      <c r="M67" s="79"/>
    </row>
    <row r="68" spans="3:13" ht="13">
      <c r="C68" s="63"/>
      <c r="E68" s="41"/>
      <c r="F68" s="41"/>
      <c r="G68" s="41"/>
      <c r="H68" s="41"/>
      <c r="I68" s="41"/>
      <c r="K68" s="41"/>
      <c r="L68" s="64"/>
      <c r="M68" s="79"/>
    </row>
    <row r="69" spans="3:13" ht="13">
      <c r="C69" s="63"/>
      <c r="E69" s="41"/>
      <c r="F69" s="41"/>
      <c r="G69" s="41"/>
      <c r="H69" s="41"/>
      <c r="I69" s="41"/>
      <c r="K69" s="41"/>
      <c r="L69" s="64"/>
      <c r="M69" s="79"/>
    </row>
    <row r="70" spans="3:13" ht="13">
      <c r="C70" s="63"/>
      <c r="E70" s="41"/>
      <c r="F70" s="41"/>
      <c r="G70" s="41"/>
      <c r="H70" s="41"/>
      <c r="I70" s="41"/>
      <c r="K70" s="41"/>
      <c r="L70" s="64"/>
      <c r="M70" s="79"/>
    </row>
    <row r="71" spans="3:13" ht="13">
      <c r="C71" s="63"/>
      <c r="E71" s="41"/>
      <c r="F71" s="41"/>
      <c r="G71" s="41"/>
      <c r="H71" s="41"/>
      <c r="I71" s="41"/>
      <c r="K71" s="41"/>
      <c r="L71" s="64"/>
      <c r="M71" s="79"/>
    </row>
    <row r="72" spans="3:13" ht="13">
      <c r="C72" s="63"/>
      <c r="E72" s="41"/>
      <c r="F72" s="41"/>
      <c r="G72" s="41"/>
      <c r="H72" s="41"/>
      <c r="I72" s="41"/>
      <c r="K72" s="41"/>
      <c r="L72" s="64"/>
      <c r="M72" s="79"/>
    </row>
    <row r="73" spans="3:13" ht="13">
      <c r="C73" s="63"/>
      <c r="E73" s="41"/>
      <c r="F73" s="41"/>
      <c r="G73" s="41"/>
      <c r="H73" s="41"/>
      <c r="I73" s="41"/>
      <c r="K73" s="41"/>
      <c r="L73" s="64"/>
      <c r="M73" s="79"/>
    </row>
    <row r="74" spans="3:13" ht="13">
      <c r="C74" s="63"/>
      <c r="E74" s="41"/>
      <c r="F74" s="41"/>
      <c r="G74" s="41"/>
      <c r="H74" s="41"/>
      <c r="I74" s="41"/>
      <c r="K74" s="41"/>
      <c r="L74" s="64"/>
      <c r="M74" s="79"/>
    </row>
    <row r="75" spans="3:13" ht="13">
      <c r="C75" s="63"/>
      <c r="E75" s="41"/>
      <c r="F75" s="41"/>
      <c r="G75" s="41"/>
      <c r="H75" s="41"/>
      <c r="I75" s="41"/>
      <c r="K75" s="41"/>
      <c r="L75" s="64"/>
      <c r="M75" s="79"/>
    </row>
    <row r="76" spans="3:13" ht="13">
      <c r="C76" s="63"/>
      <c r="E76" s="41"/>
      <c r="F76" s="41"/>
      <c r="G76" s="41"/>
      <c r="H76" s="41"/>
      <c r="I76" s="41"/>
      <c r="K76" s="41"/>
      <c r="L76" s="64"/>
      <c r="M76" s="79"/>
    </row>
    <row r="77" spans="3:13" ht="13">
      <c r="C77" s="63"/>
      <c r="E77" s="41"/>
      <c r="F77" s="41"/>
      <c r="G77" s="41"/>
      <c r="H77" s="41"/>
      <c r="I77" s="41"/>
      <c r="K77" s="41"/>
      <c r="L77" s="64"/>
      <c r="M77" s="79"/>
    </row>
    <row r="78" spans="3:13" ht="13">
      <c r="C78" s="63"/>
      <c r="E78" s="41"/>
      <c r="F78" s="41"/>
      <c r="G78" s="41"/>
      <c r="H78" s="41"/>
      <c r="I78" s="41"/>
      <c r="K78" s="41"/>
      <c r="L78" s="64"/>
      <c r="M78" s="79"/>
    </row>
    <row r="79" spans="3:13" ht="13">
      <c r="C79" s="63"/>
      <c r="E79" s="41"/>
      <c r="F79" s="41"/>
      <c r="G79" s="41"/>
      <c r="H79" s="41"/>
      <c r="I79" s="41"/>
      <c r="K79" s="41"/>
      <c r="L79" s="64"/>
      <c r="M79" s="79"/>
    </row>
    <row r="80" spans="3:13" ht="13">
      <c r="C80" s="63"/>
      <c r="E80" s="41"/>
      <c r="F80" s="41"/>
      <c r="G80" s="41"/>
      <c r="H80" s="41"/>
      <c r="I80" s="41"/>
      <c r="K80" s="41"/>
      <c r="L80" s="64"/>
      <c r="M80" s="79"/>
    </row>
    <row r="81" spans="3:13" ht="13">
      <c r="C81" s="63"/>
      <c r="E81" s="41"/>
      <c r="F81" s="41"/>
      <c r="G81" s="41"/>
      <c r="H81" s="41"/>
      <c r="I81" s="41"/>
      <c r="K81" s="41"/>
      <c r="L81" s="64"/>
      <c r="M81" s="79"/>
    </row>
    <row r="82" spans="3:13" ht="13">
      <c r="C82" s="63"/>
      <c r="E82" s="41"/>
      <c r="F82" s="41"/>
      <c r="G82" s="41"/>
      <c r="H82" s="41"/>
      <c r="I82" s="41"/>
      <c r="K82" s="41"/>
      <c r="L82" s="64"/>
      <c r="M82" s="79"/>
    </row>
    <row r="83" spans="3:13" ht="13">
      <c r="C83" s="63"/>
      <c r="E83" s="41"/>
      <c r="F83" s="41"/>
      <c r="G83" s="41"/>
      <c r="H83" s="41"/>
      <c r="I83" s="41"/>
      <c r="K83" s="41"/>
      <c r="L83" s="64"/>
      <c r="M83" s="79"/>
    </row>
    <row r="84" spans="3:13" ht="13">
      <c r="C84" s="63"/>
      <c r="E84" s="41"/>
      <c r="F84" s="41"/>
      <c r="G84" s="41"/>
      <c r="H84" s="41"/>
      <c r="I84" s="41"/>
      <c r="K84" s="41"/>
      <c r="L84" s="64"/>
      <c r="M84" s="79"/>
    </row>
    <row r="85" spans="3:13" ht="13">
      <c r="C85" s="63"/>
      <c r="E85" s="41"/>
      <c r="F85" s="41"/>
      <c r="G85" s="41"/>
      <c r="H85" s="41"/>
      <c r="I85" s="41"/>
      <c r="K85" s="41"/>
      <c r="L85" s="64"/>
      <c r="M85" s="79"/>
    </row>
    <row r="86" spans="3:13" ht="13">
      <c r="C86" s="63"/>
      <c r="E86" s="41"/>
      <c r="F86" s="41"/>
      <c r="G86" s="41"/>
      <c r="H86" s="41"/>
      <c r="I86" s="41"/>
      <c r="K86" s="41"/>
      <c r="L86" s="64"/>
      <c r="M86" s="79"/>
    </row>
    <row r="87" spans="3:13" ht="13">
      <c r="C87" s="63"/>
      <c r="E87" s="41"/>
      <c r="F87" s="41"/>
      <c r="G87" s="41"/>
      <c r="H87" s="41"/>
      <c r="I87" s="41"/>
      <c r="K87" s="41"/>
      <c r="L87" s="64"/>
      <c r="M87" s="79"/>
    </row>
    <row r="88" spans="3:13" ht="13">
      <c r="C88" s="63"/>
      <c r="E88" s="41"/>
      <c r="F88" s="41"/>
      <c r="G88" s="41"/>
      <c r="H88" s="41"/>
      <c r="I88" s="41"/>
      <c r="K88" s="41"/>
      <c r="L88" s="64"/>
      <c r="M88" s="79"/>
    </row>
    <row r="89" spans="3:13" ht="13">
      <c r="C89" s="63"/>
      <c r="E89" s="41"/>
      <c r="F89" s="41"/>
      <c r="G89" s="41"/>
      <c r="H89" s="41"/>
      <c r="I89" s="41"/>
      <c r="K89" s="41"/>
      <c r="L89" s="64"/>
      <c r="M89" s="79"/>
    </row>
    <row r="90" spans="3:13" ht="13">
      <c r="C90" s="63"/>
      <c r="E90" s="41"/>
      <c r="F90" s="41"/>
      <c r="G90" s="41"/>
      <c r="H90" s="41"/>
      <c r="I90" s="41"/>
      <c r="K90" s="41"/>
      <c r="L90" s="64"/>
      <c r="M90" s="79"/>
    </row>
    <row r="91" spans="3:13" ht="13">
      <c r="C91" s="63"/>
      <c r="E91" s="41"/>
      <c r="F91" s="41"/>
      <c r="G91" s="41"/>
      <c r="H91" s="41"/>
      <c r="I91" s="41"/>
      <c r="K91" s="41"/>
      <c r="L91" s="64"/>
      <c r="M91" s="79"/>
    </row>
    <row r="92" spans="3:13" ht="13">
      <c r="C92" s="63"/>
      <c r="E92" s="41"/>
      <c r="F92" s="41"/>
      <c r="G92" s="41"/>
      <c r="H92" s="41"/>
      <c r="I92" s="41"/>
      <c r="K92" s="41"/>
      <c r="L92" s="64"/>
      <c r="M92" s="79"/>
    </row>
    <row r="93" spans="3:13" ht="13">
      <c r="C93" s="63"/>
      <c r="E93" s="41"/>
      <c r="F93" s="41"/>
      <c r="G93" s="41"/>
      <c r="H93" s="41"/>
      <c r="I93" s="41"/>
      <c r="K93" s="41"/>
      <c r="L93" s="64"/>
      <c r="M93" s="79"/>
    </row>
    <row r="94" spans="3:13" ht="13">
      <c r="C94" s="63"/>
      <c r="E94" s="41"/>
      <c r="F94" s="41"/>
      <c r="G94" s="41"/>
      <c r="H94" s="41"/>
      <c r="I94" s="41"/>
      <c r="K94" s="41"/>
      <c r="L94" s="64"/>
      <c r="M94" s="79"/>
    </row>
    <row r="95" spans="3:13" ht="13">
      <c r="C95" s="63"/>
      <c r="E95" s="41"/>
      <c r="F95" s="41"/>
      <c r="G95" s="41"/>
      <c r="H95" s="41"/>
      <c r="I95" s="41"/>
      <c r="K95" s="41"/>
      <c r="L95" s="64"/>
      <c r="M95" s="79"/>
    </row>
    <row r="96" spans="3:13" ht="13">
      <c r="C96" s="63"/>
      <c r="E96" s="41"/>
      <c r="F96" s="41"/>
      <c r="G96" s="41"/>
      <c r="H96" s="41"/>
      <c r="I96" s="41"/>
      <c r="K96" s="41"/>
      <c r="L96" s="64"/>
      <c r="M96" s="79"/>
    </row>
    <row r="97" spans="3:13" ht="13">
      <c r="C97" s="63"/>
      <c r="E97" s="41"/>
      <c r="F97" s="41"/>
      <c r="G97" s="41"/>
      <c r="H97" s="41"/>
      <c r="I97" s="41"/>
      <c r="K97" s="41"/>
      <c r="L97" s="64"/>
      <c r="M97" s="79"/>
    </row>
    <row r="98" spans="3:13" ht="13">
      <c r="C98" s="63"/>
      <c r="E98" s="41"/>
      <c r="F98" s="41"/>
      <c r="G98" s="41"/>
      <c r="H98" s="41"/>
      <c r="I98" s="41"/>
      <c r="K98" s="41"/>
      <c r="L98" s="64"/>
      <c r="M98" s="79"/>
    </row>
    <row r="99" spans="3:13" ht="13">
      <c r="C99" s="63"/>
      <c r="E99" s="41"/>
      <c r="F99" s="41"/>
      <c r="G99" s="41"/>
      <c r="H99" s="41"/>
      <c r="I99" s="41"/>
      <c r="K99" s="41"/>
      <c r="L99" s="64"/>
      <c r="M99" s="79"/>
    </row>
    <row r="100" spans="3:13" ht="13">
      <c r="C100" s="63"/>
      <c r="E100" s="41"/>
      <c r="F100" s="41"/>
      <c r="G100" s="41"/>
      <c r="H100" s="41"/>
      <c r="I100" s="41"/>
      <c r="K100" s="41"/>
      <c r="L100" s="64"/>
      <c r="M100" s="79"/>
    </row>
    <row r="101" spans="3:13" ht="13">
      <c r="C101" s="63"/>
      <c r="E101" s="41"/>
      <c r="F101" s="41"/>
      <c r="G101" s="41"/>
      <c r="H101" s="41"/>
      <c r="I101" s="41"/>
      <c r="K101" s="41"/>
      <c r="L101" s="64"/>
      <c r="M101" s="79"/>
    </row>
    <row r="102" spans="3:13" ht="13">
      <c r="C102" s="63"/>
      <c r="E102" s="41"/>
      <c r="F102" s="41"/>
      <c r="G102" s="41"/>
      <c r="H102" s="41"/>
      <c r="I102" s="41"/>
      <c r="K102" s="41"/>
      <c r="L102" s="64"/>
      <c r="M102" s="79"/>
    </row>
    <row r="103" spans="3:13" ht="13">
      <c r="C103" s="63"/>
      <c r="E103" s="41"/>
      <c r="F103" s="41"/>
      <c r="G103" s="41"/>
      <c r="H103" s="41"/>
      <c r="I103" s="41"/>
      <c r="K103" s="41"/>
      <c r="L103" s="64"/>
      <c r="M103" s="79"/>
    </row>
    <row r="104" spans="3:13" ht="13">
      <c r="C104" s="63"/>
      <c r="E104" s="41"/>
      <c r="F104" s="41"/>
      <c r="G104" s="41"/>
      <c r="H104" s="41"/>
      <c r="I104" s="41"/>
      <c r="K104" s="41"/>
      <c r="L104" s="64"/>
      <c r="M104" s="79"/>
    </row>
    <row r="105" spans="3:13" ht="13">
      <c r="C105" s="63"/>
      <c r="E105" s="41"/>
      <c r="F105" s="41"/>
      <c r="G105" s="41"/>
      <c r="H105" s="41"/>
      <c r="I105" s="41"/>
      <c r="K105" s="41"/>
      <c r="L105" s="64"/>
      <c r="M105" s="79"/>
    </row>
    <row r="106" spans="3:13" ht="13">
      <c r="C106" s="63"/>
      <c r="E106" s="41"/>
      <c r="F106" s="41"/>
      <c r="G106" s="41"/>
      <c r="H106" s="41"/>
      <c r="I106" s="41"/>
      <c r="K106" s="41"/>
      <c r="L106" s="64"/>
      <c r="M106" s="79"/>
    </row>
    <row r="107" spans="3:13" ht="13">
      <c r="C107" s="63"/>
      <c r="E107" s="41"/>
      <c r="F107" s="41"/>
      <c r="G107" s="41"/>
      <c r="H107" s="41"/>
      <c r="I107" s="41"/>
      <c r="K107" s="41"/>
      <c r="L107" s="64"/>
      <c r="M107" s="79"/>
    </row>
    <row r="108" spans="3:13" ht="13">
      <c r="C108" s="63"/>
      <c r="E108" s="41"/>
      <c r="F108" s="41"/>
      <c r="G108" s="41"/>
      <c r="H108" s="41"/>
      <c r="I108" s="41"/>
      <c r="K108" s="41"/>
      <c r="L108" s="64"/>
      <c r="M108" s="79"/>
    </row>
    <row r="109" spans="3:13" ht="13">
      <c r="C109" s="63"/>
      <c r="E109" s="41"/>
      <c r="F109" s="41"/>
      <c r="G109" s="41"/>
      <c r="H109" s="41"/>
      <c r="I109" s="41"/>
      <c r="K109" s="41"/>
      <c r="L109" s="64"/>
      <c r="M109" s="79"/>
    </row>
    <row r="110" spans="3:13" ht="13">
      <c r="C110" s="63"/>
      <c r="E110" s="41"/>
      <c r="F110" s="41"/>
      <c r="G110" s="41"/>
      <c r="H110" s="41"/>
      <c r="I110" s="41"/>
      <c r="K110" s="41"/>
      <c r="L110" s="64"/>
      <c r="M110" s="79"/>
    </row>
    <row r="111" spans="3:13" ht="13">
      <c r="C111" s="63"/>
      <c r="E111" s="41"/>
      <c r="F111" s="41"/>
      <c r="G111" s="41"/>
      <c r="H111" s="41"/>
      <c r="I111" s="41"/>
      <c r="K111" s="41"/>
      <c r="L111" s="64"/>
      <c r="M111" s="79"/>
    </row>
    <row r="112" spans="3:13" ht="13">
      <c r="C112" s="63"/>
      <c r="E112" s="41"/>
      <c r="F112" s="41"/>
      <c r="G112" s="41"/>
      <c r="H112" s="41"/>
      <c r="I112" s="41"/>
      <c r="K112" s="41"/>
      <c r="L112" s="64"/>
      <c r="M112" s="79"/>
    </row>
    <row r="113" spans="3:13" ht="13">
      <c r="C113" s="63"/>
      <c r="E113" s="41"/>
      <c r="F113" s="41"/>
      <c r="G113" s="41"/>
      <c r="H113" s="41"/>
      <c r="I113" s="41"/>
      <c r="K113" s="41"/>
      <c r="L113" s="64"/>
      <c r="M113" s="79"/>
    </row>
    <row r="114" spans="3:13" ht="13">
      <c r="C114" s="63"/>
      <c r="E114" s="41"/>
      <c r="F114" s="41"/>
      <c r="G114" s="41"/>
      <c r="H114" s="41"/>
      <c r="I114" s="41"/>
      <c r="K114" s="41"/>
      <c r="L114" s="64"/>
      <c r="M114" s="79"/>
    </row>
    <row r="115" spans="3:13" ht="13">
      <c r="C115" s="63"/>
      <c r="E115" s="41"/>
      <c r="F115" s="41"/>
      <c r="G115" s="41"/>
      <c r="H115" s="41"/>
      <c r="I115" s="41"/>
      <c r="K115" s="41"/>
      <c r="L115" s="64"/>
      <c r="M115" s="79"/>
    </row>
    <row r="116" spans="3:13" ht="13">
      <c r="C116" s="63"/>
      <c r="E116" s="41"/>
      <c r="F116" s="41"/>
      <c r="G116" s="41"/>
      <c r="H116" s="41"/>
      <c r="I116" s="41"/>
      <c r="K116" s="41"/>
      <c r="L116" s="64"/>
      <c r="M116" s="79"/>
    </row>
    <row r="117" spans="3:13" ht="13">
      <c r="C117" s="63"/>
      <c r="E117" s="41"/>
      <c r="F117" s="41"/>
      <c r="G117" s="41"/>
      <c r="H117" s="41"/>
      <c r="I117" s="41"/>
      <c r="K117" s="41"/>
      <c r="L117" s="64"/>
      <c r="M117" s="79"/>
    </row>
    <row r="118" spans="3:13" ht="13">
      <c r="C118" s="63"/>
      <c r="E118" s="41"/>
      <c r="F118" s="41"/>
      <c r="G118" s="41"/>
      <c r="H118" s="41"/>
      <c r="I118" s="41"/>
      <c r="K118" s="41"/>
      <c r="L118" s="64"/>
      <c r="M118" s="79"/>
    </row>
    <row r="119" spans="3:13" ht="13">
      <c r="C119" s="63"/>
      <c r="E119" s="41"/>
      <c r="F119" s="41"/>
      <c r="G119" s="41"/>
      <c r="H119" s="41"/>
      <c r="I119" s="41"/>
      <c r="K119" s="41"/>
      <c r="L119" s="64"/>
      <c r="M119" s="79"/>
    </row>
    <row r="120" spans="3:13" ht="13">
      <c r="C120" s="63"/>
      <c r="E120" s="41"/>
      <c r="F120" s="41"/>
      <c r="G120" s="41"/>
      <c r="H120" s="41"/>
      <c r="I120" s="41"/>
      <c r="K120" s="41"/>
      <c r="L120" s="64"/>
      <c r="M120" s="79"/>
    </row>
    <row r="121" spans="3:13" ht="13">
      <c r="C121" s="63"/>
      <c r="E121" s="41"/>
      <c r="F121" s="41"/>
      <c r="G121" s="41"/>
      <c r="H121" s="41"/>
      <c r="I121" s="41"/>
      <c r="K121" s="41"/>
      <c r="L121" s="64"/>
      <c r="M121" s="79"/>
    </row>
    <row r="122" spans="3:13" ht="13">
      <c r="C122" s="63"/>
      <c r="E122" s="41"/>
      <c r="F122" s="41"/>
      <c r="G122" s="41"/>
      <c r="H122" s="41"/>
      <c r="I122" s="41"/>
      <c r="K122" s="41"/>
      <c r="L122" s="64"/>
      <c r="M122" s="79"/>
    </row>
    <row r="123" spans="3:13" ht="13">
      <c r="C123" s="63"/>
      <c r="E123" s="41"/>
      <c r="F123" s="41"/>
      <c r="G123" s="41"/>
      <c r="H123" s="41"/>
      <c r="I123" s="41"/>
      <c r="K123" s="41"/>
      <c r="L123" s="64"/>
      <c r="M123" s="79"/>
    </row>
    <row r="124" spans="3:13" ht="13">
      <c r="C124" s="63"/>
      <c r="E124" s="41"/>
      <c r="F124" s="41"/>
      <c r="G124" s="41"/>
      <c r="H124" s="41"/>
      <c r="I124" s="41"/>
      <c r="K124" s="41"/>
      <c r="L124" s="64"/>
      <c r="M124" s="79"/>
    </row>
    <row r="125" spans="3:13" ht="13">
      <c r="C125" s="63"/>
      <c r="E125" s="41"/>
      <c r="F125" s="41"/>
      <c r="G125" s="41"/>
      <c r="H125" s="41"/>
      <c r="I125" s="41"/>
      <c r="K125" s="41"/>
      <c r="L125" s="64"/>
      <c r="M125" s="79"/>
    </row>
    <row r="126" spans="3:13" ht="13">
      <c r="C126" s="63"/>
      <c r="E126" s="41"/>
      <c r="F126" s="41"/>
      <c r="G126" s="41"/>
      <c r="H126" s="41"/>
      <c r="I126" s="41"/>
      <c r="K126" s="41"/>
      <c r="L126" s="64"/>
      <c r="M126" s="79"/>
    </row>
    <row r="127" spans="3:13" ht="13">
      <c r="C127" s="63"/>
      <c r="E127" s="41"/>
      <c r="F127" s="41"/>
      <c r="G127" s="41"/>
      <c r="H127" s="41"/>
      <c r="I127" s="41"/>
      <c r="K127" s="41"/>
      <c r="L127" s="64"/>
      <c r="M127" s="79"/>
    </row>
    <row r="128" spans="3:13" ht="13">
      <c r="C128" s="63"/>
      <c r="E128" s="41"/>
      <c r="F128" s="41"/>
      <c r="G128" s="41"/>
      <c r="H128" s="41"/>
      <c r="I128" s="41"/>
      <c r="K128" s="41"/>
      <c r="L128" s="64"/>
      <c r="M128" s="79"/>
    </row>
    <row r="129" spans="3:13" ht="13">
      <c r="C129" s="63"/>
      <c r="E129" s="41"/>
      <c r="F129" s="41"/>
      <c r="G129" s="41"/>
      <c r="H129" s="41"/>
      <c r="I129" s="41"/>
      <c r="K129" s="41"/>
      <c r="L129" s="64"/>
      <c r="M129" s="79"/>
    </row>
    <row r="130" spans="3:13" ht="13">
      <c r="C130" s="63"/>
      <c r="E130" s="41"/>
      <c r="F130" s="41"/>
      <c r="G130" s="41"/>
      <c r="H130" s="41"/>
      <c r="I130" s="41"/>
      <c r="K130" s="41"/>
      <c r="L130" s="64"/>
      <c r="M130" s="79"/>
    </row>
    <row r="131" spans="3:13" ht="13">
      <c r="C131" s="63"/>
      <c r="E131" s="41"/>
      <c r="F131" s="41"/>
      <c r="G131" s="41"/>
      <c r="H131" s="41"/>
      <c r="I131" s="41"/>
      <c r="K131" s="41"/>
      <c r="L131" s="64"/>
      <c r="M131" s="79"/>
    </row>
    <row r="132" spans="3:13" ht="13">
      <c r="C132" s="63"/>
      <c r="E132" s="41"/>
      <c r="F132" s="41"/>
      <c r="G132" s="41"/>
      <c r="H132" s="41"/>
      <c r="I132" s="41"/>
      <c r="K132" s="41"/>
      <c r="L132" s="64"/>
      <c r="M132" s="79"/>
    </row>
    <row r="133" spans="3:13" ht="13">
      <c r="C133" s="63"/>
      <c r="E133" s="41"/>
      <c r="F133" s="41"/>
      <c r="G133" s="41"/>
      <c r="H133" s="41"/>
      <c r="I133" s="41"/>
      <c r="K133" s="41"/>
      <c r="L133" s="64"/>
      <c r="M133" s="79"/>
    </row>
    <row r="134" spans="3:13" ht="13">
      <c r="C134" s="63"/>
      <c r="E134" s="41"/>
      <c r="F134" s="41"/>
      <c r="G134" s="41"/>
      <c r="H134" s="41"/>
      <c r="I134" s="41"/>
      <c r="K134" s="41"/>
      <c r="L134" s="64"/>
      <c r="M134" s="79"/>
    </row>
    <row r="135" spans="3:13" ht="13">
      <c r="C135" s="63"/>
      <c r="E135" s="41"/>
      <c r="F135" s="41"/>
      <c r="G135" s="41"/>
      <c r="H135" s="41"/>
      <c r="I135" s="41"/>
      <c r="K135" s="41"/>
      <c r="L135" s="64"/>
      <c r="M135" s="79"/>
    </row>
    <row r="136" spans="3:13" ht="13">
      <c r="C136" s="63"/>
      <c r="E136" s="41"/>
      <c r="F136" s="41"/>
      <c r="G136" s="41"/>
      <c r="H136" s="41"/>
      <c r="I136" s="41"/>
      <c r="K136" s="41"/>
      <c r="L136" s="64"/>
      <c r="M136" s="79"/>
    </row>
    <row r="137" spans="3:13" ht="13">
      <c r="C137" s="63"/>
      <c r="E137" s="41"/>
      <c r="F137" s="41"/>
      <c r="G137" s="41"/>
      <c r="H137" s="41"/>
      <c r="I137" s="41"/>
      <c r="K137" s="41"/>
      <c r="L137" s="64"/>
      <c r="M137" s="79"/>
    </row>
    <row r="138" spans="3:13" ht="13">
      <c r="C138" s="63"/>
      <c r="E138" s="41"/>
      <c r="F138" s="41"/>
      <c r="G138" s="41"/>
      <c r="H138" s="41"/>
      <c r="I138" s="41"/>
      <c r="K138" s="41"/>
      <c r="L138" s="64"/>
      <c r="M138" s="79"/>
    </row>
    <row r="139" spans="3:13" ht="13">
      <c r="C139" s="63"/>
      <c r="E139" s="41"/>
      <c r="F139" s="41"/>
      <c r="G139" s="41"/>
      <c r="H139" s="41"/>
      <c r="I139" s="41"/>
      <c r="K139" s="41"/>
      <c r="L139" s="64"/>
      <c r="M139" s="79"/>
    </row>
    <row r="140" spans="3:13" ht="13">
      <c r="C140" s="63"/>
      <c r="E140" s="41"/>
      <c r="F140" s="41"/>
      <c r="G140" s="41"/>
      <c r="H140" s="41"/>
      <c r="I140" s="41"/>
      <c r="K140" s="41"/>
      <c r="L140" s="64"/>
      <c r="M140" s="79"/>
    </row>
    <row r="141" spans="3:13" ht="13">
      <c r="C141" s="63"/>
      <c r="E141" s="41"/>
      <c r="F141" s="41"/>
      <c r="G141" s="41"/>
      <c r="H141" s="41"/>
      <c r="I141" s="41"/>
      <c r="K141" s="41"/>
      <c r="L141" s="64"/>
      <c r="M141" s="79"/>
    </row>
    <row r="142" spans="3:13" ht="13">
      <c r="C142" s="63"/>
      <c r="E142" s="41"/>
      <c r="F142" s="41"/>
      <c r="G142" s="41"/>
      <c r="H142" s="41"/>
      <c r="I142" s="41"/>
      <c r="K142" s="41"/>
      <c r="L142" s="64"/>
      <c r="M142" s="79"/>
    </row>
    <row r="143" spans="3:13" ht="13">
      <c r="C143" s="63"/>
      <c r="E143" s="41"/>
      <c r="F143" s="41"/>
      <c r="G143" s="41"/>
      <c r="H143" s="41"/>
      <c r="I143" s="41"/>
      <c r="K143" s="41"/>
      <c r="L143" s="64"/>
      <c r="M143" s="79"/>
    </row>
    <row r="144" spans="3:13" ht="13">
      <c r="C144" s="63"/>
      <c r="E144" s="41"/>
      <c r="F144" s="41"/>
      <c r="G144" s="41"/>
      <c r="H144" s="41"/>
      <c r="I144" s="41"/>
      <c r="K144" s="41"/>
      <c r="L144" s="64"/>
      <c r="M144" s="79"/>
    </row>
    <row r="145" spans="3:13" ht="13">
      <c r="C145" s="63"/>
      <c r="E145" s="41"/>
      <c r="F145" s="41"/>
      <c r="G145" s="41"/>
      <c r="H145" s="41"/>
      <c r="I145" s="41"/>
      <c r="K145" s="41"/>
      <c r="L145" s="64"/>
      <c r="M145" s="79"/>
    </row>
    <row r="146" spans="3:13" ht="13">
      <c r="C146" s="63"/>
      <c r="E146" s="41"/>
      <c r="F146" s="41"/>
      <c r="G146" s="41"/>
      <c r="H146" s="41"/>
      <c r="I146" s="41"/>
      <c r="K146" s="41"/>
      <c r="L146" s="64"/>
      <c r="M146" s="79"/>
    </row>
    <row r="147" spans="3:13" ht="13">
      <c r="C147" s="63"/>
      <c r="E147" s="41"/>
      <c r="F147" s="41"/>
      <c r="G147" s="41"/>
      <c r="H147" s="41"/>
      <c r="I147" s="41"/>
      <c r="K147" s="41"/>
      <c r="L147" s="64"/>
      <c r="M147" s="79"/>
    </row>
    <row r="148" spans="3:13" ht="13">
      <c r="C148" s="63"/>
      <c r="E148" s="41"/>
      <c r="F148" s="41"/>
      <c r="G148" s="41"/>
      <c r="H148" s="41"/>
      <c r="I148" s="41"/>
      <c r="K148" s="41"/>
      <c r="L148" s="64"/>
      <c r="M148" s="79"/>
    </row>
    <row r="149" spans="3:13" ht="13">
      <c r="C149" s="63"/>
      <c r="E149" s="41"/>
      <c r="F149" s="41"/>
      <c r="G149" s="41"/>
      <c r="H149" s="41"/>
      <c r="I149" s="41"/>
      <c r="K149" s="41"/>
      <c r="L149" s="64"/>
      <c r="M149" s="79"/>
    </row>
    <row r="150" spans="3:13" ht="13">
      <c r="C150" s="63"/>
      <c r="E150" s="41"/>
      <c r="F150" s="41"/>
      <c r="G150" s="41"/>
      <c r="H150" s="41"/>
      <c r="I150" s="41"/>
      <c r="K150" s="41"/>
      <c r="L150" s="64"/>
      <c r="M150" s="79"/>
    </row>
    <row r="151" spans="3:13" ht="13">
      <c r="C151" s="63"/>
      <c r="E151" s="41"/>
      <c r="F151" s="41"/>
      <c r="G151" s="41"/>
      <c r="H151" s="41"/>
      <c r="I151" s="41"/>
      <c r="K151" s="41"/>
      <c r="L151" s="64"/>
      <c r="M151" s="79"/>
    </row>
    <row r="152" spans="3:13" ht="13">
      <c r="C152" s="63"/>
      <c r="E152" s="41"/>
      <c r="F152" s="41"/>
      <c r="G152" s="41"/>
      <c r="H152" s="41"/>
      <c r="I152" s="41"/>
      <c r="K152" s="41"/>
      <c r="L152" s="64"/>
      <c r="M152" s="79"/>
    </row>
    <row r="153" spans="3:13" ht="13">
      <c r="C153" s="63"/>
      <c r="E153" s="41"/>
      <c r="F153" s="41"/>
      <c r="G153" s="41"/>
      <c r="H153" s="41"/>
      <c r="I153" s="41"/>
      <c r="K153" s="41"/>
      <c r="L153" s="64"/>
      <c r="M153" s="79"/>
    </row>
    <row r="154" spans="3:13" ht="13">
      <c r="C154" s="63"/>
      <c r="E154" s="41"/>
      <c r="F154" s="41"/>
      <c r="G154" s="41"/>
      <c r="H154" s="41"/>
      <c r="I154" s="41"/>
      <c r="K154" s="41"/>
      <c r="L154" s="64"/>
      <c r="M154" s="79"/>
    </row>
    <row r="155" spans="3:13" ht="13">
      <c r="C155" s="63"/>
      <c r="E155" s="41"/>
      <c r="F155" s="41"/>
      <c r="G155" s="41"/>
      <c r="H155" s="41"/>
      <c r="I155" s="41"/>
      <c r="K155" s="41"/>
      <c r="L155" s="64"/>
      <c r="M155" s="79"/>
    </row>
    <row r="156" spans="3:13" ht="13">
      <c r="C156" s="63"/>
      <c r="E156" s="41"/>
      <c r="F156" s="41"/>
      <c r="G156" s="41"/>
      <c r="H156" s="41"/>
      <c r="I156" s="41"/>
      <c r="K156" s="41"/>
      <c r="L156" s="64"/>
      <c r="M156" s="79"/>
    </row>
    <row r="157" spans="3:13" ht="13">
      <c r="C157" s="63"/>
      <c r="E157" s="41"/>
      <c r="F157" s="41"/>
      <c r="G157" s="41"/>
      <c r="H157" s="41"/>
      <c r="I157" s="41"/>
      <c r="K157" s="41"/>
      <c r="L157" s="64"/>
      <c r="M157" s="79"/>
    </row>
    <row r="158" spans="3:13" ht="13">
      <c r="C158" s="63"/>
      <c r="E158" s="41"/>
      <c r="F158" s="41"/>
      <c r="G158" s="41"/>
      <c r="H158" s="41"/>
      <c r="I158" s="41"/>
      <c r="K158" s="41"/>
      <c r="L158" s="64"/>
      <c r="M158" s="79"/>
    </row>
    <row r="159" spans="3:13" ht="13">
      <c r="C159" s="63"/>
      <c r="E159" s="41"/>
      <c r="F159" s="41"/>
      <c r="G159" s="41"/>
      <c r="H159" s="41"/>
      <c r="I159" s="41"/>
      <c r="K159" s="41"/>
      <c r="L159" s="64"/>
      <c r="M159" s="79"/>
    </row>
    <row r="160" spans="3:13" ht="13">
      <c r="C160" s="63"/>
      <c r="E160" s="41"/>
      <c r="F160" s="41"/>
      <c r="G160" s="41"/>
      <c r="H160" s="41"/>
      <c r="I160" s="41"/>
      <c r="K160" s="41"/>
      <c r="L160" s="64"/>
      <c r="M160" s="79"/>
    </row>
    <row r="161" spans="3:13" ht="13">
      <c r="C161" s="63"/>
      <c r="E161" s="41"/>
      <c r="F161" s="41"/>
      <c r="G161" s="41"/>
      <c r="H161" s="41"/>
      <c r="I161" s="41"/>
      <c r="K161" s="41"/>
      <c r="L161" s="64"/>
      <c r="M161" s="79"/>
    </row>
    <row r="162" spans="3:13" ht="13">
      <c r="C162" s="63"/>
      <c r="E162" s="41"/>
      <c r="F162" s="41"/>
      <c r="G162" s="41"/>
      <c r="H162" s="41"/>
      <c r="I162" s="41"/>
      <c r="K162" s="41"/>
      <c r="L162" s="64"/>
      <c r="M162" s="79"/>
    </row>
    <row r="163" spans="3:13" ht="13">
      <c r="C163" s="63"/>
      <c r="E163" s="41"/>
      <c r="F163" s="41"/>
      <c r="G163" s="41"/>
      <c r="H163" s="41"/>
      <c r="I163" s="41"/>
      <c r="K163" s="41"/>
      <c r="L163" s="64"/>
      <c r="M163" s="79"/>
    </row>
    <row r="164" spans="3:13" ht="13">
      <c r="C164" s="63"/>
      <c r="E164" s="41"/>
      <c r="F164" s="41"/>
      <c r="G164" s="41"/>
      <c r="H164" s="41"/>
      <c r="I164" s="41"/>
      <c r="K164" s="41"/>
      <c r="L164" s="64"/>
      <c r="M164" s="79"/>
    </row>
    <row r="165" spans="3:13" ht="13">
      <c r="C165" s="63"/>
      <c r="E165" s="41"/>
      <c r="F165" s="41"/>
      <c r="G165" s="41"/>
      <c r="H165" s="41"/>
      <c r="I165" s="41"/>
      <c r="K165" s="41"/>
      <c r="L165" s="64"/>
      <c r="M165" s="79"/>
    </row>
    <row r="166" spans="3:13" ht="13">
      <c r="C166" s="63"/>
      <c r="E166" s="41"/>
      <c r="F166" s="41"/>
      <c r="G166" s="41"/>
      <c r="H166" s="41"/>
      <c r="I166" s="41"/>
      <c r="K166" s="41"/>
      <c r="L166" s="64"/>
      <c r="M166" s="79"/>
    </row>
    <row r="167" spans="3:13" ht="13">
      <c r="C167" s="63"/>
      <c r="E167" s="41"/>
      <c r="F167" s="41"/>
      <c r="G167" s="41"/>
      <c r="H167" s="41"/>
      <c r="I167" s="41"/>
      <c r="K167" s="41"/>
      <c r="L167" s="64"/>
      <c r="M167" s="79"/>
    </row>
    <row r="168" spans="3:13" ht="13">
      <c r="C168" s="63"/>
      <c r="E168" s="41"/>
      <c r="F168" s="41"/>
      <c r="G168" s="41"/>
      <c r="H168" s="41"/>
      <c r="I168" s="41"/>
      <c r="K168" s="41"/>
      <c r="L168" s="64"/>
      <c r="M168" s="79"/>
    </row>
    <row r="169" spans="3:13" ht="13">
      <c r="C169" s="63"/>
      <c r="E169" s="41"/>
      <c r="F169" s="41"/>
      <c r="G169" s="41"/>
      <c r="H169" s="41"/>
      <c r="I169" s="41"/>
      <c r="K169" s="41"/>
      <c r="L169" s="64"/>
      <c r="M169" s="79"/>
    </row>
    <row r="170" spans="3:13" ht="13">
      <c r="C170" s="63"/>
      <c r="E170" s="41"/>
      <c r="F170" s="41"/>
      <c r="G170" s="41"/>
      <c r="H170" s="41"/>
      <c r="I170" s="41"/>
      <c r="K170" s="41"/>
      <c r="L170" s="64"/>
      <c r="M170" s="79"/>
    </row>
    <row r="171" spans="3:13" ht="13">
      <c r="C171" s="63"/>
      <c r="E171" s="41"/>
      <c r="F171" s="41"/>
      <c r="G171" s="41"/>
      <c r="H171" s="41"/>
      <c r="I171" s="41"/>
      <c r="K171" s="41"/>
      <c r="L171" s="64"/>
      <c r="M171" s="79"/>
    </row>
    <row r="172" spans="3:13" ht="13">
      <c r="C172" s="63"/>
      <c r="E172" s="41"/>
      <c r="F172" s="41"/>
      <c r="G172" s="41"/>
      <c r="H172" s="41"/>
      <c r="I172" s="41"/>
      <c r="K172" s="41"/>
      <c r="L172" s="64"/>
      <c r="M172" s="79"/>
    </row>
    <row r="173" spans="3:13" ht="13">
      <c r="C173" s="63"/>
      <c r="E173" s="41"/>
      <c r="F173" s="41"/>
      <c r="G173" s="41"/>
      <c r="H173" s="41"/>
      <c r="I173" s="41"/>
      <c r="K173" s="41"/>
      <c r="L173" s="64"/>
      <c r="M173" s="79"/>
    </row>
    <row r="174" spans="3:13" ht="13">
      <c r="C174" s="63"/>
      <c r="E174" s="41"/>
      <c r="F174" s="41"/>
      <c r="G174" s="41"/>
      <c r="H174" s="41"/>
      <c r="I174" s="41"/>
      <c r="K174" s="41"/>
      <c r="L174" s="64"/>
      <c r="M174" s="79"/>
    </row>
    <row r="175" spans="3:13" ht="13">
      <c r="C175" s="63"/>
      <c r="E175" s="41"/>
      <c r="F175" s="41"/>
      <c r="G175" s="41"/>
      <c r="H175" s="41"/>
      <c r="I175" s="41"/>
      <c r="K175" s="41"/>
      <c r="L175" s="64"/>
      <c r="M175" s="79"/>
    </row>
    <row r="176" spans="3:13" ht="13">
      <c r="C176" s="63"/>
      <c r="E176" s="41"/>
      <c r="F176" s="41"/>
      <c r="G176" s="41"/>
      <c r="H176" s="41"/>
      <c r="I176" s="41"/>
      <c r="K176" s="41"/>
      <c r="L176" s="64"/>
      <c r="M176" s="79"/>
    </row>
    <row r="177" spans="3:13" ht="13">
      <c r="C177" s="63"/>
      <c r="E177" s="41"/>
      <c r="F177" s="41"/>
      <c r="G177" s="41"/>
      <c r="H177" s="41"/>
      <c r="I177" s="41"/>
      <c r="K177" s="41"/>
      <c r="L177" s="64"/>
      <c r="M177" s="79"/>
    </row>
    <row r="178" spans="3:13" ht="13">
      <c r="C178" s="63"/>
      <c r="E178" s="41"/>
      <c r="F178" s="41"/>
      <c r="G178" s="41"/>
      <c r="H178" s="41"/>
      <c r="I178" s="41"/>
      <c r="K178" s="41"/>
      <c r="L178" s="64"/>
      <c r="M178" s="79"/>
    </row>
    <row r="179" spans="3:13" ht="13">
      <c r="C179" s="63"/>
      <c r="E179" s="41"/>
      <c r="F179" s="41"/>
      <c r="G179" s="41"/>
      <c r="H179" s="41"/>
      <c r="I179" s="41"/>
      <c r="K179" s="41"/>
      <c r="L179" s="64"/>
      <c r="M179" s="79"/>
    </row>
    <row r="180" spans="3:13" ht="13">
      <c r="C180" s="63"/>
      <c r="E180" s="41"/>
      <c r="F180" s="41"/>
      <c r="G180" s="41"/>
      <c r="H180" s="41"/>
      <c r="I180" s="41"/>
      <c r="K180" s="41"/>
      <c r="L180" s="64"/>
      <c r="M180" s="79"/>
    </row>
    <row r="181" spans="3:13" ht="13">
      <c r="C181" s="63"/>
      <c r="E181" s="41"/>
      <c r="F181" s="41"/>
      <c r="G181" s="41"/>
      <c r="H181" s="41"/>
      <c r="I181" s="41"/>
      <c r="K181" s="41"/>
      <c r="L181" s="64"/>
      <c r="M181" s="79"/>
    </row>
    <row r="182" spans="3:13" ht="13">
      <c r="C182" s="63"/>
      <c r="E182" s="41"/>
      <c r="F182" s="41"/>
      <c r="G182" s="41"/>
      <c r="H182" s="41"/>
      <c r="I182" s="41"/>
      <c r="K182" s="41"/>
      <c r="L182" s="64"/>
      <c r="M182" s="79"/>
    </row>
    <row r="183" spans="3:13" ht="13">
      <c r="C183" s="63"/>
      <c r="E183" s="41"/>
      <c r="F183" s="41"/>
      <c r="G183" s="41"/>
      <c r="H183" s="41"/>
      <c r="I183" s="41"/>
      <c r="K183" s="41"/>
      <c r="L183" s="64"/>
      <c r="M183" s="79"/>
    </row>
    <row r="184" spans="3:13" ht="13">
      <c r="C184" s="63"/>
      <c r="E184" s="41"/>
      <c r="F184" s="41"/>
      <c r="G184" s="41"/>
      <c r="H184" s="41"/>
      <c r="I184" s="41"/>
      <c r="K184" s="41"/>
      <c r="L184" s="64"/>
      <c r="M184" s="79"/>
    </row>
    <row r="185" spans="3:13" ht="13">
      <c r="C185" s="63"/>
      <c r="E185" s="41"/>
      <c r="F185" s="41"/>
      <c r="G185" s="41"/>
      <c r="H185" s="41"/>
      <c r="I185" s="41"/>
      <c r="K185" s="41"/>
      <c r="L185" s="64"/>
      <c r="M185" s="79"/>
    </row>
    <row r="186" spans="3:13" ht="13">
      <c r="C186" s="63"/>
      <c r="E186" s="41"/>
      <c r="F186" s="41"/>
      <c r="G186" s="41"/>
      <c r="H186" s="41"/>
      <c r="I186" s="41"/>
      <c r="K186" s="41"/>
      <c r="L186" s="64"/>
      <c r="M186" s="79"/>
    </row>
    <row r="187" spans="3:13" ht="13">
      <c r="C187" s="63"/>
      <c r="E187" s="41"/>
      <c r="F187" s="41"/>
      <c r="G187" s="41"/>
      <c r="H187" s="41"/>
      <c r="I187" s="41"/>
      <c r="K187" s="41"/>
      <c r="L187" s="64"/>
      <c r="M187" s="79"/>
    </row>
    <row r="188" spans="3:13" ht="13">
      <c r="C188" s="63"/>
      <c r="E188" s="41"/>
      <c r="F188" s="41"/>
      <c r="G188" s="41"/>
      <c r="H188" s="41"/>
      <c r="I188" s="41"/>
      <c r="K188" s="41"/>
      <c r="L188" s="64"/>
      <c r="M188" s="79"/>
    </row>
    <row r="189" spans="3:13" ht="13">
      <c r="C189" s="63"/>
      <c r="E189" s="41"/>
      <c r="F189" s="41"/>
      <c r="G189" s="41"/>
      <c r="H189" s="41"/>
      <c r="I189" s="41"/>
      <c r="K189" s="41"/>
      <c r="L189" s="64"/>
      <c r="M189" s="79"/>
    </row>
    <row r="190" spans="3:13" ht="13">
      <c r="C190" s="63"/>
      <c r="E190" s="41"/>
      <c r="F190" s="41"/>
      <c r="G190" s="41"/>
      <c r="H190" s="41"/>
      <c r="I190" s="41"/>
      <c r="K190" s="41"/>
      <c r="L190" s="64"/>
      <c r="M190" s="79"/>
    </row>
    <row r="191" spans="3:13" ht="13">
      <c r="C191" s="63"/>
      <c r="E191" s="41"/>
      <c r="F191" s="41"/>
      <c r="G191" s="41"/>
      <c r="H191" s="41"/>
      <c r="I191" s="41"/>
      <c r="K191" s="41"/>
      <c r="L191" s="64"/>
      <c r="M191" s="79"/>
    </row>
    <row r="192" spans="3:13" ht="13">
      <c r="C192" s="63"/>
      <c r="E192" s="41"/>
      <c r="F192" s="41"/>
      <c r="G192" s="41"/>
      <c r="H192" s="41"/>
      <c r="I192" s="41"/>
      <c r="K192" s="41"/>
      <c r="L192" s="64"/>
      <c r="M192" s="79"/>
    </row>
    <row r="193" spans="3:13" ht="13">
      <c r="C193" s="63"/>
      <c r="E193" s="41"/>
      <c r="F193" s="41"/>
      <c r="G193" s="41"/>
      <c r="H193" s="41"/>
      <c r="I193" s="41"/>
      <c r="K193" s="41"/>
      <c r="L193" s="64"/>
      <c r="M193" s="79"/>
    </row>
    <row r="194" spans="3:13" ht="13">
      <c r="C194" s="63"/>
      <c r="E194" s="41"/>
      <c r="F194" s="41"/>
      <c r="G194" s="41"/>
      <c r="H194" s="41"/>
      <c r="I194" s="41"/>
      <c r="K194" s="41"/>
      <c r="L194" s="64"/>
      <c r="M194" s="79"/>
    </row>
    <row r="195" spans="3:13" ht="13">
      <c r="C195" s="63"/>
      <c r="E195" s="41"/>
      <c r="F195" s="41"/>
      <c r="G195" s="41"/>
      <c r="H195" s="41"/>
      <c r="I195" s="41"/>
      <c r="K195" s="41"/>
      <c r="L195" s="64"/>
      <c r="M195" s="79"/>
    </row>
    <row r="196" spans="3:13" ht="13">
      <c r="C196" s="63"/>
      <c r="E196" s="41"/>
      <c r="F196" s="41"/>
      <c r="G196" s="41"/>
      <c r="H196" s="41"/>
      <c r="I196" s="41"/>
      <c r="K196" s="41"/>
      <c r="L196" s="64"/>
      <c r="M196" s="79"/>
    </row>
    <row r="197" spans="3:13" ht="13">
      <c r="C197" s="63"/>
      <c r="E197" s="41"/>
      <c r="F197" s="41"/>
      <c r="G197" s="41"/>
      <c r="H197" s="41"/>
      <c r="I197" s="41"/>
      <c r="K197" s="41"/>
      <c r="L197" s="64"/>
      <c r="M197" s="79"/>
    </row>
    <row r="198" spans="3:13" ht="13">
      <c r="C198" s="63"/>
      <c r="E198" s="41"/>
      <c r="F198" s="41"/>
      <c r="G198" s="41"/>
      <c r="H198" s="41"/>
      <c r="I198" s="41"/>
      <c r="K198" s="41"/>
      <c r="L198" s="64"/>
      <c r="M198" s="79"/>
    </row>
    <row r="199" spans="3:13" ht="13">
      <c r="C199" s="63"/>
      <c r="E199" s="41"/>
      <c r="F199" s="41"/>
      <c r="G199" s="41"/>
      <c r="H199" s="41"/>
      <c r="I199" s="41"/>
      <c r="K199" s="41"/>
      <c r="L199" s="64"/>
      <c r="M199" s="79"/>
    </row>
    <row r="200" spans="3:13" ht="13">
      <c r="C200" s="63"/>
      <c r="E200" s="41"/>
      <c r="F200" s="41"/>
      <c r="G200" s="41"/>
      <c r="H200" s="41"/>
      <c r="I200" s="41"/>
      <c r="K200" s="41"/>
      <c r="L200" s="64"/>
      <c r="M200" s="79"/>
    </row>
    <row r="201" spans="3:13" ht="13">
      <c r="C201" s="63"/>
      <c r="E201" s="41"/>
      <c r="F201" s="41"/>
      <c r="G201" s="41"/>
      <c r="H201" s="41"/>
      <c r="I201" s="41"/>
      <c r="K201" s="41"/>
      <c r="L201" s="64"/>
      <c r="M201" s="79"/>
    </row>
    <row r="202" spans="3:13" ht="13">
      <c r="C202" s="63"/>
      <c r="E202" s="41"/>
      <c r="F202" s="41"/>
      <c r="G202" s="41"/>
      <c r="H202" s="41"/>
      <c r="I202" s="41"/>
      <c r="K202" s="41"/>
      <c r="L202" s="64"/>
      <c r="M202" s="79"/>
    </row>
    <row r="203" spans="3:13" ht="13">
      <c r="C203" s="63"/>
      <c r="E203" s="41"/>
      <c r="F203" s="41"/>
      <c r="G203" s="41"/>
      <c r="H203" s="41"/>
      <c r="I203" s="41"/>
      <c r="K203" s="41"/>
      <c r="L203" s="64"/>
      <c r="M203" s="79"/>
    </row>
    <row r="204" spans="3:13" ht="13">
      <c r="C204" s="63"/>
      <c r="E204" s="41"/>
      <c r="F204" s="41"/>
      <c r="G204" s="41"/>
      <c r="H204" s="41"/>
      <c r="I204" s="41"/>
      <c r="K204" s="41"/>
      <c r="L204" s="64"/>
      <c r="M204" s="79"/>
    </row>
    <row r="205" spans="3:13" ht="13">
      <c r="C205" s="63"/>
      <c r="E205" s="41"/>
      <c r="F205" s="41"/>
      <c r="G205" s="41"/>
      <c r="H205" s="41"/>
      <c r="I205" s="41"/>
      <c r="K205" s="41"/>
      <c r="L205" s="64"/>
      <c r="M205" s="79"/>
    </row>
    <row r="206" spans="3:13" ht="13">
      <c r="C206" s="63"/>
      <c r="E206" s="41"/>
      <c r="F206" s="41"/>
      <c r="G206" s="41"/>
      <c r="H206" s="41"/>
      <c r="I206" s="41"/>
      <c r="K206" s="41"/>
      <c r="L206" s="64"/>
      <c r="M206" s="79"/>
    </row>
    <row r="207" spans="3:13" ht="13">
      <c r="C207" s="63"/>
      <c r="E207" s="41"/>
      <c r="F207" s="41"/>
      <c r="G207" s="41"/>
      <c r="H207" s="41"/>
      <c r="I207" s="41"/>
      <c r="K207" s="41"/>
      <c r="L207" s="64"/>
      <c r="M207" s="79"/>
    </row>
    <row r="208" spans="3:13" ht="13">
      <c r="C208" s="63"/>
      <c r="E208" s="41"/>
      <c r="F208" s="41"/>
      <c r="G208" s="41"/>
      <c r="H208" s="41"/>
      <c r="I208" s="41"/>
      <c r="K208" s="41"/>
      <c r="L208" s="64"/>
      <c r="M208" s="79"/>
    </row>
    <row r="209" spans="3:13" ht="13">
      <c r="C209" s="63"/>
      <c r="E209" s="41"/>
      <c r="F209" s="41"/>
      <c r="G209" s="41"/>
      <c r="H209" s="41"/>
      <c r="I209" s="41"/>
      <c r="K209" s="41"/>
      <c r="L209" s="64"/>
      <c r="M209" s="79"/>
    </row>
    <row r="210" spans="3:13" ht="13">
      <c r="C210" s="63"/>
      <c r="E210" s="41"/>
      <c r="F210" s="41"/>
      <c r="G210" s="41"/>
      <c r="H210" s="41"/>
      <c r="I210" s="41"/>
      <c r="K210" s="41"/>
      <c r="L210" s="64"/>
      <c r="M210" s="79"/>
    </row>
    <row r="211" spans="3:13" ht="13">
      <c r="C211" s="63"/>
      <c r="E211" s="41"/>
      <c r="F211" s="41"/>
      <c r="G211" s="41"/>
      <c r="H211" s="41"/>
      <c r="I211" s="41"/>
      <c r="K211" s="41"/>
      <c r="L211" s="64"/>
      <c r="M211" s="79"/>
    </row>
    <row r="212" spans="3:13" ht="13">
      <c r="C212" s="63"/>
      <c r="E212" s="41"/>
      <c r="F212" s="41"/>
      <c r="G212" s="41"/>
      <c r="H212" s="41"/>
      <c r="I212" s="41"/>
      <c r="K212" s="41"/>
      <c r="L212" s="64"/>
      <c r="M212" s="79"/>
    </row>
    <row r="213" spans="3:13" ht="13">
      <c r="C213" s="63"/>
      <c r="E213" s="41"/>
      <c r="F213" s="41"/>
      <c r="G213" s="41"/>
      <c r="H213" s="41"/>
      <c r="I213" s="41"/>
      <c r="K213" s="41"/>
      <c r="L213" s="64"/>
      <c r="M213" s="79"/>
    </row>
    <row r="214" spans="3:13" ht="13">
      <c r="C214" s="63"/>
      <c r="E214" s="41"/>
      <c r="F214" s="41"/>
      <c r="G214" s="41"/>
      <c r="H214" s="41"/>
      <c r="I214" s="41"/>
      <c r="K214" s="41"/>
      <c r="L214" s="64"/>
      <c r="M214" s="79"/>
    </row>
    <row r="215" spans="3:13" ht="13">
      <c r="C215" s="63"/>
      <c r="E215" s="41"/>
      <c r="F215" s="41"/>
      <c r="G215" s="41"/>
      <c r="H215" s="41"/>
      <c r="I215" s="41"/>
      <c r="K215" s="41"/>
      <c r="L215" s="64"/>
      <c r="M215" s="79"/>
    </row>
    <row r="216" spans="3:13" ht="13">
      <c r="C216" s="63"/>
      <c r="E216" s="41"/>
      <c r="F216" s="41"/>
      <c r="G216" s="41"/>
      <c r="H216" s="41"/>
      <c r="I216" s="41"/>
      <c r="K216" s="41"/>
      <c r="L216" s="64"/>
      <c r="M216" s="79"/>
    </row>
    <row r="217" spans="3:13" ht="13">
      <c r="C217" s="63"/>
      <c r="E217" s="41"/>
      <c r="F217" s="41"/>
      <c r="G217" s="41"/>
      <c r="H217" s="41"/>
      <c r="I217" s="41"/>
      <c r="K217" s="41"/>
      <c r="L217" s="64"/>
      <c r="M217" s="79"/>
    </row>
    <row r="218" spans="3:13" ht="13">
      <c r="C218" s="63"/>
      <c r="E218" s="41"/>
      <c r="F218" s="41"/>
      <c r="G218" s="41"/>
      <c r="H218" s="41"/>
      <c r="I218" s="41"/>
      <c r="K218" s="41"/>
      <c r="L218" s="64"/>
      <c r="M218" s="79"/>
    </row>
    <row r="219" spans="3:13" ht="13">
      <c r="C219" s="63"/>
      <c r="E219" s="41"/>
      <c r="F219" s="41"/>
      <c r="G219" s="41"/>
      <c r="H219" s="41"/>
      <c r="I219" s="41"/>
      <c r="K219" s="41"/>
      <c r="L219" s="64"/>
      <c r="M219" s="79"/>
    </row>
    <row r="220" spans="3:13" ht="13">
      <c r="C220" s="63"/>
      <c r="E220" s="41"/>
      <c r="F220" s="41"/>
      <c r="G220" s="41"/>
      <c r="H220" s="41"/>
      <c r="I220" s="41"/>
      <c r="K220" s="41"/>
      <c r="L220" s="64"/>
      <c r="M220" s="79"/>
    </row>
    <row r="221" spans="3:13" ht="13">
      <c r="C221" s="63"/>
      <c r="E221" s="41"/>
      <c r="F221" s="41"/>
      <c r="G221" s="41"/>
      <c r="H221" s="41"/>
      <c r="I221" s="41"/>
      <c r="K221" s="41"/>
      <c r="L221" s="64"/>
      <c r="M221" s="79"/>
    </row>
    <row r="222" spans="3:13" ht="13">
      <c r="C222" s="63"/>
      <c r="E222" s="41"/>
      <c r="F222" s="41"/>
      <c r="G222" s="41"/>
      <c r="H222" s="41"/>
      <c r="I222" s="41"/>
      <c r="K222" s="41"/>
      <c r="L222" s="64"/>
      <c r="M222" s="79"/>
    </row>
    <row r="223" spans="3:13" ht="13">
      <c r="C223" s="63"/>
      <c r="E223" s="41"/>
      <c r="F223" s="41"/>
      <c r="G223" s="41"/>
      <c r="H223" s="41"/>
      <c r="I223" s="41"/>
      <c r="K223" s="41"/>
      <c r="L223" s="64"/>
      <c r="M223" s="79"/>
    </row>
    <row r="224" spans="3:13" ht="13">
      <c r="C224" s="63"/>
      <c r="E224" s="41"/>
      <c r="F224" s="41"/>
      <c r="G224" s="41"/>
      <c r="H224" s="41"/>
      <c r="I224" s="41"/>
      <c r="K224" s="41"/>
      <c r="L224" s="64"/>
      <c r="M224" s="79"/>
    </row>
    <row r="225" spans="3:13" ht="13">
      <c r="C225" s="63"/>
      <c r="E225" s="41"/>
      <c r="F225" s="41"/>
      <c r="G225" s="41"/>
      <c r="H225" s="41"/>
      <c r="I225" s="41"/>
      <c r="K225" s="41"/>
      <c r="L225" s="64"/>
      <c r="M225" s="79"/>
    </row>
    <row r="226" spans="3:13" ht="13">
      <c r="C226" s="63"/>
      <c r="E226" s="41"/>
      <c r="F226" s="41"/>
      <c r="G226" s="41"/>
      <c r="H226" s="41"/>
      <c r="I226" s="41"/>
      <c r="K226" s="41"/>
      <c r="L226" s="64"/>
      <c r="M226" s="79"/>
    </row>
    <row r="227" spans="3:13" ht="13">
      <c r="C227" s="63"/>
      <c r="E227" s="41"/>
      <c r="F227" s="41"/>
      <c r="G227" s="41"/>
      <c r="H227" s="41"/>
      <c r="I227" s="41"/>
      <c r="K227" s="41"/>
      <c r="L227" s="64"/>
      <c r="M227" s="79"/>
    </row>
    <row r="228" spans="3:13" ht="13">
      <c r="C228" s="63"/>
      <c r="E228" s="41"/>
      <c r="F228" s="41"/>
      <c r="G228" s="41"/>
      <c r="H228" s="41"/>
      <c r="I228" s="41"/>
      <c r="K228" s="41"/>
      <c r="L228" s="64"/>
      <c r="M228" s="79"/>
    </row>
    <row r="229" spans="3:13" ht="13">
      <c r="C229" s="63"/>
      <c r="E229" s="41"/>
      <c r="F229" s="41"/>
      <c r="G229" s="41"/>
      <c r="H229" s="41"/>
      <c r="I229" s="41"/>
      <c r="K229" s="41"/>
      <c r="L229" s="64"/>
      <c r="M229" s="79"/>
    </row>
    <row r="230" spans="3:13" ht="13">
      <c r="C230" s="63"/>
      <c r="E230" s="41"/>
      <c r="F230" s="41"/>
      <c r="G230" s="41"/>
      <c r="H230" s="41"/>
      <c r="I230" s="41"/>
      <c r="K230" s="41"/>
      <c r="L230" s="64"/>
      <c r="M230" s="79"/>
    </row>
    <row r="231" spans="3:13" ht="13">
      <c r="C231" s="63"/>
      <c r="E231" s="41"/>
      <c r="F231" s="41"/>
      <c r="G231" s="41"/>
      <c r="H231" s="41"/>
      <c r="I231" s="41"/>
      <c r="K231" s="41"/>
      <c r="L231" s="64"/>
      <c r="M231" s="79"/>
    </row>
    <row r="232" spans="3:13" ht="13">
      <c r="C232" s="63"/>
      <c r="E232" s="41"/>
      <c r="F232" s="41"/>
      <c r="G232" s="41"/>
      <c r="H232" s="41"/>
      <c r="I232" s="41"/>
      <c r="K232" s="41"/>
      <c r="L232" s="64"/>
      <c r="M232" s="79"/>
    </row>
    <row r="233" spans="3:13" ht="13">
      <c r="C233" s="63"/>
      <c r="E233" s="41"/>
      <c r="F233" s="41"/>
      <c r="G233" s="41"/>
      <c r="H233" s="41"/>
      <c r="I233" s="41"/>
      <c r="K233" s="41"/>
      <c r="L233" s="64"/>
      <c r="M233" s="79"/>
    </row>
    <row r="234" spans="3:13" ht="13">
      <c r="C234" s="63"/>
      <c r="E234" s="41"/>
      <c r="F234" s="41"/>
      <c r="G234" s="41"/>
      <c r="H234" s="41"/>
      <c r="I234" s="41"/>
      <c r="K234" s="41"/>
      <c r="L234" s="64"/>
      <c r="M234" s="79"/>
    </row>
    <row r="235" spans="3:13" ht="13">
      <c r="C235" s="63"/>
      <c r="E235" s="41"/>
      <c r="F235" s="41"/>
      <c r="G235" s="41"/>
      <c r="H235" s="41"/>
      <c r="I235" s="41"/>
      <c r="K235" s="41"/>
      <c r="L235" s="64"/>
      <c r="M235" s="79"/>
    </row>
    <row r="236" spans="3:13" ht="13">
      <c r="C236" s="63"/>
      <c r="E236" s="41"/>
      <c r="F236" s="41"/>
      <c r="G236" s="41"/>
      <c r="H236" s="41"/>
      <c r="I236" s="41"/>
      <c r="K236" s="41"/>
      <c r="L236" s="64"/>
      <c r="M236" s="79"/>
    </row>
    <row r="237" spans="3:13" ht="13">
      <c r="C237" s="63"/>
      <c r="E237" s="41"/>
      <c r="F237" s="41"/>
      <c r="G237" s="41"/>
      <c r="H237" s="41"/>
      <c r="I237" s="41"/>
      <c r="K237" s="41"/>
      <c r="L237" s="64"/>
      <c r="M237" s="79"/>
    </row>
    <row r="238" spans="3:13" ht="13">
      <c r="C238" s="63"/>
      <c r="E238" s="41"/>
      <c r="F238" s="41"/>
      <c r="G238" s="41"/>
      <c r="H238" s="41"/>
      <c r="I238" s="41"/>
      <c r="K238" s="41"/>
      <c r="L238" s="64"/>
      <c r="M238" s="79"/>
    </row>
    <row r="239" spans="3:13" ht="13">
      <c r="C239" s="63"/>
      <c r="E239" s="41"/>
      <c r="F239" s="41"/>
      <c r="G239" s="41"/>
      <c r="H239" s="41"/>
      <c r="I239" s="41"/>
      <c r="K239" s="41"/>
      <c r="L239" s="64"/>
      <c r="M239" s="79"/>
    </row>
    <row r="240" spans="3:13" ht="13">
      <c r="C240" s="63"/>
      <c r="E240" s="41"/>
      <c r="F240" s="41"/>
      <c r="G240" s="41"/>
      <c r="H240" s="41"/>
      <c r="I240" s="41"/>
      <c r="K240" s="41"/>
      <c r="L240" s="64"/>
      <c r="M240" s="79"/>
    </row>
    <row r="241" spans="3:13" ht="13">
      <c r="C241" s="63"/>
      <c r="E241" s="41"/>
      <c r="F241" s="41"/>
      <c r="G241" s="41"/>
      <c r="H241" s="41"/>
      <c r="I241" s="41"/>
      <c r="K241" s="41"/>
      <c r="L241" s="64"/>
      <c r="M241" s="79"/>
    </row>
    <row r="242" spans="3:13" ht="13">
      <c r="C242" s="63"/>
      <c r="E242" s="41"/>
      <c r="F242" s="41"/>
      <c r="G242" s="41"/>
      <c r="H242" s="41"/>
      <c r="I242" s="41"/>
      <c r="K242" s="41"/>
      <c r="L242" s="64"/>
      <c r="M242" s="79"/>
    </row>
    <row r="243" spans="3:13" ht="13">
      <c r="C243" s="63"/>
      <c r="E243" s="41"/>
      <c r="F243" s="41"/>
      <c r="G243" s="41"/>
      <c r="H243" s="41"/>
      <c r="I243" s="41"/>
      <c r="K243" s="41"/>
      <c r="L243" s="64"/>
      <c r="M243" s="79"/>
    </row>
    <row r="244" spans="3:13" ht="13">
      <c r="C244" s="63"/>
      <c r="E244" s="41"/>
      <c r="F244" s="41"/>
      <c r="G244" s="41"/>
      <c r="H244" s="41"/>
      <c r="I244" s="41"/>
      <c r="K244" s="41"/>
      <c r="L244" s="64"/>
      <c r="M244" s="79"/>
    </row>
    <row r="245" spans="3:13" ht="13">
      <c r="C245" s="63"/>
      <c r="E245" s="41"/>
      <c r="F245" s="41"/>
      <c r="G245" s="41"/>
      <c r="H245" s="41"/>
      <c r="I245" s="41"/>
      <c r="K245" s="41"/>
      <c r="L245" s="64"/>
      <c r="M245" s="79"/>
    </row>
    <row r="246" spans="3:13" ht="13">
      <c r="C246" s="63"/>
      <c r="E246" s="41"/>
      <c r="F246" s="41"/>
      <c r="G246" s="41"/>
      <c r="H246" s="41"/>
      <c r="I246" s="41"/>
      <c r="K246" s="41"/>
      <c r="L246" s="64"/>
      <c r="M246" s="79"/>
    </row>
    <row r="247" spans="3:13" ht="13">
      <c r="C247" s="63"/>
      <c r="E247" s="41"/>
      <c r="F247" s="41"/>
      <c r="G247" s="41"/>
      <c r="H247" s="41"/>
      <c r="I247" s="41"/>
      <c r="K247" s="41"/>
      <c r="L247" s="64"/>
      <c r="M247" s="79"/>
    </row>
    <row r="248" spans="3:13" ht="13">
      <c r="C248" s="63"/>
      <c r="E248" s="41"/>
      <c r="F248" s="41"/>
      <c r="G248" s="41"/>
      <c r="H248" s="41"/>
      <c r="I248" s="41"/>
      <c r="K248" s="41"/>
      <c r="L248" s="64"/>
      <c r="M248" s="79"/>
    </row>
    <row r="249" spans="3:13" ht="13">
      <c r="C249" s="63"/>
      <c r="E249" s="41"/>
      <c r="F249" s="41"/>
      <c r="G249" s="41"/>
      <c r="H249" s="41"/>
      <c r="I249" s="41"/>
      <c r="K249" s="41"/>
      <c r="L249" s="64"/>
      <c r="M249" s="79"/>
    </row>
    <row r="250" spans="3:13" ht="13">
      <c r="C250" s="63"/>
      <c r="E250" s="41"/>
      <c r="F250" s="41"/>
      <c r="G250" s="41"/>
      <c r="H250" s="41"/>
      <c r="I250" s="41"/>
      <c r="K250" s="41"/>
      <c r="L250" s="64"/>
      <c r="M250" s="79"/>
    </row>
    <row r="251" spans="3:13" ht="13">
      <c r="C251" s="63"/>
      <c r="E251" s="41"/>
      <c r="F251" s="41"/>
      <c r="G251" s="41"/>
      <c r="H251" s="41"/>
      <c r="I251" s="41"/>
      <c r="K251" s="41"/>
      <c r="L251" s="64"/>
      <c r="M251" s="79"/>
    </row>
    <row r="252" spans="3:13" ht="13">
      <c r="C252" s="63"/>
      <c r="E252" s="41"/>
      <c r="F252" s="41"/>
      <c r="G252" s="41"/>
      <c r="H252" s="41"/>
      <c r="I252" s="41"/>
      <c r="K252" s="41"/>
      <c r="L252" s="64"/>
      <c r="M252" s="79"/>
    </row>
    <row r="253" spans="3:13" ht="13">
      <c r="C253" s="63"/>
      <c r="E253" s="41"/>
      <c r="F253" s="41"/>
      <c r="G253" s="41"/>
      <c r="H253" s="41"/>
      <c r="I253" s="41"/>
      <c r="K253" s="41"/>
      <c r="L253" s="64"/>
      <c r="M253" s="79"/>
    </row>
    <row r="254" spans="3:13" ht="13">
      <c r="C254" s="63"/>
      <c r="E254" s="41"/>
      <c r="F254" s="41"/>
      <c r="G254" s="41"/>
      <c r="H254" s="41"/>
      <c r="I254" s="41"/>
      <c r="K254" s="41"/>
      <c r="L254" s="64"/>
      <c r="M254" s="79"/>
    </row>
    <row r="255" spans="3:13" ht="13">
      <c r="C255" s="63"/>
      <c r="E255" s="41"/>
      <c r="F255" s="41"/>
      <c r="G255" s="41"/>
      <c r="H255" s="41"/>
      <c r="I255" s="41"/>
      <c r="K255" s="41"/>
      <c r="L255" s="64"/>
      <c r="M255" s="79"/>
    </row>
    <row r="256" spans="3:13" ht="13">
      <c r="C256" s="63"/>
      <c r="E256" s="41"/>
      <c r="F256" s="41"/>
      <c r="G256" s="41"/>
      <c r="H256" s="41"/>
      <c r="I256" s="41"/>
      <c r="K256" s="41"/>
      <c r="L256" s="64"/>
      <c r="M256" s="79"/>
    </row>
    <row r="257" spans="3:13" ht="13">
      <c r="C257" s="63"/>
      <c r="E257" s="41"/>
      <c r="F257" s="41"/>
      <c r="G257" s="41"/>
      <c r="H257" s="41"/>
      <c r="I257" s="41"/>
      <c r="K257" s="41"/>
      <c r="L257" s="64"/>
      <c r="M257" s="79"/>
    </row>
    <row r="258" spans="3:13" ht="13">
      <c r="C258" s="63"/>
      <c r="E258" s="41"/>
      <c r="F258" s="41"/>
      <c r="G258" s="41"/>
      <c r="H258" s="41"/>
      <c r="I258" s="41"/>
      <c r="K258" s="41"/>
      <c r="L258" s="64"/>
      <c r="M258" s="79"/>
    </row>
    <row r="259" spans="3:13" ht="13">
      <c r="C259" s="63"/>
      <c r="E259" s="41"/>
      <c r="F259" s="41"/>
      <c r="G259" s="41"/>
      <c r="H259" s="41"/>
      <c r="I259" s="41"/>
      <c r="K259" s="41"/>
      <c r="L259" s="64"/>
      <c r="M259" s="79"/>
    </row>
    <row r="260" spans="3:13" ht="13">
      <c r="C260" s="63"/>
      <c r="E260" s="41"/>
      <c r="F260" s="41"/>
      <c r="G260" s="41"/>
      <c r="H260" s="41"/>
      <c r="I260" s="41"/>
      <c r="K260" s="41"/>
      <c r="L260" s="64"/>
      <c r="M260" s="79"/>
    </row>
    <row r="261" spans="3:13" ht="13">
      <c r="C261" s="63"/>
      <c r="E261" s="41"/>
      <c r="F261" s="41"/>
      <c r="G261" s="41"/>
      <c r="H261" s="41"/>
      <c r="I261" s="41"/>
      <c r="K261" s="41"/>
      <c r="L261" s="64"/>
      <c r="M261" s="79"/>
    </row>
    <row r="262" spans="3:13" ht="13">
      <c r="C262" s="63"/>
      <c r="E262" s="41"/>
      <c r="F262" s="41"/>
      <c r="G262" s="41"/>
      <c r="H262" s="41"/>
      <c r="I262" s="41"/>
      <c r="K262" s="41"/>
      <c r="L262" s="64"/>
      <c r="M262" s="79"/>
    </row>
    <row r="263" spans="3:13" ht="13">
      <c r="C263" s="63"/>
      <c r="E263" s="41"/>
      <c r="F263" s="41"/>
      <c r="G263" s="41"/>
      <c r="H263" s="41"/>
      <c r="I263" s="41"/>
      <c r="K263" s="41"/>
      <c r="L263" s="64"/>
      <c r="M263" s="79"/>
    </row>
    <row r="264" spans="3:13" ht="13">
      <c r="C264" s="63"/>
      <c r="E264" s="41"/>
      <c r="F264" s="41"/>
      <c r="G264" s="41"/>
      <c r="H264" s="41"/>
      <c r="I264" s="41"/>
      <c r="K264" s="41"/>
      <c r="L264" s="64"/>
      <c r="M264" s="79"/>
    </row>
    <row r="265" spans="3:13" ht="13">
      <c r="C265" s="63"/>
      <c r="E265" s="41"/>
      <c r="F265" s="41"/>
      <c r="G265" s="41"/>
      <c r="H265" s="41"/>
      <c r="I265" s="41"/>
      <c r="K265" s="41"/>
      <c r="L265" s="64"/>
      <c r="M265" s="79"/>
    </row>
    <row r="266" spans="3:13" ht="13">
      <c r="C266" s="63"/>
      <c r="E266" s="41"/>
      <c r="F266" s="41"/>
      <c r="G266" s="41"/>
      <c r="H266" s="41"/>
      <c r="I266" s="41"/>
      <c r="K266" s="41"/>
      <c r="L266" s="64"/>
      <c r="M266" s="79"/>
    </row>
    <row r="267" spans="3:13" ht="13">
      <c r="C267" s="63"/>
      <c r="E267" s="41"/>
      <c r="F267" s="41"/>
      <c r="G267" s="41"/>
      <c r="H267" s="41"/>
      <c r="I267" s="41"/>
      <c r="K267" s="41"/>
      <c r="L267" s="64"/>
      <c r="M267" s="79"/>
    </row>
    <row r="268" spans="3:13" ht="13">
      <c r="C268" s="63"/>
      <c r="E268" s="41"/>
      <c r="F268" s="41"/>
      <c r="G268" s="41"/>
      <c r="H268" s="41"/>
      <c r="I268" s="41"/>
      <c r="K268" s="41"/>
      <c r="L268" s="64"/>
      <c r="M268" s="79"/>
    </row>
    <row r="269" spans="3:13" ht="13">
      <c r="C269" s="63"/>
      <c r="E269" s="41"/>
      <c r="F269" s="41"/>
      <c r="G269" s="41"/>
      <c r="H269" s="41"/>
      <c r="I269" s="41"/>
      <c r="K269" s="41"/>
      <c r="L269" s="64"/>
      <c r="M269" s="79"/>
    </row>
    <row r="270" spans="3:13" ht="13">
      <c r="C270" s="63"/>
      <c r="E270" s="41"/>
      <c r="F270" s="41"/>
      <c r="G270" s="41"/>
      <c r="H270" s="41"/>
      <c r="I270" s="41"/>
      <c r="K270" s="41"/>
      <c r="L270" s="64"/>
      <c r="M270" s="79"/>
    </row>
    <row r="271" spans="3:13" ht="13">
      <c r="C271" s="63"/>
      <c r="E271" s="41"/>
      <c r="F271" s="41"/>
      <c r="G271" s="41"/>
      <c r="H271" s="41"/>
      <c r="I271" s="41"/>
      <c r="K271" s="41"/>
      <c r="L271" s="64"/>
      <c r="M271" s="79"/>
    </row>
    <row r="272" spans="3:13" ht="13">
      <c r="C272" s="63"/>
      <c r="E272" s="41"/>
      <c r="F272" s="41"/>
      <c r="G272" s="41"/>
      <c r="H272" s="41"/>
      <c r="I272" s="41"/>
      <c r="K272" s="41"/>
      <c r="L272" s="64"/>
      <c r="M272" s="79"/>
    </row>
    <row r="273" spans="3:13" ht="13">
      <c r="C273" s="63"/>
      <c r="E273" s="41"/>
      <c r="F273" s="41"/>
      <c r="G273" s="41"/>
      <c r="H273" s="41"/>
      <c r="I273" s="41"/>
      <c r="K273" s="41"/>
      <c r="L273" s="64"/>
      <c r="M273" s="79"/>
    </row>
    <row r="274" spans="3:13" ht="13">
      <c r="C274" s="63"/>
      <c r="E274" s="41"/>
      <c r="F274" s="41"/>
      <c r="G274" s="41"/>
      <c r="H274" s="41"/>
      <c r="I274" s="41"/>
      <c r="K274" s="41"/>
      <c r="L274" s="64"/>
      <c r="M274" s="79"/>
    </row>
    <row r="275" spans="3:13" ht="13">
      <c r="C275" s="63"/>
      <c r="E275" s="41"/>
      <c r="F275" s="41"/>
      <c r="G275" s="41"/>
      <c r="H275" s="41"/>
      <c r="I275" s="41"/>
      <c r="K275" s="41"/>
      <c r="L275" s="64"/>
      <c r="M275" s="79"/>
    </row>
    <row r="276" spans="3:13" ht="13">
      <c r="C276" s="63"/>
      <c r="E276" s="41"/>
      <c r="F276" s="41"/>
      <c r="G276" s="41"/>
      <c r="H276" s="41"/>
      <c r="I276" s="41"/>
      <c r="K276" s="41"/>
      <c r="L276" s="64"/>
      <c r="M276" s="79"/>
    </row>
    <row r="277" spans="3:13" ht="13">
      <c r="C277" s="63"/>
      <c r="E277" s="41"/>
      <c r="F277" s="41"/>
      <c r="G277" s="41"/>
      <c r="H277" s="41"/>
      <c r="I277" s="41"/>
      <c r="K277" s="41"/>
      <c r="L277" s="64"/>
      <c r="M277" s="79"/>
    </row>
    <row r="278" spans="3:13" ht="13">
      <c r="C278" s="63"/>
      <c r="E278" s="41"/>
      <c r="F278" s="41"/>
      <c r="G278" s="41"/>
      <c r="H278" s="41"/>
      <c r="I278" s="41"/>
      <c r="K278" s="41"/>
      <c r="L278" s="64"/>
      <c r="M278" s="79"/>
    </row>
    <row r="279" spans="3:13" ht="13">
      <c r="C279" s="63"/>
      <c r="E279" s="41"/>
      <c r="F279" s="41"/>
      <c r="G279" s="41"/>
      <c r="H279" s="41"/>
      <c r="I279" s="41"/>
      <c r="K279" s="41"/>
      <c r="L279" s="64"/>
      <c r="M279" s="79"/>
    </row>
    <row r="280" spans="3:13" ht="13">
      <c r="C280" s="63"/>
      <c r="E280" s="41"/>
      <c r="F280" s="41"/>
      <c r="G280" s="41"/>
      <c r="H280" s="41"/>
      <c r="I280" s="41"/>
      <c r="K280" s="41"/>
      <c r="L280" s="64"/>
      <c r="M280" s="79"/>
    </row>
    <row r="281" spans="3:13" ht="13">
      <c r="C281" s="63"/>
      <c r="E281" s="41"/>
      <c r="F281" s="41"/>
      <c r="G281" s="41"/>
      <c r="H281" s="41"/>
      <c r="I281" s="41"/>
      <c r="K281" s="41"/>
      <c r="L281" s="64"/>
      <c r="M281" s="79"/>
    </row>
    <row r="282" spans="3:13" ht="13">
      <c r="C282" s="63"/>
      <c r="E282" s="41"/>
      <c r="F282" s="41"/>
      <c r="G282" s="41"/>
      <c r="H282" s="41"/>
      <c r="I282" s="41"/>
      <c r="K282" s="41"/>
      <c r="L282" s="64"/>
      <c r="M282" s="79"/>
    </row>
    <row r="283" spans="3:13" ht="13">
      <c r="C283" s="63"/>
      <c r="E283" s="41"/>
      <c r="F283" s="41"/>
      <c r="G283" s="41"/>
      <c r="H283" s="41"/>
      <c r="I283" s="41"/>
      <c r="K283" s="41"/>
      <c r="L283" s="64"/>
      <c r="M283" s="79"/>
    </row>
    <row r="284" spans="3:13" ht="13">
      <c r="C284" s="63"/>
      <c r="E284" s="41"/>
      <c r="F284" s="41"/>
      <c r="G284" s="41"/>
      <c r="H284" s="41"/>
      <c r="I284" s="41"/>
      <c r="K284" s="41"/>
      <c r="L284" s="64"/>
      <c r="M284" s="79"/>
    </row>
    <row r="285" spans="3:13" ht="13">
      <c r="C285" s="63"/>
      <c r="E285" s="41"/>
      <c r="F285" s="41"/>
      <c r="G285" s="41"/>
      <c r="H285" s="41"/>
      <c r="I285" s="41"/>
      <c r="K285" s="41"/>
      <c r="L285" s="64"/>
      <c r="M285" s="79"/>
    </row>
    <row r="286" spans="3:13" ht="13">
      <c r="C286" s="63"/>
      <c r="E286" s="41"/>
      <c r="F286" s="41"/>
      <c r="G286" s="41"/>
      <c r="H286" s="41"/>
      <c r="I286" s="41"/>
      <c r="K286" s="41"/>
      <c r="L286" s="64"/>
      <c r="M286" s="79"/>
    </row>
    <row r="287" spans="3:13" ht="13">
      <c r="C287" s="63"/>
      <c r="E287" s="41"/>
      <c r="F287" s="41"/>
      <c r="G287" s="41"/>
      <c r="H287" s="41"/>
      <c r="I287" s="41"/>
      <c r="K287" s="41"/>
      <c r="L287" s="64"/>
      <c r="M287" s="79"/>
    </row>
    <row r="288" spans="3:13" ht="13">
      <c r="C288" s="63"/>
      <c r="E288" s="41"/>
      <c r="F288" s="41"/>
      <c r="G288" s="41"/>
      <c r="H288" s="41"/>
      <c r="I288" s="41"/>
      <c r="K288" s="41"/>
      <c r="L288" s="64"/>
      <c r="M288" s="79"/>
    </row>
    <row r="289" spans="3:13" ht="13">
      <c r="C289" s="63"/>
      <c r="E289" s="41"/>
      <c r="F289" s="41"/>
      <c r="G289" s="41"/>
      <c r="H289" s="41"/>
      <c r="I289" s="41"/>
      <c r="K289" s="41"/>
      <c r="L289" s="64"/>
      <c r="M289" s="79"/>
    </row>
    <row r="290" spans="3:13" ht="13">
      <c r="C290" s="63"/>
      <c r="E290" s="41"/>
      <c r="F290" s="41"/>
      <c r="G290" s="41"/>
      <c r="H290" s="41"/>
      <c r="I290" s="41"/>
      <c r="K290" s="41"/>
      <c r="L290" s="64"/>
      <c r="M290" s="79"/>
    </row>
    <row r="291" spans="3:13" ht="13">
      <c r="C291" s="63"/>
      <c r="E291" s="41"/>
      <c r="F291" s="41"/>
      <c r="G291" s="41"/>
      <c r="H291" s="41"/>
      <c r="I291" s="41"/>
      <c r="K291" s="41"/>
      <c r="L291" s="64"/>
      <c r="M291" s="79"/>
    </row>
    <row r="292" spans="3:13" ht="13">
      <c r="C292" s="63"/>
      <c r="E292" s="41"/>
      <c r="F292" s="41"/>
      <c r="G292" s="41"/>
      <c r="H292" s="41"/>
      <c r="I292" s="41"/>
      <c r="K292" s="41"/>
      <c r="L292" s="64"/>
      <c r="M292" s="79"/>
    </row>
    <row r="293" spans="3:13" ht="13">
      <c r="C293" s="63"/>
      <c r="E293" s="41"/>
      <c r="F293" s="41"/>
      <c r="G293" s="41"/>
      <c r="H293" s="41"/>
      <c r="I293" s="41"/>
      <c r="K293" s="41"/>
      <c r="L293" s="64"/>
      <c r="M293" s="79"/>
    </row>
    <row r="294" spans="3:13" ht="13">
      <c r="C294" s="63"/>
      <c r="E294" s="41"/>
      <c r="F294" s="41"/>
      <c r="G294" s="41"/>
      <c r="H294" s="41"/>
      <c r="I294" s="41"/>
      <c r="K294" s="41"/>
      <c r="L294" s="64"/>
      <c r="M294" s="79"/>
    </row>
    <row r="295" spans="3:13" ht="13">
      <c r="C295" s="63"/>
      <c r="E295" s="41"/>
      <c r="F295" s="41"/>
      <c r="G295" s="41"/>
      <c r="H295" s="41"/>
      <c r="I295" s="41"/>
      <c r="K295" s="41"/>
      <c r="L295" s="64"/>
      <c r="M295" s="79"/>
    </row>
    <row r="296" spans="3:13" ht="13">
      <c r="C296" s="63"/>
      <c r="E296" s="41"/>
      <c r="F296" s="41"/>
      <c r="G296" s="41"/>
      <c r="H296" s="41"/>
      <c r="I296" s="41"/>
      <c r="K296" s="41"/>
      <c r="L296" s="64"/>
      <c r="M296" s="79"/>
    </row>
    <row r="297" spans="3:13" ht="13">
      <c r="C297" s="63"/>
      <c r="E297" s="41"/>
      <c r="F297" s="41"/>
      <c r="G297" s="41"/>
      <c r="H297" s="41"/>
      <c r="I297" s="41"/>
      <c r="K297" s="41"/>
      <c r="L297" s="64"/>
      <c r="M297" s="79"/>
    </row>
    <row r="298" spans="3:13" ht="13">
      <c r="C298" s="63"/>
      <c r="E298" s="41"/>
      <c r="F298" s="41"/>
      <c r="G298" s="41"/>
      <c r="H298" s="41"/>
      <c r="I298" s="41"/>
      <c r="K298" s="41"/>
      <c r="L298" s="64"/>
      <c r="M298" s="79"/>
    </row>
    <row r="299" spans="3:13" ht="13">
      <c r="C299" s="63"/>
      <c r="E299" s="41"/>
      <c r="F299" s="41"/>
      <c r="G299" s="41"/>
      <c r="H299" s="41"/>
      <c r="I299" s="41"/>
      <c r="K299" s="41"/>
      <c r="L299" s="64"/>
      <c r="M299" s="79"/>
    </row>
    <row r="300" spans="3:13" ht="13">
      <c r="C300" s="63"/>
      <c r="E300" s="41"/>
      <c r="F300" s="41"/>
      <c r="G300" s="41"/>
      <c r="H300" s="41"/>
      <c r="I300" s="41"/>
      <c r="K300" s="41"/>
      <c r="L300" s="64"/>
      <c r="M300" s="79"/>
    </row>
    <row r="301" spans="3:13" ht="13">
      <c r="C301" s="63"/>
      <c r="E301" s="41"/>
      <c r="F301" s="41"/>
      <c r="G301" s="41"/>
      <c r="H301" s="41"/>
      <c r="I301" s="41"/>
      <c r="K301" s="41"/>
      <c r="L301" s="64"/>
      <c r="M301" s="79"/>
    </row>
    <row r="302" spans="3:13" ht="13">
      <c r="C302" s="63"/>
      <c r="E302" s="41"/>
      <c r="F302" s="41"/>
      <c r="G302" s="41"/>
      <c r="H302" s="41"/>
      <c r="I302" s="41"/>
      <c r="K302" s="41"/>
      <c r="L302" s="64"/>
      <c r="M302" s="79"/>
    </row>
    <row r="303" spans="3:13" ht="13">
      <c r="C303" s="63"/>
      <c r="E303" s="41"/>
      <c r="F303" s="41"/>
      <c r="G303" s="41"/>
      <c r="H303" s="41"/>
      <c r="I303" s="41"/>
      <c r="K303" s="41"/>
      <c r="L303" s="64"/>
      <c r="M303" s="79"/>
    </row>
    <row r="304" spans="3:13" ht="13">
      <c r="C304" s="63"/>
      <c r="E304" s="41"/>
      <c r="F304" s="41"/>
      <c r="G304" s="41"/>
      <c r="H304" s="41"/>
      <c r="I304" s="41"/>
      <c r="K304" s="41"/>
      <c r="L304" s="64"/>
      <c r="M304" s="79"/>
    </row>
    <row r="305" spans="3:13" ht="13">
      <c r="C305" s="63"/>
      <c r="E305" s="41"/>
      <c r="F305" s="41"/>
      <c r="G305" s="41"/>
      <c r="H305" s="41"/>
      <c r="I305" s="41"/>
      <c r="K305" s="41"/>
      <c r="L305" s="64"/>
      <c r="M305" s="79"/>
    </row>
    <row r="306" spans="3:13" ht="13">
      <c r="C306" s="63"/>
      <c r="E306" s="41"/>
      <c r="F306" s="41"/>
      <c r="G306" s="41"/>
      <c r="H306" s="41"/>
      <c r="I306" s="41"/>
      <c r="K306" s="41"/>
      <c r="L306" s="64"/>
      <c r="M306" s="79"/>
    </row>
    <row r="307" spans="3:13" ht="13">
      <c r="C307" s="63"/>
      <c r="E307" s="41"/>
      <c r="F307" s="41"/>
      <c r="G307" s="41"/>
      <c r="H307" s="41"/>
      <c r="I307" s="41"/>
      <c r="K307" s="41"/>
      <c r="L307" s="64"/>
      <c r="M307" s="79"/>
    </row>
    <row r="308" spans="3:13" ht="13">
      <c r="C308" s="63"/>
      <c r="E308" s="41"/>
      <c r="F308" s="41"/>
      <c r="G308" s="41"/>
      <c r="H308" s="41"/>
      <c r="I308" s="41"/>
      <c r="K308" s="41"/>
      <c r="L308" s="64"/>
      <c r="M308" s="79"/>
    </row>
    <row r="309" spans="3:13" ht="13">
      <c r="C309" s="63"/>
      <c r="E309" s="41"/>
      <c r="F309" s="41"/>
      <c r="G309" s="41"/>
      <c r="H309" s="41"/>
      <c r="I309" s="41"/>
      <c r="K309" s="41"/>
      <c r="L309" s="64"/>
      <c r="M309" s="79"/>
    </row>
    <row r="310" spans="3:13" ht="13">
      <c r="C310" s="63"/>
      <c r="E310" s="41"/>
      <c r="F310" s="41"/>
      <c r="G310" s="41"/>
      <c r="H310" s="41"/>
      <c r="I310" s="41"/>
      <c r="K310" s="41"/>
      <c r="L310" s="64"/>
      <c r="M310" s="79"/>
    </row>
    <row r="311" spans="3:13" ht="13">
      <c r="C311" s="63"/>
      <c r="E311" s="41"/>
      <c r="F311" s="41"/>
      <c r="G311" s="41"/>
      <c r="H311" s="41"/>
      <c r="I311" s="41"/>
      <c r="K311" s="41"/>
      <c r="L311" s="64"/>
      <c r="M311" s="79"/>
    </row>
    <row r="312" spans="3:13" ht="13">
      <c r="C312" s="63"/>
      <c r="E312" s="41"/>
      <c r="F312" s="41"/>
      <c r="G312" s="41"/>
      <c r="H312" s="41"/>
      <c r="I312" s="41"/>
      <c r="K312" s="41"/>
      <c r="L312" s="64"/>
      <c r="M312" s="79"/>
    </row>
    <row r="313" spans="3:13" ht="13">
      <c r="C313" s="63"/>
      <c r="E313" s="41"/>
      <c r="F313" s="41"/>
      <c r="G313" s="41"/>
      <c r="H313" s="41"/>
      <c r="I313" s="41"/>
      <c r="K313" s="41"/>
      <c r="L313" s="64"/>
      <c r="M313" s="79"/>
    </row>
    <row r="314" spans="3:13" ht="13">
      <c r="C314" s="63"/>
      <c r="E314" s="41"/>
      <c r="F314" s="41"/>
      <c r="G314" s="41"/>
      <c r="H314" s="41"/>
      <c r="I314" s="41"/>
      <c r="K314" s="41"/>
      <c r="L314" s="64"/>
      <c r="M314" s="79"/>
    </row>
    <row r="315" spans="3:13" ht="13">
      <c r="C315" s="63"/>
      <c r="E315" s="41"/>
      <c r="F315" s="41"/>
      <c r="G315" s="41"/>
      <c r="H315" s="41"/>
      <c r="I315" s="41"/>
      <c r="K315" s="41"/>
      <c r="L315" s="64"/>
      <c r="M315" s="79"/>
    </row>
    <row r="316" spans="3:13" ht="13">
      <c r="C316" s="63"/>
      <c r="E316" s="41"/>
      <c r="F316" s="41"/>
      <c r="G316" s="41"/>
      <c r="H316" s="41"/>
      <c r="I316" s="41"/>
      <c r="K316" s="41"/>
      <c r="L316" s="64"/>
      <c r="M316" s="79"/>
    </row>
    <row r="317" spans="3:13" ht="13">
      <c r="C317" s="63"/>
      <c r="E317" s="41"/>
      <c r="F317" s="41"/>
      <c r="G317" s="41"/>
      <c r="H317" s="41"/>
      <c r="I317" s="41"/>
      <c r="K317" s="41"/>
      <c r="L317" s="64"/>
      <c r="M317" s="79"/>
    </row>
    <row r="318" spans="3:13" ht="13">
      <c r="C318" s="63"/>
      <c r="E318" s="41"/>
      <c r="F318" s="41"/>
      <c r="G318" s="41"/>
      <c r="H318" s="41"/>
      <c r="I318" s="41"/>
      <c r="K318" s="41"/>
      <c r="L318" s="64"/>
      <c r="M318" s="79"/>
    </row>
    <row r="319" spans="3:13" ht="13">
      <c r="C319" s="63"/>
      <c r="E319" s="41"/>
      <c r="F319" s="41"/>
      <c r="G319" s="41"/>
      <c r="H319" s="41"/>
      <c r="I319" s="41"/>
      <c r="K319" s="41"/>
      <c r="L319" s="64"/>
      <c r="M319" s="79"/>
    </row>
    <row r="320" spans="3:13" ht="13">
      <c r="C320" s="63"/>
      <c r="E320" s="41"/>
      <c r="F320" s="41"/>
      <c r="G320" s="41"/>
      <c r="H320" s="41"/>
      <c r="I320" s="41"/>
      <c r="K320" s="41"/>
      <c r="L320" s="64"/>
      <c r="M320" s="79"/>
    </row>
    <row r="321" spans="3:13" ht="13">
      <c r="C321" s="63"/>
      <c r="E321" s="41"/>
      <c r="F321" s="41"/>
      <c r="G321" s="41"/>
      <c r="H321" s="41"/>
      <c r="I321" s="41"/>
      <c r="K321" s="41"/>
      <c r="L321" s="64"/>
      <c r="M321" s="79"/>
    </row>
    <row r="322" spans="3:13" ht="13">
      <c r="C322" s="63"/>
      <c r="E322" s="41"/>
      <c r="F322" s="41"/>
      <c r="G322" s="41"/>
      <c r="H322" s="41"/>
      <c r="I322" s="41"/>
      <c r="K322" s="41"/>
      <c r="L322" s="64"/>
      <c r="M322" s="79"/>
    </row>
    <row r="323" spans="3:13" ht="13">
      <c r="C323" s="63"/>
      <c r="E323" s="41"/>
      <c r="F323" s="41"/>
      <c r="G323" s="41"/>
      <c r="H323" s="41"/>
      <c r="I323" s="41"/>
      <c r="K323" s="41"/>
      <c r="L323" s="64"/>
      <c r="M323" s="79"/>
    </row>
    <row r="324" spans="3:13" ht="13">
      <c r="C324" s="63"/>
      <c r="E324" s="41"/>
      <c r="F324" s="41"/>
      <c r="G324" s="41"/>
      <c r="H324" s="41"/>
      <c r="I324" s="41"/>
      <c r="K324" s="41"/>
      <c r="L324" s="64"/>
      <c r="M324" s="79"/>
    </row>
    <row r="325" spans="3:13" ht="13">
      <c r="C325" s="63"/>
      <c r="E325" s="41"/>
      <c r="F325" s="41"/>
      <c r="G325" s="41"/>
      <c r="H325" s="41"/>
      <c r="I325" s="41"/>
      <c r="K325" s="41"/>
      <c r="L325" s="64"/>
      <c r="M325" s="79"/>
    </row>
    <row r="326" spans="3:13" ht="13">
      <c r="C326" s="63"/>
      <c r="E326" s="41"/>
      <c r="F326" s="41"/>
      <c r="G326" s="41"/>
      <c r="H326" s="41"/>
      <c r="I326" s="41"/>
      <c r="K326" s="41"/>
      <c r="L326" s="64"/>
      <c r="M326" s="79"/>
    </row>
    <row r="327" spans="3:13" ht="13">
      <c r="C327" s="63"/>
      <c r="E327" s="41"/>
      <c r="F327" s="41"/>
      <c r="G327" s="41"/>
      <c r="H327" s="41"/>
      <c r="I327" s="41"/>
      <c r="K327" s="41"/>
      <c r="L327" s="64"/>
      <c r="M327" s="79"/>
    </row>
    <row r="328" spans="3:13" ht="13">
      <c r="C328" s="63"/>
      <c r="E328" s="41"/>
      <c r="F328" s="41"/>
      <c r="G328" s="41"/>
      <c r="H328" s="41"/>
      <c r="I328" s="41"/>
      <c r="K328" s="41"/>
      <c r="L328" s="64"/>
      <c r="M328" s="79"/>
    </row>
    <row r="329" spans="3:13" ht="13">
      <c r="C329" s="63"/>
      <c r="E329" s="41"/>
      <c r="F329" s="41"/>
      <c r="G329" s="41"/>
      <c r="H329" s="41"/>
      <c r="I329" s="41"/>
      <c r="K329" s="41"/>
      <c r="L329" s="64"/>
      <c r="M329" s="79"/>
    </row>
    <row r="330" spans="3:13" ht="13">
      <c r="C330" s="63"/>
      <c r="E330" s="41"/>
      <c r="F330" s="41"/>
      <c r="G330" s="41"/>
      <c r="H330" s="41"/>
      <c r="I330" s="41"/>
      <c r="K330" s="41"/>
      <c r="L330" s="64"/>
      <c r="M330" s="79"/>
    </row>
    <row r="331" spans="3:13" ht="13">
      <c r="C331" s="63"/>
      <c r="E331" s="41"/>
      <c r="F331" s="41"/>
      <c r="G331" s="41"/>
      <c r="H331" s="41"/>
      <c r="I331" s="41"/>
      <c r="K331" s="41"/>
      <c r="L331" s="64"/>
      <c r="M331" s="79"/>
    </row>
    <row r="332" spans="3:13" ht="13">
      <c r="C332" s="63"/>
      <c r="E332" s="41"/>
      <c r="F332" s="41"/>
      <c r="G332" s="41"/>
      <c r="H332" s="41"/>
      <c r="I332" s="41"/>
      <c r="K332" s="41"/>
      <c r="L332" s="64"/>
      <c r="M332" s="79"/>
    </row>
    <row r="333" spans="3:13" ht="13">
      <c r="C333" s="63"/>
      <c r="E333" s="41"/>
      <c r="F333" s="41"/>
      <c r="G333" s="41"/>
      <c r="H333" s="41"/>
      <c r="I333" s="41"/>
      <c r="K333" s="41"/>
      <c r="L333" s="64"/>
      <c r="M333" s="79"/>
    </row>
    <row r="334" spans="3:13" ht="13">
      <c r="C334" s="63"/>
      <c r="E334" s="41"/>
      <c r="F334" s="41"/>
      <c r="G334" s="41"/>
      <c r="H334" s="41"/>
      <c r="I334" s="41"/>
      <c r="K334" s="41"/>
      <c r="L334" s="64"/>
      <c r="M334" s="79"/>
    </row>
    <row r="335" spans="3:13" ht="13">
      <c r="C335" s="63"/>
      <c r="E335" s="41"/>
      <c r="F335" s="41"/>
      <c r="G335" s="41"/>
      <c r="H335" s="41"/>
      <c r="I335" s="41"/>
      <c r="K335" s="41"/>
      <c r="L335" s="64"/>
      <c r="M335" s="79"/>
    </row>
    <row r="336" spans="3:13" ht="13">
      <c r="C336" s="63"/>
      <c r="E336" s="41"/>
      <c r="F336" s="41"/>
      <c r="G336" s="41"/>
      <c r="H336" s="41"/>
      <c r="I336" s="41"/>
      <c r="K336" s="41"/>
      <c r="L336" s="64"/>
      <c r="M336" s="79"/>
    </row>
    <row r="337" spans="3:13" ht="13">
      <c r="C337" s="63"/>
      <c r="E337" s="41"/>
      <c r="F337" s="41"/>
      <c r="G337" s="41"/>
      <c r="H337" s="41"/>
      <c r="I337" s="41"/>
      <c r="K337" s="41"/>
      <c r="L337" s="64"/>
      <c r="M337" s="79"/>
    </row>
    <row r="338" spans="3:13" ht="13">
      <c r="C338" s="63"/>
      <c r="E338" s="41"/>
      <c r="F338" s="41"/>
      <c r="G338" s="41"/>
      <c r="H338" s="41"/>
      <c r="I338" s="41"/>
      <c r="K338" s="41"/>
      <c r="L338" s="64"/>
      <c r="M338" s="79"/>
    </row>
    <row r="339" spans="3:13" ht="13">
      <c r="C339" s="63"/>
      <c r="E339" s="41"/>
      <c r="F339" s="41"/>
      <c r="G339" s="41"/>
      <c r="H339" s="41"/>
      <c r="I339" s="41"/>
      <c r="K339" s="41"/>
      <c r="L339" s="64"/>
      <c r="M339" s="79"/>
    </row>
    <row r="340" spans="3:13" ht="13">
      <c r="C340" s="63"/>
      <c r="E340" s="41"/>
      <c r="F340" s="41"/>
      <c r="G340" s="41"/>
      <c r="H340" s="41"/>
      <c r="I340" s="41"/>
      <c r="K340" s="41"/>
      <c r="L340" s="64"/>
      <c r="M340" s="79"/>
    </row>
    <row r="341" spans="3:13" ht="13">
      <c r="C341" s="63"/>
      <c r="E341" s="41"/>
      <c r="F341" s="41"/>
      <c r="G341" s="41"/>
      <c r="H341" s="41"/>
      <c r="I341" s="41"/>
      <c r="K341" s="41"/>
      <c r="L341" s="64"/>
      <c r="M341" s="79"/>
    </row>
    <row r="342" spans="3:13" ht="13">
      <c r="C342" s="63"/>
      <c r="E342" s="41"/>
      <c r="F342" s="41"/>
      <c r="G342" s="41"/>
      <c r="H342" s="41"/>
      <c r="I342" s="41"/>
      <c r="K342" s="41"/>
      <c r="L342" s="64"/>
      <c r="M342" s="79"/>
    </row>
    <row r="343" spans="3:13" ht="13">
      <c r="C343" s="63"/>
      <c r="E343" s="41"/>
      <c r="F343" s="41"/>
      <c r="G343" s="41"/>
      <c r="H343" s="41"/>
      <c r="I343" s="41"/>
      <c r="K343" s="41"/>
      <c r="L343" s="64"/>
      <c r="M343" s="79"/>
    </row>
    <row r="344" spans="3:13" ht="13">
      <c r="C344" s="63"/>
      <c r="E344" s="41"/>
      <c r="F344" s="41"/>
      <c r="G344" s="41"/>
      <c r="H344" s="41"/>
      <c r="I344" s="41"/>
      <c r="K344" s="41"/>
      <c r="L344" s="64"/>
      <c r="M344" s="79"/>
    </row>
    <row r="345" spans="3:13" ht="13">
      <c r="C345" s="63"/>
      <c r="E345" s="41"/>
      <c r="F345" s="41"/>
      <c r="G345" s="41"/>
      <c r="H345" s="41"/>
      <c r="I345" s="41"/>
      <c r="K345" s="41"/>
      <c r="L345" s="64"/>
      <c r="M345" s="79"/>
    </row>
    <row r="346" spans="3:13" ht="13">
      <c r="C346" s="63"/>
      <c r="E346" s="41"/>
      <c r="F346" s="41"/>
      <c r="G346" s="41"/>
      <c r="H346" s="41"/>
      <c r="I346" s="41"/>
      <c r="K346" s="41"/>
      <c r="L346" s="64"/>
      <c r="M346" s="79"/>
    </row>
    <row r="347" spans="3:13" ht="13">
      <c r="C347" s="63"/>
      <c r="E347" s="41"/>
      <c r="F347" s="41"/>
      <c r="G347" s="41"/>
      <c r="H347" s="41"/>
      <c r="I347" s="41"/>
      <c r="K347" s="41"/>
      <c r="L347" s="64"/>
      <c r="M347" s="79"/>
    </row>
    <row r="348" spans="3:13" ht="13">
      <c r="C348" s="63"/>
      <c r="E348" s="41"/>
      <c r="F348" s="41"/>
      <c r="G348" s="41"/>
      <c r="H348" s="41"/>
      <c r="I348" s="41"/>
      <c r="K348" s="41"/>
      <c r="L348" s="64"/>
      <c r="M348" s="79"/>
    </row>
    <row r="349" spans="3:13" ht="13">
      <c r="C349" s="63"/>
      <c r="E349" s="41"/>
      <c r="F349" s="41"/>
      <c r="G349" s="41"/>
      <c r="H349" s="41"/>
      <c r="I349" s="41"/>
      <c r="K349" s="41"/>
      <c r="L349" s="64"/>
      <c r="M349" s="79"/>
    </row>
    <row r="350" spans="3:13" ht="13">
      <c r="C350" s="63"/>
      <c r="E350" s="41"/>
      <c r="F350" s="41"/>
      <c r="G350" s="41"/>
      <c r="H350" s="41"/>
      <c r="I350" s="41"/>
      <c r="K350" s="41"/>
      <c r="L350" s="64"/>
      <c r="M350" s="79"/>
    </row>
    <row r="351" spans="3:13" ht="13">
      <c r="C351" s="63"/>
      <c r="E351" s="41"/>
      <c r="F351" s="41"/>
      <c r="G351" s="41"/>
      <c r="H351" s="41"/>
      <c r="I351" s="41"/>
      <c r="K351" s="41"/>
      <c r="L351" s="64"/>
      <c r="M351" s="79"/>
    </row>
    <row r="352" spans="3:13" ht="13">
      <c r="C352" s="63"/>
      <c r="E352" s="41"/>
      <c r="F352" s="41"/>
      <c r="G352" s="41"/>
      <c r="H352" s="41"/>
      <c r="I352" s="41"/>
      <c r="K352" s="41"/>
      <c r="L352" s="64"/>
      <c r="M352" s="79"/>
    </row>
    <row r="353" spans="3:13" ht="13">
      <c r="C353" s="63"/>
      <c r="E353" s="41"/>
      <c r="F353" s="41"/>
      <c r="G353" s="41"/>
      <c r="H353" s="41"/>
      <c r="I353" s="41"/>
      <c r="K353" s="41"/>
      <c r="L353" s="64"/>
      <c r="M353" s="79"/>
    </row>
    <row r="354" spans="3:13" ht="13">
      <c r="C354" s="63"/>
      <c r="E354" s="41"/>
      <c r="F354" s="41"/>
      <c r="G354" s="41"/>
      <c r="H354" s="41"/>
      <c r="I354" s="41"/>
      <c r="K354" s="41"/>
      <c r="L354" s="64"/>
      <c r="M354" s="79"/>
    </row>
    <row r="355" spans="3:13" ht="13">
      <c r="C355" s="63"/>
      <c r="E355" s="41"/>
      <c r="F355" s="41"/>
      <c r="G355" s="41"/>
      <c r="H355" s="41"/>
      <c r="I355" s="41"/>
      <c r="K355" s="41"/>
      <c r="L355" s="64"/>
      <c r="M355" s="79"/>
    </row>
    <row r="356" spans="3:13" ht="13">
      <c r="C356" s="63"/>
      <c r="E356" s="41"/>
      <c r="F356" s="41"/>
      <c r="G356" s="41"/>
      <c r="H356" s="41"/>
      <c r="I356" s="41"/>
      <c r="K356" s="41"/>
      <c r="L356" s="64"/>
      <c r="M356" s="79"/>
    </row>
    <row r="357" spans="3:13" ht="13">
      <c r="C357" s="63"/>
      <c r="E357" s="41"/>
      <c r="F357" s="41"/>
      <c r="G357" s="41"/>
      <c r="H357" s="41"/>
      <c r="I357" s="41"/>
      <c r="K357" s="41"/>
      <c r="L357" s="64"/>
      <c r="M357" s="79"/>
    </row>
    <row r="358" spans="3:13" ht="13">
      <c r="C358" s="63"/>
      <c r="E358" s="41"/>
      <c r="F358" s="41"/>
      <c r="G358" s="41"/>
      <c r="H358" s="41"/>
      <c r="I358" s="41"/>
      <c r="K358" s="41"/>
      <c r="L358" s="64"/>
      <c r="M358" s="79"/>
    </row>
    <row r="359" spans="3:13" ht="13">
      <c r="C359" s="63"/>
      <c r="E359" s="41"/>
      <c r="F359" s="41"/>
      <c r="G359" s="41"/>
      <c r="H359" s="41"/>
      <c r="I359" s="41"/>
      <c r="K359" s="41"/>
      <c r="L359" s="64"/>
      <c r="M359" s="79"/>
    </row>
    <row r="360" spans="3:13" ht="13">
      <c r="C360" s="63"/>
      <c r="E360" s="41"/>
      <c r="F360" s="41"/>
      <c r="G360" s="41"/>
      <c r="H360" s="41"/>
      <c r="I360" s="41"/>
      <c r="K360" s="41"/>
      <c r="L360" s="64"/>
      <c r="M360" s="79"/>
    </row>
    <row r="361" spans="3:13" ht="13">
      <c r="C361" s="63"/>
      <c r="E361" s="41"/>
      <c r="F361" s="41"/>
      <c r="G361" s="41"/>
      <c r="H361" s="41"/>
      <c r="I361" s="41"/>
      <c r="K361" s="41"/>
      <c r="L361" s="64"/>
      <c r="M361" s="79"/>
    </row>
    <row r="362" spans="3:13" ht="13">
      <c r="C362" s="63"/>
      <c r="E362" s="41"/>
      <c r="F362" s="41"/>
      <c r="G362" s="41"/>
      <c r="H362" s="41"/>
      <c r="I362" s="41"/>
      <c r="K362" s="41"/>
      <c r="L362" s="64"/>
      <c r="M362" s="79"/>
    </row>
    <row r="363" spans="3:13" ht="13">
      <c r="C363" s="63"/>
      <c r="E363" s="41"/>
      <c r="F363" s="41"/>
      <c r="G363" s="41"/>
      <c r="H363" s="41"/>
      <c r="I363" s="41"/>
      <c r="K363" s="41"/>
      <c r="L363" s="64"/>
      <c r="M363" s="79"/>
    </row>
    <row r="364" spans="3:13" ht="13">
      <c r="C364" s="63"/>
      <c r="E364" s="41"/>
      <c r="F364" s="41"/>
      <c r="G364" s="41"/>
      <c r="H364" s="41"/>
      <c r="I364" s="41"/>
      <c r="K364" s="41"/>
      <c r="L364" s="64"/>
      <c r="M364" s="79"/>
    </row>
    <row r="365" spans="3:13" ht="13">
      <c r="C365" s="63"/>
      <c r="E365" s="41"/>
      <c r="F365" s="41"/>
      <c r="G365" s="41"/>
      <c r="H365" s="41"/>
      <c r="I365" s="41"/>
      <c r="K365" s="41"/>
      <c r="L365" s="64"/>
      <c r="M365" s="79"/>
    </row>
    <row r="366" spans="3:13" ht="13">
      <c r="C366" s="63"/>
      <c r="E366" s="41"/>
      <c r="F366" s="41"/>
      <c r="G366" s="41"/>
      <c r="H366" s="41"/>
      <c r="I366" s="41"/>
      <c r="K366" s="41"/>
      <c r="L366" s="64"/>
      <c r="M366" s="79"/>
    </row>
    <row r="367" spans="3:13" ht="13">
      <c r="C367" s="63"/>
      <c r="E367" s="41"/>
      <c r="F367" s="41"/>
      <c r="G367" s="41"/>
      <c r="H367" s="41"/>
      <c r="I367" s="41"/>
      <c r="K367" s="41"/>
      <c r="L367" s="64"/>
      <c r="M367" s="79"/>
    </row>
    <row r="368" spans="3:13" ht="13">
      <c r="C368" s="63"/>
      <c r="E368" s="41"/>
      <c r="F368" s="41"/>
      <c r="G368" s="41"/>
      <c r="H368" s="41"/>
      <c r="I368" s="41"/>
      <c r="K368" s="41"/>
      <c r="L368" s="64"/>
      <c r="M368" s="79"/>
    </row>
    <row r="369" spans="3:13" ht="13">
      <c r="C369" s="63"/>
      <c r="E369" s="41"/>
      <c r="F369" s="41"/>
      <c r="G369" s="41"/>
      <c r="H369" s="41"/>
      <c r="I369" s="41"/>
      <c r="K369" s="41"/>
      <c r="L369" s="64"/>
      <c r="M369" s="79"/>
    </row>
    <row r="370" spans="3:13" ht="13">
      <c r="C370" s="63"/>
      <c r="E370" s="41"/>
      <c r="F370" s="41"/>
      <c r="G370" s="41"/>
      <c r="H370" s="41"/>
      <c r="I370" s="41"/>
      <c r="K370" s="41"/>
      <c r="L370" s="64"/>
      <c r="M370" s="79"/>
    </row>
    <row r="371" spans="3:13" ht="13">
      <c r="C371" s="63"/>
      <c r="E371" s="41"/>
      <c r="F371" s="41"/>
      <c r="G371" s="41"/>
      <c r="H371" s="41"/>
      <c r="I371" s="41"/>
      <c r="K371" s="41"/>
      <c r="L371" s="64"/>
      <c r="M371" s="79"/>
    </row>
    <row r="372" spans="3:13" ht="13">
      <c r="C372" s="63"/>
      <c r="E372" s="41"/>
      <c r="F372" s="41"/>
      <c r="G372" s="41"/>
      <c r="H372" s="41"/>
      <c r="I372" s="41"/>
      <c r="K372" s="41"/>
      <c r="L372" s="64"/>
      <c r="M372" s="79"/>
    </row>
    <row r="373" spans="3:13" ht="13">
      <c r="C373" s="63"/>
      <c r="E373" s="41"/>
      <c r="F373" s="41"/>
      <c r="G373" s="41"/>
      <c r="H373" s="41"/>
      <c r="I373" s="41"/>
      <c r="K373" s="41"/>
      <c r="L373" s="64"/>
      <c r="M373" s="79"/>
    </row>
    <row r="374" spans="3:13" ht="13">
      <c r="C374" s="63"/>
      <c r="E374" s="41"/>
      <c r="F374" s="41"/>
      <c r="G374" s="41"/>
      <c r="H374" s="41"/>
      <c r="I374" s="41"/>
      <c r="K374" s="41"/>
      <c r="L374" s="64"/>
      <c r="M374" s="79"/>
    </row>
    <row r="375" spans="3:13" ht="13">
      <c r="C375" s="63"/>
      <c r="E375" s="41"/>
      <c r="F375" s="41"/>
      <c r="G375" s="41"/>
      <c r="H375" s="41"/>
      <c r="I375" s="41"/>
      <c r="K375" s="41"/>
      <c r="L375" s="64"/>
      <c r="M375" s="79"/>
    </row>
    <row r="376" spans="3:13" ht="13">
      <c r="C376" s="63"/>
      <c r="E376" s="41"/>
      <c r="F376" s="41"/>
      <c r="G376" s="41"/>
      <c r="H376" s="41"/>
      <c r="I376" s="41"/>
      <c r="K376" s="41"/>
      <c r="L376" s="64"/>
      <c r="M376" s="79"/>
    </row>
    <row r="377" spans="3:13" ht="13">
      <c r="C377" s="63"/>
      <c r="E377" s="41"/>
      <c r="F377" s="41"/>
      <c r="G377" s="41"/>
      <c r="H377" s="41"/>
      <c r="I377" s="41"/>
      <c r="K377" s="41"/>
      <c r="L377" s="64"/>
      <c r="M377" s="79"/>
    </row>
    <row r="378" spans="3:13" ht="13">
      <c r="C378" s="63"/>
      <c r="E378" s="41"/>
      <c r="F378" s="41"/>
      <c r="G378" s="41"/>
      <c r="H378" s="41"/>
      <c r="I378" s="41"/>
      <c r="K378" s="41"/>
      <c r="L378" s="64"/>
      <c r="M378" s="79"/>
    </row>
    <row r="379" spans="3:13" ht="13">
      <c r="C379" s="63"/>
      <c r="E379" s="41"/>
      <c r="F379" s="41"/>
      <c r="G379" s="41"/>
      <c r="H379" s="41"/>
      <c r="I379" s="41"/>
      <c r="K379" s="41"/>
      <c r="L379" s="64"/>
      <c r="M379" s="79"/>
    </row>
    <row r="380" spans="3:13" ht="13">
      <c r="C380" s="63"/>
      <c r="E380" s="41"/>
      <c r="F380" s="41"/>
      <c r="G380" s="41"/>
      <c r="H380" s="41"/>
      <c r="I380" s="41"/>
      <c r="K380" s="41"/>
      <c r="L380" s="64"/>
      <c r="M380" s="79"/>
    </row>
    <row r="381" spans="3:13" ht="13">
      <c r="C381" s="63"/>
      <c r="E381" s="41"/>
      <c r="F381" s="41"/>
      <c r="G381" s="41"/>
      <c r="H381" s="41"/>
      <c r="I381" s="41"/>
      <c r="K381" s="41"/>
      <c r="L381" s="64"/>
      <c r="M381" s="79"/>
    </row>
    <row r="382" spans="3:13" ht="13">
      <c r="C382" s="63"/>
      <c r="E382" s="41"/>
      <c r="F382" s="41"/>
      <c r="G382" s="41"/>
      <c r="H382" s="41"/>
      <c r="I382" s="41"/>
      <c r="K382" s="41"/>
      <c r="L382" s="64"/>
      <c r="M382" s="79"/>
    </row>
    <row r="383" spans="3:13" ht="13">
      <c r="C383" s="63"/>
      <c r="E383" s="41"/>
      <c r="F383" s="41"/>
      <c r="G383" s="41"/>
      <c r="H383" s="41"/>
      <c r="I383" s="41"/>
      <c r="K383" s="41"/>
      <c r="L383" s="64"/>
      <c r="M383" s="79"/>
    </row>
    <row r="384" spans="3:13" ht="13">
      <c r="C384" s="63"/>
      <c r="E384" s="41"/>
      <c r="F384" s="41"/>
      <c r="G384" s="41"/>
      <c r="H384" s="41"/>
      <c r="I384" s="41"/>
      <c r="K384" s="41"/>
      <c r="L384" s="64"/>
      <c r="M384" s="79"/>
    </row>
    <row r="385" spans="3:13" ht="13">
      <c r="C385" s="63"/>
      <c r="E385" s="41"/>
      <c r="F385" s="41"/>
      <c r="G385" s="41"/>
      <c r="H385" s="41"/>
      <c r="I385" s="41"/>
      <c r="K385" s="41"/>
      <c r="L385" s="64"/>
      <c r="M385" s="79"/>
    </row>
    <row r="386" spans="3:13" ht="13">
      <c r="C386" s="63"/>
      <c r="E386" s="41"/>
      <c r="F386" s="41"/>
      <c r="G386" s="41"/>
      <c r="H386" s="41"/>
      <c r="I386" s="41"/>
      <c r="K386" s="41"/>
      <c r="L386" s="64"/>
      <c r="M386" s="79"/>
    </row>
    <row r="387" spans="3:13" ht="13">
      <c r="C387" s="63"/>
      <c r="E387" s="41"/>
      <c r="F387" s="41"/>
      <c r="G387" s="41"/>
      <c r="H387" s="41"/>
      <c r="I387" s="41"/>
      <c r="K387" s="41"/>
      <c r="L387" s="64"/>
      <c r="M387" s="79"/>
    </row>
    <row r="388" spans="3:13" ht="13">
      <c r="C388" s="63"/>
      <c r="E388" s="41"/>
      <c r="F388" s="41"/>
      <c r="G388" s="41"/>
      <c r="H388" s="41"/>
      <c r="I388" s="41"/>
      <c r="K388" s="41"/>
      <c r="L388" s="64"/>
      <c r="M388" s="79"/>
    </row>
    <row r="389" spans="3:13" ht="13">
      <c r="C389" s="63"/>
      <c r="E389" s="41"/>
      <c r="F389" s="41"/>
      <c r="G389" s="41"/>
      <c r="H389" s="41"/>
      <c r="I389" s="41"/>
      <c r="K389" s="41"/>
      <c r="L389" s="64"/>
      <c r="M389" s="79"/>
    </row>
    <row r="390" spans="3:13" ht="13">
      <c r="C390" s="63"/>
      <c r="E390" s="41"/>
      <c r="F390" s="41"/>
      <c r="G390" s="41"/>
      <c r="H390" s="41"/>
      <c r="I390" s="41"/>
      <c r="K390" s="41"/>
      <c r="L390" s="64"/>
      <c r="M390" s="79"/>
    </row>
    <row r="391" spans="3:13" ht="13">
      <c r="C391" s="63"/>
      <c r="E391" s="41"/>
      <c r="F391" s="41"/>
      <c r="G391" s="41"/>
      <c r="H391" s="41"/>
      <c r="I391" s="41"/>
      <c r="K391" s="41"/>
      <c r="L391" s="64"/>
      <c r="M391" s="79"/>
    </row>
    <row r="392" spans="3:13" ht="13">
      <c r="C392" s="63"/>
      <c r="E392" s="41"/>
      <c r="F392" s="41"/>
      <c r="G392" s="41"/>
      <c r="H392" s="41"/>
      <c r="I392" s="41"/>
      <c r="K392" s="41"/>
      <c r="L392" s="64"/>
      <c r="M392" s="79"/>
    </row>
    <row r="393" spans="3:13" ht="13">
      <c r="C393" s="63"/>
      <c r="E393" s="41"/>
      <c r="F393" s="41"/>
      <c r="G393" s="41"/>
      <c r="H393" s="41"/>
      <c r="I393" s="41"/>
      <c r="K393" s="41"/>
      <c r="L393" s="64"/>
      <c r="M393" s="79"/>
    </row>
    <row r="394" spans="3:13" ht="13">
      <c r="C394" s="63"/>
      <c r="E394" s="41"/>
      <c r="F394" s="41"/>
      <c r="G394" s="41"/>
      <c r="H394" s="41"/>
      <c r="I394" s="41"/>
      <c r="K394" s="41"/>
      <c r="L394" s="64"/>
      <c r="M394" s="79"/>
    </row>
    <row r="395" spans="3:13" ht="13">
      <c r="C395" s="63"/>
      <c r="E395" s="41"/>
      <c r="F395" s="41"/>
      <c r="G395" s="41"/>
      <c r="H395" s="41"/>
      <c r="I395" s="41"/>
      <c r="K395" s="41"/>
      <c r="L395" s="64"/>
      <c r="M395" s="79"/>
    </row>
    <row r="396" spans="3:13" ht="13">
      <c r="C396" s="63"/>
      <c r="E396" s="41"/>
      <c r="F396" s="41"/>
      <c r="G396" s="41"/>
      <c r="H396" s="41"/>
      <c r="I396" s="41"/>
      <c r="K396" s="41"/>
      <c r="L396" s="64"/>
      <c r="M396" s="79"/>
    </row>
    <row r="397" spans="3:13" ht="13">
      <c r="C397" s="63"/>
      <c r="E397" s="41"/>
      <c r="F397" s="41"/>
      <c r="G397" s="41"/>
      <c r="H397" s="41"/>
      <c r="I397" s="41"/>
      <c r="K397" s="41"/>
      <c r="L397" s="64"/>
      <c r="M397" s="79"/>
    </row>
    <row r="398" spans="3:13" ht="13">
      <c r="C398" s="63"/>
      <c r="E398" s="41"/>
      <c r="F398" s="41"/>
      <c r="G398" s="41"/>
      <c r="H398" s="41"/>
      <c r="I398" s="41"/>
      <c r="K398" s="41"/>
      <c r="L398" s="64"/>
      <c r="M398" s="79"/>
    </row>
    <row r="399" spans="3:13" ht="13">
      <c r="C399" s="63"/>
      <c r="E399" s="41"/>
      <c r="F399" s="41"/>
      <c r="G399" s="41"/>
      <c r="H399" s="41"/>
      <c r="I399" s="41"/>
      <c r="K399" s="41"/>
      <c r="L399" s="64"/>
      <c r="M399" s="79"/>
    </row>
    <row r="400" spans="3:13" ht="13">
      <c r="C400" s="63"/>
      <c r="E400" s="41"/>
      <c r="F400" s="41"/>
      <c r="G400" s="41"/>
      <c r="H400" s="41"/>
      <c r="I400" s="41"/>
      <c r="K400" s="41"/>
      <c r="L400" s="64"/>
      <c r="M400" s="79"/>
    </row>
    <row r="401" spans="3:13" ht="13">
      <c r="C401" s="63"/>
      <c r="E401" s="41"/>
      <c r="F401" s="41"/>
      <c r="G401" s="41"/>
      <c r="H401" s="41"/>
      <c r="I401" s="41"/>
      <c r="K401" s="41"/>
      <c r="L401" s="64"/>
      <c r="M401" s="79"/>
    </row>
    <row r="402" spans="3:13" ht="13">
      <c r="C402" s="63"/>
      <c r="E402" s="41"/>
      <c r="F402" s="41"/>
      <c r="G402" s="41"/>
      <c r="H402" s="41"/>
      <c r="I402" s="41"/>
      <c r="K402" s="41"/>
      <c r="L402" s="64"/>
      <c r="M402" s="79"/>
    </row>
    <row r="403" spans="3:13" ht="13">
      <c r="C403" s="63"/>
      <c r="E403" s="41"/>
      <c r="F403" s="41"/>
      <c r="G403" s="41"/>
      <c r="H403" s="41"/>
      <c r="I403" s="41"/>
      <c r="K403" s="41"/>
      <c r="L403" s="64"/>
      <c r="M403" s="79"/>
    </row>
    <row r="404" spans="3:13" ht="13">
      <c r="C404" s="63"/>
      <c r="E404" s="41"/>
      <c r="F404" s="41"/>
      <c r="G404" s="41"/>
      <c r="H404" s="41"/>
      <c r="I404" s="41"/>
      <c r="K404" s="41"/>
      <c r="L404" s="64"/>
      <c r="M404" s="79"/>
    </row>
    <row r="405" spans="3:13" ht="13">
      <c r="C405" s="63"/>
      <c r="E405" s="41"/>
      <c r="F405" s="41"/>
      <c r="G405" s="41"/>
      <c r="H405" s="41"/>
      <c r="I405" s="41"/>
      <c r="K405" s="41"/>
      <c r="L405" s="64"/>
      <c r="M405" s="79"/>
    </row>
    <row r="406" spans="3:13" ht="13">
      <c r="C406" s="63"/>
      <c r="E406" s="41"/>
      <c r="F406" s="41"/>
      <c r="G406" s="41"/>
      <c r="H406" s="41"/>
      <c r="I406" s="41"/>
      <c r="K406" s="41"/>
      <c r="L406" s="64"/>
      <c r="M406" s="79"/>
    </row>
    <row r="407" spans="3:13" ht="13">
      <c r="C407" s="63"/>
      <c r="E407" s="41"/>
      <c r="F407" s="41"/>
      <c r="G407" s="41"/>
      <c r="H407" s="41"/>
      <c r="I407" s="41"/>
      <c r="K407" s="41"/>
      <c r="L407" s="64"/>
      <c r="M407" s="79"/>
    </row>
    <row r="408" spans="3:13" ht="13">
      <c r="C408" s="63"/>
      <c r="E408" s="41"/>
      <c r="F408" s="41"/>
      <c r="G408" s="41"/>
      <c r="H408" s="41"/>
      <c r="I408" s="41"/>
      <c r="K408" s="41"/>
      <c r="L408" s="64"/>
      <c r="M408" s="79"/>
    </row>
    <row r="409" spans="3:13" ht="13">
      <c r="C409" s="63"/>
      <c r="E409" s="41"/>
      <c r="F409" s="41"/>
      <c r="G409" s="41"/>
      <c r="H409" s="41"/>
      <c r="I409" s="41"/>
      <c r="K409" s="41"/>
      <c r="L409" s="64"/>
      <c r="M409" s="79"/>
    </row>
    <row r="410" spans="3:13" ht="13">
      <c r="C410" s="63"/>
      <c r="E410" s="41"/>
      <c r="F410" s="41"/>
      <c r="G410" s="41"/>
      <c r="H410" s="41"/>
      <c r="I410" s="41"/>
      <c r="K410" s="41"/>
      <c r="L410" s="64"/>
      <c r="M410" s="79"/>
    </row>
    <row r="411" spans="3:13" ht="13">
      <c r="C411" s="63"/>
      <c r="E411" s="41"/>
      <c r="F411" s="41"/>
      <c r="G411" s="41"/>
      <c r="H411" s="41"/>
      <c r="I411" s="41"/>
      <c r="K411" s="41"/>
      <c r="L411" s="64"/>
      <c r="M411" s="79"/>
    </row>
    <row r="412" spans="3:13" ht="13">
      <c r="C412" s="63"/>
      <c r="E412" s="41"/>
      <c r="F412" s="41"/>
      <c r="G412" s="41"/>
      <c r="H412" s="41"/>
      <c r="I412" s="41"/>
      <c r="K412" s="41"/>
      <c r="L412" s="64"/>
      <c r="M412" s="79"/>
    </row>
    <row r="413" spans="3:13" ht="13">
      <c r="C413" s="63"/>
      <c r="E413" s="41"/>
      <c r="F413" s="41"/>
      <c r="G413" s="41"/>
      <c r="H413" s="41"/>
      <c r="I413" s="41"/>
      <c r="K413" s="41"/>
      <c r="L413" s="64"/>
      <c r="M413" s="79"/>
    </row>
    <row r="414" spans="3:13" ht="13">
      <c r="C414" s="63"/>
      <c r="E414" s="41"/>
      <c r="F414" s="41"/>
      <c r="G414" s="41"/>
      <c r="H414" s="41"/>
      <c r="I414" s="41"/>
      <c r="K414" s="41"/>
      <c r="L414" s="64"/>
      <c r="M414" s="79"/>
    </row>
    <row r="415" spans="3:13" ht="13">
      <c r="C415" s="63"/>
      <c r="E415" s="41"/>
      <c r="F415" s="41"/>
      <c r="G415" s="41"/>
      <c r="H415" s="41"/>
      <c r="I415" s="41"/>
      <c r="K415" s="41"/>
      <c r="L415" s="64"/>
      <c r="M415" s="79"/>
    </row>
    <row r="416" spans="3:13" ht="13">
      <c r="C416" s="63"/>
      <c r="E416" s="41"/>
      <c r="F416" s="41"/>
      <c r="G416" s="41"/>
      <c r="H416" s="41"/>
      <c r="I416" s="41"/>
      <c r="K416" s="41"/>
      <c r="L416" s="64"/>
      <c r="M416" s="79"/>
    </row>
    <row r="417" spans="3:13" ht="13">
      <c r="C417" s="63"/>
      <c r="E417" s="41"/>
      <c r="F417" s="41"/>
      <c r="G417" s="41"/>
      <c r="H417" s="41"/>
      <c r="I417" s="41"/>
      <c r="K417" s="41"/>
      <c r="L417" s="64"/>
      <c r="M417" s="79"/>
    </row>
    <row r="418" spans="3:13" ht="13">
      <c r="C418" s="63"/>
      <c r="E418" s="41"/>
      <c r="F418" s="41"/>
      <c r="G418" s="41"/>
      <c r="H418" s="41"/>
      <c r="I418" s="41"/>
      <c r="K418" s="41"/>
      <c r="L418" s="64"/>
      <c r="M418" s="79"/>
    </row>
    <row r="419" spans="3:13" ht="13">
      <c r="C419" s="63"/>
      <c r="E419" s="41"/>
      <c r="F419" s="41"/>
      <c r="G419" s="41"/>
      <c r="H419" s="41"/>
      <c r="I419" s="41"/>
      <c r="K419" s="41"/>
      <c r="L419" s="64"/>
      <c r="M419" s="79"/>
    </row>
    <row r="420" spans="3:13" ht="13">
      <c r="C420" s="63"/>
      <c r="E420" s="41"/>
      <c r="F420" s="41"/>
      <c r="G420" s="41"/>
      <c r="H420" s="41"/>
      <c r="I420" s="41"/>
      <c r="K420" s="41"/>
      <c r="L420" s="64"/>
      <c r="M420" s="79"/>
    </row>
    <row r="421" spans="3:13" ht="13">
      <c r="C421" s="63"/>
      <c r="E421" s="41"/>
      <c r="F421" s="41"/>
      <c r="G421" s="41"/>
      <c r="H421" s="41"/>
      <c r="I421" s="41"/>
      <c r="K421" s="41"/>
      <c r="L421" s="64"/>
      <c r="M421" s="79"/>
    </row>
    <row r="422" spans="3:13" ht="13">
      <c r="C422" s="63"/>
      <c r="E422" s="41"/>
      <c r="F422" s="41"/>
      <c r="G422" s="41"/>
      <c r="H422" s="41"/>
      <c r="I422" s="41"/>
      <c r="K422" s="41"/>
      <c r="L422" s="64"/>
      <c r="M422" s="79"/>
    </row>
    <row r="423" spans="3:13" ht="13">
      <c r="C423" s="63"/>
      <c r="E423" s="41"/>
      <c r="F423" s="41"/>
      <c r="G423" s="41"/>
      <c r="H423" s="41"/>
      <c r="I423" s="41"/>
      <c r="K423" s="41"/>
      <c r="L423" s="64"/>
      <c r="M423" s="79"/>
    </row>
    <row r="424" spans="3:13" ht="13">
      <c r="C424" s="63"/>
      <c r="E424" s="41"/>
      <c r="F424" s="41"/>
      <c r="G424" s="41"/>
      <c r="H424" s="41"/>
      <c r="I424" s="41"/>
      <c r="K424" s="41"/>
      <c r="L424" s="64"/>
      <c r="M424" s="79"/>
    </row>
    <row r="425" spans="3:13" ht="13">
      <c r="C425" s="63"/>
      <c r="E425" s="41"/>
      <c r="F425" s="41"/>
      <c r="G425" s="41"/>
      <c r="H425" s="41"/>
      <c r="I425" s="41"/>
      <c r="K425" s="41"/>
      <c r="L425" s="64"/>
      <c r="M425" s="79"/>
    </row>
    <row r="426" spans="3:13" ht="13">
      <c r="C426" s="63"/>
      <c r="E426" s="41"/>
      <c r="F426" s="41"/>
      <c r="G426" s="41"/>
      <c r="H426" s="41"/>
      <c r="I426" s="41"/>
      <c r="K426" s="41"/>
      <c r="L426" s="64"/>
      <c r="M426" s="79"/>
    </row>
    <row r="427" spans="3:13" ht="13">
      <c r="C427" s="63"/>
      <c r="E427" s="41"/>
      <c r="F427" s="41"/>
      <c r="G427" s="41"/>
      <c r="H427" s="41"/>
      <c r="I427" s="41"/>
      <c r="K427" s="41"/>
      <c r="L427" s="64"/>
      <c r="M427" s="79"/>
    </row>
    <row r="428" spans="3:13" ht="13">
      <c r="C428" s="63"/>
      <c r="E428" s="41"/>
      <c r="F428" s="41"/>
      <c r="G428" s="41"/>
      <c r="H428" s="41"/>
      <c r="I428" s="41"/>
      <c r="K428" s="41"/>
      <c r="L428" s="64"/>
      <c r="M428" s="79"/>
    </row>
    <row r="429" spans="3:13" ht="13">
      <c r="C429" s="63"/>
      <c r="E429" s="41"/>
      <c r="F429" s="41"/>
      <c r="G429" s="41"/>
      <c r="H429" s="41"/>
      <c r="I429" s="41"/>
      <c r="K429" s="41"/>
      <c r="L429" s="64"/>
      <c r="M429" s="79"/>
    </row>
    <row r="430" spans="3:13" ht="13">
      <c r="C430" s="63"/>
      <c r="E430" s="41"/>
      <c r="F430" s="41"/>
      <c r="G430" s="41"/>
      <c r="H430" s="41"/>
      <c r="I430" s="41"/>
      <c r="K430" s="41"/>
      <c r="L430" s="64"/>
      <c r="M430" s="79"/>
    </row>
    <row r="431" spans="3:13" ht="13">
      <c r="C431" s="63"/>
      <c r="E431" s="41"/>
      <c r="F431" s="41"/>
      <c r="G431" s="41"/>
      <c r="H431" s="41"/>
      <c r="I431" s="41"/>
      <c r="K431" s="41"/>
      <c r="L431" s="64"/>
      <c r="M431" s="79"/>
    </row>
    <row r="432" spans="3:13" ht="13">
      <c r="C432" s="63"/>
      <c r="E432" s="41"/>
      <c r="F432" s="41"/>
      <c r="G432" s="41"/>
      <c r="H432" s="41"/>
      <c r="I432" s="41"/>
      <c r="K432" s="41"/>
      <c r="L432" s="64"/>
      <c r="M432" s="79"/>
    </row>
    <row r="433" spans="3:13" ht="13">
      <c r="C433" s="63"/>
      <c r="E433" s="41"/>
      <c r="F433" s="41"/>
      <c r="G433" s="41"/>
      <c r="H433" s="41"/>
      <c r="I433" s="41"/>
      <c r="K433" s="41"/>
      <c r="L433" s="64"/>
      <c r="M433" s="79"/>
    </row>
    <row r="434" spans="3:13" ht="13">
      <c r="C434" s="63"/>
      <c r="E434" s="41"/>
      <c r="F434" s="41"/>
      <c r="G434" s="41"/>
      <c r="H434" s="41"/>
      <c r="I434" s="41"/>
      <c r="K434" s="41"/>
      <c r="L434" s="64"/>
      <c r="M434" s="79"/>
    </row>
    <row r="435" spans="3:13" ht="13">
      <c r="C435" s="63"/>
      <c r="E435" s="41"/>
      <c r="F435" s="41"/>
      <c r="G435" s="41"/>
      <c r="H435" s="41"/>
      <c r="I435" s="41"/>
      <c r="K435" s="41"/>
      <c r="L435" s="64"/>
      <c r="M435" s="79"/>
    </row>
    <row r="436" spans="3:13" ht="13">
      <c r="C436" s="63"/>
      <c r="E436" s="41"/>
      <c r="F436" s="41"/>
      <c r="G436" s="41"/>
      <c r="H436" s="41"/>
      <c r="I436" s="41"/>
      <c r="K436" s="41"/>
      <c r="L436" s="64"/>
      <c r="M436" s="79"/>
    </row>
    <row r="437" spans="3:13" ht="13">
      <c r="C437" s="63"/>
      <c r="E437" s="41"/>
      <c r="F437" s="41"/>
      <c r="G437" s="41"/>
      <c r="H437" s="41"/>
      <c r="I437" s="41"/>
      <c r="K437" s="41"/>
      <c r="L437" s="64"/>
      <c r="M437" s="79"/>
    </row>
    <row r="438" spans="3:13" ht="13">
      <c r="C438" s="63"/>
      <c r="E438" s="41"/>
      <c r="F438" s="41"/>
      <c r="G438" s="41"/>
      <c r="H438" s="41"/>
      <c r="I438" s="41"/>
      <c r="K438" s="41"/>
      <c r="L438" s="64"/>
      <c r="M438" s="79"/>
    </row>
    <row r="439" spans="3:13" ht="13">
      <c r="C439" s="63"/>
      <c r="E439" s="41"/>
      <c r="F439" s="41"/>
      <c r="G439" s="41"/>
      <c r="H439" s="41"/>
      <c r="I439" s="41"/>
      <c r="K439" s="41"/>
      <c r="L439" s="64"/>
      <c r="M439" s="79"/>
    </row>
    <row r="440" spans="3:13" ht="13">
      <c r="C440" s="63"/>
      <c r="E440" s="41"/>
      <c r="F440" s="41"/>
      <c r="G440" s="41"/>
      <c r="H440" s="41"/>
      <c r="I440" s="41"/>
      <c r="K440" s="41"/>
      <c r="L440" s="64"/>
      <c r="M440" s="79"/>
    </row>
    <row r="441" spans="3:13" ht="13">
      <c r="C441" s="63"/>
      <c r="E441" s="41"/>
      <c r="F441" s="41"/>
      <c r="G441" s="41"/>
      <c r="H441" s="41"/>
      <c r="I441" s="41"/>
      <c r="K441" s="41"/>
      <c r="L441" s="64"/>
      <c r="M441" s="79"/>
    </row>
    <row r="442" spans="3:13" ht="13">
      <c r="C442" s="63"/>
      <c r="E442" s="41"/>
      <c r="F442" s="41"/>
      <c r="G442" s="41"/>
      <c r="H442" s="41"/>
      <c r="I442" s="41"/>
      <c r="K442" s="41"/>
      <c r="L442" s="64"/>
      <c r="M442" s="79"/>
    </row>
    <row r="443" spans="3:13" ht="13">
      <c r="C443" s="63"/>
      <c r="E443" s="41"/>
      <c r="F443" s="41"/>
      <c r="G443" s="41"/>
      <c r="H443" s="41"/>
      <c r="I443" s="41"/>
      <c r="K443" s="41"/>
      <c r="L443" s="64"/>
      <c r="M443" s="79"/>
    </row>
    <row r="444" spans="3:13" ht="13">
      <c r="C444" s="63"/>
      <c r="E444" s="41"/>
      <c r="F444" s="41"/>
      <c r="G444" s="41"/>
      <c r="H444" s="41"/>
      <c r="I444" s="41"/>
      <c r="K444" s="41"/>
      <c r="L444" s="64"/>
      <c r="M444" s="79"/>
    </row>
    <row r="445" spans="3:13" ht="13">
      <c r="C445" s="63"/>
      <c r="E445" s="41"/>
      <c r="F445" s="41"/>
      <c r="G445" s="41"/>
      <c r="H445" s="41"/>
      <c r="I445" s="41"/>
      <c r="K445" s="41"/>
      <c r="L445" s="64"/>
      <c r="M445" s="79"/>
    </row>
    <row r="446" spans="3:13" ht="13">
      <c r="C446" s="63"/>
      <c r="E446" s="41"/>
      <c r="F446" s="41"/>
      <c r="G446" s="41"/>
      <c r="H446" s="41"/>
      <c r="I446" s="41"/>
      <c r="K446" s="41"/>
      <c r="L446" s="64"/>
      <c r="M446" s="79"/>
    </row>
    <row r="447" spans="3:13" ht="13">
      <c r="C447" s="63"/>
      <c r="E447" s="41"/>
      <c r="F447" s="41"/>
      <c r="G447" s="41"/>
      <c r="H447" s="41"/>
      <c r="I447" s="41"/>
      <c r="K447" s="41"/>
      <c r="L447" s="64"/>
      <c r="M447" s="79"/>
    </row>
    <row r="448" spans="3:13" ht="13">
      <c r="C448" s="63"/>
      <c r="E448" s="41"/>
      <c r="F448" s="41"/>
      <c r="G448" s="41"/>
      <c r="H448" s="41"/>
      <c r="I448" s="41"/>
      <c r="K448" s="41"/>
      <c r="L448" s="64"/>
      <c r="M448" s="79"/>
    </row>
    <row r="449" spans="3:13" ht="13">
      <c r="C449" s="63"/>
      <c r="E449" s="41"/>
      <c r="F449" s="41"/>
      <c r="G449" s="41"/>
      <c r="H449" s="41"/>
      <c r="I449" s="41"/>
      <c r="K449" s="41"/>
      <c r="L449" s="64"/>
      <c r="M449" s="79"/>
    </row>
    <row r="450" spans="3:13" ht="13">
      <c r="C450" s="63"/>
      <c r="E450" s="41"/>
      <c r="F450" s="41"/>
      <c r="G450" s="41"/>
      <c r="H450" s="41"/>
      <c r="I450" s="41"/>
      <c r="K450" s="41"/>
      <c r="L450" s="64"/>
      <c r="M450" s="79"/>
    </row>
    <row r="451" spans="3:13" ht="13">
      <c r="C451" s="63"/>
      <c r="E451" s="41"/>
      <c r="F451" s="41"/>
      <c r="G451" s="41"/>
      <c r="H451" s="41"/>
      <c r="I451" s="41"/>
      <c r="K451" s="41"/>
      <c r="L451" s="64"/>
      <c r="M451" s="79"/>
    </row>
    <row r="452" spans="3:13" ht="13">
      <c r="C452" s="63"/>
      <c r="E452" s="41"/>
      <c r="F452" s="41"/>
      <c r="G452" s="41"/>
      <c r="H452" s="41"/>
      <c r="I452" s="41"/>
      <c r="K452" s="41"/>
      <c r="L452" s="64"/>
      <c r="M452" s="79"/>
    </row>
    <row r="453" spans="3:13" ht="13">
      <c r="C453" s="63"/>
      <c r="E453" s="41"/>
      <c r="F453" s="41"/>
      <c r="G453" s="41"/>
      <c r="H453" s="41"/>
      <c r="I453" s="41"/>
      <c r="K453" s="41"/>
      <c r="L453" s="64"/>
      <c r="M453" s="79"/>
    </row>
    <row r="454" spans="3:13" ht="13">
      <c r="C454" s="63"/>
      <c r="E454" s="41"/>
      <c r="F454" s="41"/>
      <c r="G454" s="41"/>
      <c r="H454" s="41"/>
      <c r="I454" s="41"/>
      <c r="K454" s="41"/>
      <c r="L454" s="64"/>
      <c r="M454" s="79"/>
    </row>
    <row r="455" spans="3:13" ht="13">
      <c r="C455" s="63"/>
      <c r="E455" s="41"/>
      <c r="F455" s="41"/>
      <c r="G455" s="41"/>
      <c r="H455" s="41"/>
      <c r="I455" s="41"/>
      <c r="K455" s="41"/>
      <c r="L455" s="64"/>
      <c r="M455" s="79"/>
    </row>
    <row r="456" spans="3:13" ht="13">
      <c r="C456" s="63"/>
      <c r="E456" s="41"/>
      <c r="F456" s="41"/>
      <c r="G456" s="41"/>
      <c r="H456" s="41"/>
      <c r="I456" s="41"/>
      <c r="K456" s="41"/>
      <c r="L456" s="64"/>
      <c r="M456" s="79"/>
    </row>
    <row r="457" spans="3:13" ht="13">
      <c r="C457" s="63"/>
      <c r="E457" s="41"/>
      <c r="F457" s="41"/>
      <c r="G457" s="41"/>
      <c r="H457" s="41"/>
      <c r="I457" s="41"/>
      <c r="K457" s="41"/>
      <c r="L457" s="64"/>
      <c r="M457" s="79"/>
    </row>
    <row r="458" spans="3:13" ht="13">
      <c r="C458" s="63"/>
      <c r="E458" s="41"/>
      <c r="F458" s="41"/>
      <c r="G458" s="41"/>
      <c r="H458" s="41"/>
      <c r="I458" s="41"/>
      <c r="K458" s="41"/>
      <c r="L458" s="64"/>
      <c r="M458" s="79"/>
    </row>
    <row r="459" spans="3:13" ht="13">
      <c r="C459" s="63"/>
      <c r="E459" s="41"/>
      <c r="F459" s="41"/>
      <c r="G459" s="41"/>
      <c r="H459" s="41"/>
      <c r="I459" s="41"/>
      <c r="K459" s="41"/>
      <c r="L459" s="64"/>
      <c r="M459" s="79"/>
    </row>
    <row r="460" spans="3:13" ht="13">
      <c r="C460" s="63"/>
      <c r="E460" s="41"/>
      <c r="F460" s="41"/>
      <c r="G460" s="41"/>
      <c r="H460" s="41"/>
      <c r="I460" s="41"/>
      <c r="K460" s="41"/>
      <c r="L460" s="64"/>
      <c r="M460" s="79"/>
    </row>
    <row r="461" spans="3:13" ht="13">
      <c r="C461" s="63"/>
      <c r="E461" s="41"/>
      <c r="F461" s="41"/>
      <c r="G461" s="41"/>
      <c r="H461" s="41"/>
      <c r="I461" s="41"/>
      <c r="K461" s="41"/>
      <c r="L461" s="64"/>
      <c r="M461" s="79"/>
    </row>
    <row r="462" spans="3:13" ht="13">
      <c r="C462" s="63"/>
      <c r="E462" s="41"/>
      <c r="F462" s="41"/>
      <c r="G462" s="41"/>
      <c r="H462" s="41"/>
      <c r="I462" s="41"/>
      <c r="K462" s="41"/>
      <c r="L462" s="64"/>
      <c r="M462" s="79"/>
    </row>
    <row r="463" spans="3:13" ht="13">
      <c r="C463" s="63"/>
      <c r="E463" s="41"/>
      <c r="F463" s="41"/>
      <c r="G463" s="41"/>
      <c r="H463" s="41"/>
      <c r="I463" s="41"/>
      <c r="K463" s="41"/>
      <c r="L463" s="64"/>
      <c r="M463" s="79"/>
    </row>
    <row r="464" spans="3:13" ht="13">
      <c r="C464" s="63"/>
      <c r="E464" s="41"/>
      <c r="F464" s="41"/>
      <c r="G464" s="41"/>
      <c r="H464" s="41"/>
      <c r="I464" s="41"/>
      <c r="K464" s="41"/>
      <c r="L464" s="64"/>
      <c r="M464" s="79"/>
    </row>
    <row r="465" spans="3:13" ht="13">
      <c r="C465" s="63"/>
      <c r="E465" s="41"/>
      <c r="F465" s="41"/>
      <c r="G465" s="41"/>
      <c r="H465" s="41"/>
      <c r="I465" s="41"/>
      <c r="K465" s="41"/>
      <c r="L465" s="64"/>
      <c r="M465" s="79"/>
    </row>
    <row r="466" spans="3:13" ht="13">
      <c r="C466" s="63"/>
      <c r="E466" s="41"/>
      <c r="F466" s="41"/>
      <c r="G466" s="41"/>
      <c r="H466" s="41"/>
      <c r="I466" s="41"/>
      <c r="K466" s="41"/>
      <c r="L466" s="64"/>
      <c r="M466" s="79"/>
    </row>
    <row r="467" spans="3:13" ht="13">
      <c r="C467" s="63"/>
      <c r="E467" s="41"/>
      <c r="F467" s="41"/>
      <c r="G467" s="41"/>
      <c r="H467" s="41"/>
      <c r="I467" s="41"/>
      <c r="K467" s="41"/>
      <c r="L467" s="64"/>
      <c r="M467" s="79"/>
    </row>
    <row r="468" spans="3:13" ht="13">
      <c r="C468" s="63"/>
      <c r="E468" s="41"/>
      <c r="F468" s="41"/>
      <c r="G468" s="41"/>
      <c r="H468" s="41"/>
      <c r="I468" s="41"/>
      <c r="K468" s="41"/>
      <c r="L468" s="64"/>
      <c r="M468" s="79"/>
    </row>
    <row r="469" spans="3:13" ht="13">
      <c r="C469" s="63"/>
      <c r="E469" s="41"/>
      <c r="F469" s="41"/>
      <c r="G469" s="41"/>
      <c r="H469" s="41"/>
      <c r="I469" s="41"/>
      <c r="K469" s="41"/>
      <c r="L469" s="64"/>
      <c r="M469" s="79"/>
    </row>
    <row r="470" spans="3:13" ht="13">
      <c r="C470" s="63"/>
      <c r="E470" s="41"/>
      <c r="F470" s="41"/>
      <c r="G470" s="41"/>
      <c r="H470" s="41"/>
      <c r="I470" s="41"/>
      <c r="K470" s="41"/>
      <c r="L470" s="64"/>
      <c r="M470" s="79"/>
    </row>
    <row r="471" spans="3:13" ht="13">
      <c r="C471" s="63"/>
      <c r="E471" s="41"/>
      <c r="F471" s="41"/>
      <c r="G471" s="41"/>
      <c r="H471" s="41"/>
      <c r="I471" s="41"/>
      <c r="K471" s="41"/>
      <c r="L471" s="64"/>
      <c r="M471" s="79"/>
    </row>
    <row r="472" spans="3:13" ht="13">
      <c r="C472" s="63"/>
      <c r="E472" s="41"/>
      <c r="F472" s="41"/>
      <c r="G472" s="41"/>
      <c r="H472" s="41"/>
      <c r="I472" s="41"/>
      <c r="K472" s="41"/>
      <c r="L472" s="64"/>
      <c r="M472" s="79"/>
    </row>
    <row r="473" spans="3:13" ht="13">
      <c r="C473" s="63"/>
      <c r="E473" s="41"/>
      <c r="F473" s="41"/>
      <c r="G473" s="41"/>
      <c r="H473" s="41"/>
      <c r="I473" s="41"/>
      <c r="K473" s="41"/>
      <c r="L473" s="64"/>
      <c r="M473" s="79"/>
    </row>
    <row r="474" spans="3:13" ht="13">
      <c r="C474" s="63"/>
      <c r="E474" s="41"/>
      <c r="F474" s="41"/>
      <c r="G474" s="41"/>
      <c r="H474" s="41"/>
      <c r="I474" s="41"/>
      <c r="K474" s="41"/>
      <c r="L474" s="64"/>
      <c r="M474" s="79"/>
    </row>
    <row r="475" spans="3:13" ht="13">
      <c r="C475" s="63"/>
      <c r="E475" s="41"/>
      <c r="F475" s="41"/>
      <c r="G475" s="41"/>
      <c r="H475" s="41"/>
      <c r="I475" s="41"/>
      <c r="K475" s="41"/>
      <c r="L475" s="64"/>
      <c r="M475" s="79"/>
    </row>
    <row r="476" spans="3:13" ht="13">
      <c r="C476" s="63"/>
      <c r="E476" s="41"/>
      <c r="F476" s="41"/>
      <c r="G476" s="41"/>
      <c r="H476" s="41"/>
      <c r="I476" s="41"/>
      <c r="K476" s="41"/>
      <c r="L476" s="64"/>
      <c r="M476" s="79"/>
    </row>
    <row r="477" spans="3:13" ht="13">
      <c r="C477" s="63"/>
      <c r="E477" s="41"/>
      <c r="F477" s="41"/>
      <c r="G477" s="41"/>
      <c r="H477" s="41"/>
      <c r="I477" s="41"/>
      <c r="K477" s="41"/>
      <c r="L477" s="64"/>
      <c r="M477" s="79"/>
    </row>
    <row r="478" spans="3:13" ht="13">
      <c r="C478" s="63"/>
      <c r="E478" s="41"/>
      <c r="F478" s="41"/>
      <c r="G478" s="41"/>
      <c r="H478" s="41"/>
      <c r="I478" s="41"/>
      <c r="K478" s="41"/>
      <c r="L478" s="64"/>
      <c r="M478" s="79"/>
    </row>
    <row r="479" spans="3:13" ht="13">
      <c r="C479" s="63"/>
      <c r="E479" s="41"/>
      <c r="F479" s="41"/>
      <c r="G479" s="41"/>
      <c r="H479" s="41"/>
      <c r="I479" s="41"/>
      <c r="K479" s="41"/>
      <c r="L479" s="64"/>
      <c r="M479" s="79"/>
    </row>
    <row r="480" spans="3:13" ht="13">
      <c r="C480" s="63"/>
      <c r="E480" s="41"/>
      <c r="F480" s="41"/>
      <c r="G480" s="41"/>
      <c r="H480" s="41"/>
      <c r="I480" s="41"/>
      <c r="K480" s="41"/>
      <c r="L480" s="64"/>
      <c r="M480" s="79"/>
    </row>
    <row r="481" spans="3:13" ht="13">
      <c r="C481" s="63"/>
      <c r="E481" s="41"/>
      <c r="F481" s="41"/>
      <c r="G481" s="41"/>
      <c r="H481" s="41"/>
      <c r="I481" s="41"/>
      <c r="K481" s="41"/>
      <c r="L481" s="64"/>
      <c r="M481" s="79"/>
    </row>
    <row r="482" spans="3:13" ht="13">
      <c r="C482" s="63"/>
      <c r="E482" s="41"/>
      <c r="F482" s="41"/>
      <c r="G482" s="41"/>
      <c r="H482" s="41"/>
      <c r="I482" s="41"/>
      <c r="K482" s="41"/>
      <c r="L482" s="64"/>
      <c r="M482" s="79"/>
    </row>
    <row r="483" spans="3:13" ht="13">
      <c r="C483" s="63"/>
      <c r="E483" s="41"/>
      <c r="F483" s="41"/>
      <c r="G483" s="41"/>
      <c r="H483" s="41"/>
      <c r="I483" s="41"/>
      <c r="K483" s="41"/>
      <c r="L483" s="64"/>
      <c r="M483" s="79"/>
    </row>
    <row r="484" spans="3:13" ht="13">
      <c r="C484" s="63"/>
      <c r="E484" s="41"/>
      <c r="F484" s="41"/>
      <c r="G484" s="41"/>
      <c r="H484" s="41"/>
      <c r="I484" s="41"/>
      <c r="K484" s="41"/>
      <c r="L484" s="64"/>
      <c r="M484" s="79"/>
    </row>
    <row r="485" spans="3:13" ht="13">
      <c r="C485" s="63"/>
      <c r="E485" s="41"/>
      <c r="F485" s="41"/>
      <c r="G485" s="41"/>
      <c r="H485" s="41"/>
      <c r="I485" s="41"/>
      <c r="K485" s="41"/>
      <c r="L485" s="64"/>
      <c r="M485" s="79"/>
    </row>
    <row r="486" spans="3:13" ht="13">
      <c r="C486" s="63"/>
      <c r="E486" s="41"/>
      <c r="F486" s="41"/>
      <c r="G486" s="41"/>
      <c r="H486" s="41"/>
      <c r="I486" s="41"/>
      <c r="K486" s="41"/>
      <c r="L486" s="64"/>
      <c r="M486" s="79"/>
    </row>
    <row r="487" spans="3:13" ht="13">
      <c r="C487" s="63"/>
      <c r="E487" s="41"/>
      <c r="F487" s="41"/>
      <c r="G487" s="41"/>
      <c r="H487" s="41"/>
      <c r="I487" s="41"/>
      <c r="K487" s="41"/>
      <c r="L487" s="64"/>
      <c r="M487" s="79"/>
    </row>
    <row r="488" spans="3:13" ht="13">
      <c r="C488" s="63"/>
      <c r="E488" s="41"/>
      <c r="F488" s="41"/>
      <c r="G488" s="41"/>
      <c r="H488" s="41"/>
      <c r="I488" s="41"/>
      <c r="K488" s="41"/>
      <c r="L488" s="64"/>
      <c r="M488" s="79"/>
    </row>
    <row r="489" spans="3:13" ht="13">
      <c r="C489" s="63"/>
      <c r="E489" s="41"/>
      <c r="F489" s="41"/>
      <c r="G489" s="41"/>
      <c r="H489" s="41"/>
      <c r="I489" s="41"/>
      <c r="K489" s="41"/>
      <c r="L489" s="64"/>
      <c r="M489" s="79"/>
    </row>
    <row r="490" spans="3:13" ht="13">
      <c r="C490" s="63"/>
      <c r="E490" s="41"/>
      <c r="F490" s="41"/>
      <c r="G490" s="41"/>
      <c r="H490" s="41"/>
      <c r="I490" s="41"/>
      <c r="K490" s="41"/>
      <c r="L490" s="64"/>
      <c r="M490" s="79"/>
    </row>
    <row r="491" spans="3:13" ht="13">
      <c r="C491" s="63"/>
      <c r="E491" s="41"/>
      <c r="F491" s="41"/>
      <c r="G491" s="41"/>
      <c r="H491" s="41"/>
      <c r="I491" s="41"/>
      <c r="K491" s="41"/>
      <c r="L491" s="64"/>
      <c r="M491" s="79"/>
    </row>
    <row r="492" spans="3:13" ht="13">
      <c r="C492" s="63"/>
      <c r="E492" s="41"/>
      <c r="F492" s="41"/>
      <c r="G492" s="41"/>
      <c r="H492" s="41"/>
      <c r="I492" s="41"/>
      <c r="K492" s="41"/>
      <c r="L492" s="64"/>
      <c r="M492" s="79"/>
    </row>
    <row r="493" spans="3:13" ht="13">
      <c r="C493" s="63"/>
      <c r="E493" s="41"/>
      <c r="F493" s="41"/>
      <c r="G493" s="41"/>
      <c r="H493" s="41"/>
      <c r="I493" s="41"/>
      <c r="K493" s="41"/>
      <c r="L493" s="64"/>
      <c r="M493" s="79"/>
    </row>
    <row r="494" spans="3:13" ht="13">
      <c r="C494" s="63"/>
      <c r="E494" s="41"/>
      <c r="F494" s="41"/>
      <c r="G494" s="41"/>
      <c r="H494" s="41"/>
      <c r="I494" s="41"/>
      <c r="K494" s="41"/>
      <c r="L494" s="64"/>
      <c r="M494" s="79"/>
    </row>
    <row r="495" spans="3:13" ht="13">
      <c r="C495" s="63"/>
      <c r="E495" s="41"/>
      <c r="F495" s="41"/>
      <c r="G495" s="41"/>
      <c r="H495" s="41"/>
      <c r="I495" s="41"/>
      <c r="K495" s="41"/>
      <c r="L495" s="64"/>
      <c r="M495" s="79"/>
    </row>
    <row r="496" spans="3:13" ht="13">
      <c r="C496" s="63"/>
      <c r="E496" s="41"/>
      <c r="F496" s="41"/>
      <c r="G496" s="41"/>
      <c r="H496" s="41"/>
      <c r="I496" s="41"/>
      <c r="K496" s="41"/>
      <c r="L496" s="64"/>
      <c r="M496" s="79"/>
    </row>
    <row r="497" spans="3:13" ht="13">
      <c r="C497" s="63"/>
      <c r="E497" s="41"/>
      <c r="F497" s="41"/>
      <c r="G497" s="41"/>
      <c r="H497" s="41"/>
      <c r="I497" s="41"/>
      <c r="K497" s="41"/>
      <c r="L497" s="64"/>
      <c r="M497" s="79"/>
    </row>
    <row r="498" spans="3:13" ht="13">
      <c r="C498" s="63"/>
      <c r="E498" s="41"/>
      <c r="F498" s="41"/>
      <c r="G498" s="41"/>
      <c r="H498" s="41"/>
      <c r="I498" s="41"/>
      <c r="K498" s="41"/>
      <c r="L498" s="64"/>
      <c r="M498" s="79"/>
    </row>
    <row r="499" spans="3:13" ht="13">
      <c r="C499" s="63"/>
      <c r="E499" s="41"/>
      <c r="F499" s="41"/>
      <c r="G499" s="41"/>
      <c r="H499" s="41"/>
      <c r="I499" s="41"/>
      <c r="K499" s="41"/>
      <c r="L499" s="64"/>
      <c r="M499" s="79"/>
    </row>
    <row r="500" spans="3:13" ht="13">
      <c r="C500" s="63"/>
      <c r="E500" s="41"/>
      <c r="F500" s="41"/>
      <c r="G500" s="41"/>
      <c r="H500" s="41"/>
      <c r="I500" s="41"/>
      <c r="K500" s="41"/>
      <c r="L500" s="64"/>
      <c r="M500" s="79"/>
    </row>
    <row r="501" spans="3:13" ht="13">
      <c r="C501" s="63"/>
      <c r="E501" s="41"/>
      <c r="F501" s="41"/>
      <c r="G501" s="41"/>
      <c r="H501" s="41"/>
      <c r="I501" s="41"/>
      <c r="K501" s="41"/>
      <c r="L501" s="64"/>
      <c r="M501" s="79"/>
    </row>
    <row r="502" spans="3:13" ht="13">
      <c r="C502" s="63"/>
      <c r="E502" s="41"/>
      <c r="F502" s="41"/>
      <c r="G502" s="41"/>
      <c r="H502" s="41"/>
      <c r="I502" s="41"/>
      <c r="K502" s="41"/>
      <c r="L502" s="64"/>
      <c r="M502" s="79"/>
    </row>
    <row r="503" spans="3:13" ht="13">
      <c r="C503" s="63"/>
      <c r="E503" s="41"/>
      <c r="F503" s="41"/>
      <c r="G503" s="41"/>
      <c r="H503" s="41"/>
      <c r="I503" s="41"/>
      <c r="K503" s="41"/>
      <c r="L503" s="64"/>
      <c r="M503" s="79"/>
    </row>
    <row r="504" spans="3:13" ht="13">
      <c r="C504" s="63"/>
      <c r="E504" s="41"/>
      <c r="F504" s="41"/>
      <c r="G504" s="41"/>
      <c r="H504" s="41"/>
      <c r="I504" s="41"/>
      <c r="K504" s="41"/>
      <c r="L504" s="64"/>
      <c r="M504" s="79"/>
    </row>
    <row r="505" spans="3:13" ht="13">
      <c r="C505" s="63"/>
      <c r="E505" s="41"/>
      <c r="F505" s="41"/>
      <c r="G505" s="41"/>
      <c r="H505" s="41"/>
      <c r="I505" s="41"/>
      <c r="K505" s="41"/>
      <c r="L505" s="64"/>
      <c r="M505" s="79"/>
    </row>
    <row r="506" spans="3:13" ht="13">
      <c r="C506" s="63"/>
      <c r="E506" s="41"/>
      <c r="F506" s="41"/>
      <c r="G506" s="41"/>
      <c r="H506" s="41"/>
      <c r="I506" s="41"/>
      <c r="K506" s="41"/>
      <c r="L506" s="64"/>
      <c r="M506" s="79"/>
    </row>
    <row r="507" spans="3:13" ht="13">
      <c r="C507" s="63"/>
      <c r="E507" s="41"/>
      <c r="F507" s="41"/>
      <c r="G507" s="41"/>
      <c r="H507" s="41"/>
      <c r="I507" s="41"/>
      <c r="K507" s="41"/>
      <c r="L507" s="64"/>
      <c r="M507" s="79"/>
    </row>
    <row r="508" spans="3:13" ht="13">
      <c r="C508" s="63"/>
      <c r="E508" s="41"/>
      <c r="F508" s="41"/>
      <c r="G508" s="41"/>
      <c r="H508" s="41"/>
      <c r="I508" s="41"/>
      <c r="K508" s="41"/>
      <c r="L508" s="64"/>
      <c r="M508" s="79"/>
    </row>
    <row r="509" spans="3:13" ht="13">
      <c r="C509" s="63"/>
      <c r="E509" s="41"/>
      <c r="F509" s="41"/>
      <c r="G509" s="41"/>
      <c r="H509" s="41"/>
      <c r="I509" s="41"/>
      <c r="K509" s="41"/>
      <c r="L509" s="64"/>
      <c r="M509" s="79"/>
    </row>
    <row r="510" spans="3:13" ht="13">
      <c r="C510" s="63"/>
      <c r="E510" s="41"/>
      <c r="F510" s="41"/>
      <c r="G510" s="41"/>
      <c r="H510" s="41"/>
      <c r="I510" s="41"/>
      <c r="K510" s="41"/>
      <c r="L510" s="64"/>
      <c r="M510" s="79"/>
    </row>
    <row r="511" spans="3:13" ht="13">
      <c r="C511" s="63"/>
      <c r="E511" s="41"/>
      <c r="F511" s="41"/>
      <c r="G511" s="41"/>
      <c r="H511" s="41"/>
      <c r="I511" s="41"/>
      <c r="K511" s="41"/>
      <c r="L511" s="64"/>
      <c r="M511" s="79"/>
    </row>
    <row r="512" spans="3:13" ht="13">
      <c r="C512" s="63"/>
      <c r="E512" s="41"/>
      <c r="F512" s="41"/>
      <c r="G512" s="41"/>
      <c r="H512" s="41"/>
      <c r="I512" s="41"/>
      <c r="K512" s="41"/>
      <c r="L512" s="64"/>
      <c r="M512" s="79"/>
    </row>
    <row r="513" spans="3:13" ht="13">
      <c r="C513" s="63"/>
      <c r="E513" s="41"/>
      <c r="F513" s="41"/>
      <c r="G513" s="41"/>
      <c r="H513" s="41"/>
      <c r="I513" s="41"/>
      <c r="K513" s="41"/>
      <c r="L513" s="64"/>
      <c r="M513" s="79"/>
    </row>
    <row r="514" spans="3:13" ht="13">
      <c r="C514" s="63"/>
      <c r="E514" s="41"/>
      <c r="F514" s="41"/>
      <c r="G514" s="41"/>
      <c r="H514" s="41"/>
      <c r="I514" s="41"/>
      <c r="K514" s="41"/>
      <c r="L514" s="64"/>
      <c r="M514" s="79"/>
    </row>
    <row r="515" spans="3:13" ht="13">
      <c r="C515" s="63"/>
      <c r="E515" s="41"/>
      <c r="F515" s="41"/>
      <c r="G515" s="41"/>
      <c r="H515" s="41"/>
      <c r="I515" s="41"/>
      <c r="K515" s="41"/>
      <c r="L515" s="64"/>
      <c r="M515" s="79"/>
    </row>
    <row r="516" spans="3:13" ht="13">
      <c r="C516" s="63"/>
      <c r="E516" s="41"/>
      <c r="F516" s="41"/>
      <c r="G516" s="41"/>
      <c r="H516" s="41"/>
      <c r="I516" s="41"/>
      <c r="K516" s="41"/>
      <c r="L516" s="64"/>
      <c r="M516" s="79"/>
    </row>
    <row r="517" spans="3:13" ht="13">
      <c r="C517" s="63"/>
      <c r="E517" s="41"/>
      <c r="F517" s="41"/>
      <c r="G517" s="41"/>
      <c r="H517" s="41"/>
      <c r="I517" s="41"/>
      <c r="K517" s="41"/>
      <c r="L517" s="64"/>
      <c r="M517" s="79"/>
    </row>
    <row r="518" spans="3:13" ht="13">
      <c r="C518" s="63"/>
      <c r="E518" s="41"/>
      <c r="F518" s="41"/>
      <c r="G518" s="41"/>
      <c r="H518" s="41"/>
      <c r="I518" s="41"/>
      <c r="K518" s="41"/>
      <c r="L518" s="64"/>
      <c r="M518" s="79"/>
    </row>
    <row r="519" spans="3:13" ht="13">
      <c r="C519" s="63"/>
      <c r="E519" s="41"/>
      <c r="F519" s="41"/>
      <c r="G519" s="41"/>
      <c r="H519" s="41"/>
      <c r="I519" s="41"/>
      <c r="K519" s="41"/>
      <c r="L519" s="64"/>
      <c r="M519" s="79"/>
    </row>
    <row r="520" spans="3:13" ht="13">
      <c r="C520" s="63"/>
      <c r="E520" s="41"/>
      <c r="F520" s="41"/>
      <c r="G520" s="41"/>
      <c r="H520" s="41"/>
      <c r="I520" s="41"/>
      <c r="K520" s="41"/>
      <c r="L520" s="64"/>
      <c r="M520" s="79"/>
    </row>
    <row r="521" spans="3:13" ht="13">
      <c r="C521" s="63"/>
      <c r="E521" s="41"/>
      <c r="F521" s="41"/>
      <c r="G521" s="41"/>
      <c r="H521" s="41"/>
      <c r="I521" s="41"/>
      <c r="K521" s="41"/>
      <c r="L521" s="64"/>
      <c r="M521" s="79"/>
    </row>
    <row r="522" spans="3:13" ht="13">
      <c r="C522" s="63"/>
      <c r="E522" s="41"/>
      <c r="F522" s="41"/>
      <c r="G522" s="41"/>
      <c r="H522" s="41"/>
      <c r="I522" s="41"/>
      <c r="K522" s="41"/>
      <c r="L522" s="64"/>
      <c r="M522" s="79"/>
    </row>
    <row r="523" spans="3:13" ht="13">
      <c r="C523" s="63"/>
      <c r="E523" s="41"/>
      <c r="F523" s="41"/>
      <c r="G523" s="41"/>
      <c r="H523" s="41"/>
      <c r="I523" s="41"/>
      <c r="K523" s="41"/>
      <c r="L523" s="64"/>
      <c r="M523" s="79"/>
    </row>
    <row r="524" spans="3:13" ht="13">
      <c r="C524" s="63"/>
      <c r="E524" s="41"/>
      <c r="F524" s="41"/>
      <c r="G524" s="41"/>
      <c r="H524" s="41"/>
      <c r="I524" s="41"/>
      <c r="K524" s="41"/>
      <c r="L524" s="64"/>
      <c r="M524" s="79"/>
    </row>
    <row r="525" spans="3:13" ht="13">
      <c r="C525" s="63"/>
      <c r="E525" s="41"/>
      <c r="F525" s="41"/>
      <c r="G525" s="41"/>
      <c r="H525" s="41"/>
      <c r="I525" s="41"/>
      <c r="K525" s="41"/>
      <c r="L525" s="64"/>
      <c r="M525" s="79"/>
    </row>
    <row r="526" spans="3:13" ht="13">
      <c r="C526" s="63"/>
      <c r="E526" s="41"/>
      <c r="F526" s="41"/>
      <c r="G526" s="41"/>
      <c r="H526" s="41"/>
      <c r="I526" s="41"/>
      <c r="K526" s="41"/>
      <c r="L526" s="64"/>
      <c r="M526" s="79"/>
    </row>
    <row r="527" spans="3:13" ht="13">
      <c r="C527" s="63"/>
      <c r="E527" s="41"/>
      <c r="F527" s="41"/>
      <c r="G527" s="41"/>
      <c r="H527" s="41"/>
      <c r="I527" s="41"/>
      <c r="K527" s="41"/>
      <c r="L527" s="64"/>
      <c r="M527" s="79"/>
    </row>
    <row r="528" spans="3:13" ht="13">
      <c r="C528" s="63"/>
      <c r="E528" s="41"/>
      <c r="F528" s="41"/>
      <c r="G528" s="41"/>
      <c r="H528" s="41"/>
      <c r="I528" s="41"/>
      <c r="K528" s="41"/>
      <c r="L528" s="64"/>
      <c r="M528" s="79"/>
    </row>
    <row r="529" spans="3:13" ht="13">
      <c r="C529" s="63"/>
      <c r="E529" s="41"/>
      <c r="F529" s="41"/>
      <c r="G529" s="41"/>
      <c r="H529" s="41"/>
      <c r="I529" s="41"/>
      <c r="K529" s="41"/>
      <c r="L529" s="64"/>
      <c r="M529" s="79"/>
    </row>
    <row r="530" spans="3:13" ht="13">
      <c r="C530" s="63"/>
      <c r="E530" s="41"/>
      <c r="F530" s="41"/>
      <c r="G530" s="41"/>
      <c r="H530" s="41"/>
      <c r="I530" s="41"/>
      <c r="K530" s="41"/>
      <c r="L530" s="64"/>
      <c r="M530" s="79"/>
    </row>
    <row r="531" spans="3:13" ht="13">
      <c r="C531" s="63"/>
      <c r="E531" s="41"/>
      <c r="F531" s="41"/>
      <c r="G531" s="41"/>
      <c r="H531" s="41"/>
      <c r="I531" s="41"/>
      <c r="K531" s="41"/>
      <c r="L531" s="64"/>
      <c r="M531" s="79"/>
    </row>
    <row r="532" spans="3:13" ht="13">
      <c r="C532" s="63"/>
      <c r="E532" s="41"/>
      <c r="F532" s="41"/>
      <c r="G532" s="41"/>
      <c r="H532" s="41"/>
      <c r="I532" s="41"/>
      <c r="K532" s="41"/>
      <c r="L532" s="64"/>
      <c r="M532" s="79"/>
    </row>
    <row r="533" spans="3:13" ht="13">
      <c r="C533" s="63"/>
      <c r="E533" s="41"/>
      <c r="F533" s="41"/>
      <c r="G533" s="41"/>
      <c r="H533" s="41"/>
      <c r="I533" s="41"/>
      <c r="K533" s="41"/>
      <c r="L533" s="64"/>
      <c r="M533" s="79"/>
    </row>
    <row r="534" spans="3:13" ht="13">
      <c r="C534" s="63"/>
      <c r="E534" s="41"/>
      <c r="F534" s="41"/>
      <c r="G534" s="41"/>
      <c r="H534" s="41"/>
      <c r="I534" s="41"/>
      <c r="K534" s="41"/>
      <c r="L534" s="64"/>
      <c r="M534" s="79"/>
    </row>
    <row r="535" spans="3:13" ht="13">
      <c r="C535" s="63"/>
      <c r="E535" s="41"/>
      <c r="F535" s="41"/>
      <c r="G535" s="41"/>
      <c r="H535" s="41"/>
      <c r="I535" s="41"/>
      <c r="K535" s="41"/>
      <c r="L535" s="64"/>
      <c r="M535" s="79"/>
    </row>
    <row r="536" spans="3:13" ht="13">
      <c r="C536" s="63"/>
      <c r="E536" s="41"/>
      <c r="F536" s="41"/>
      <c r="G536" s="41"/>
      <c r="H536" s="41"/>
      <c r="I536" s="41"/>
      <c r="K536" s="41"/>
      <c r="L536" s="64"/>
      <c r="M536" s="79"/>
    </row>
    <row r="537" spans="3:13" ht="13">
      <c r="C537" s="63"/>
      <c r="E537" s="41"/>
      <c r="F537" s="41"/>
      <c r="G537" s="41"/>
      <c r="H537" s="41"/>
      <c r="I537" s="41"/>
      <c r="K537" s="41"/>
      <c r="L537" s="64"/>
      <c r="M537" s="79"/>
    </row>
    <row r="538" spans="3:13" ht="13">
      <c r="C538" s="63"/>
      <c r="E538" s="41"/>
      <c r="F538" s="41"/>
      <c r="G538" s="41"/>
      <c r="H538" s="41"/>
      <c r="I538" s="41"/>
      <c r="K538" s="41"/>
      <c r="L538" s="64"/>
      <c r="M538" s="79"/>
    </row>
    <row r="539" spans="3:13" ht="13">
      <c r="C539" s="63"/>
      <c r="E539" s="41"/>
      <c r="F539" s="41"/>
      <c r="G539" s="41"/>
      <c r="H539" s="41"/>
      <c r="I539" s="41"/>
      <c r="K539" s="41"/>
      <c r="L539" s="64"/>
      <c r="M539" s="79"/>
    </row>
    <row r="540" spans="3:13" ht="13">
      <c r="C540" s="63"/>
      <c r="E540" s="41"/>
      <c r="F540" s="41"/>
      <c r="G540" s="41"/>
      <c r="H540" s="41"/>
      <c r="I540" s="41"/>
      <c r="K540" s="41"/>
      <c r="L540" s="64"/>
      <c r="M540" s="79"/>
    </row>
    <row r="541" spans="3:13" ht="13">
      <c r="C541" s="63"/>
      <c r="E541" s="41"/>
      <c r="F541" s="41"/>
      <c r="G541" s="41"/>
      <c r="H541" s="41"/>
      <c r="I541" s="41"/>
      <c r="K541" s="41"/>
      <c r="L541" s="64"/>
      <c r="M541" s="79"/>
    </row>
    <row r="542" spans="3:13" ht="13">
      <c r="C542" s="63"/>
      <c r="E542" s="41"/>
      <c r="F542" s="41"/>
      <c r="G542" s="41"/>
      <c r="H542" s="41"/>
      <c r="I542" s="41"/>
      <c r="K542" s="41"/>
      <c r="L542" s="64"/>
      <c r="M542" s="79"/>
    </row>
    <row r="543" spans="3:13" ht="13">
      <c r="C543" s="63"/>
      <c r="E543" s="41"/>
      <c r="F543" s="41"/>
      <c r="G543" s="41"/>
      <c r="H543" s="41"/>
      <c r="I543" s="41"/>
      <c r="K543" s="41"/>
      <c r="L543" s="64"/>
      <c r="M543" s="79"/>
    </row>
    <row r="544" spans="3:13" ht="13">
      <c r="C544" s="63"/>
      <c r="E544" s="41"/>
      <c r="F544" s="41"/>
      <c r="G544" s="41"/>
      <c r="H544" s="41"/>
      <c r="I544" s="41"/>
      <c r="K544" s="41"/>
      <c r="L544" s="64"/>
      <c r="M544" s="79"/>
    </row>
    <row r="545" spans="3:13" ht="13">
      <c r="C545" s="63"/>
      <c r="E545" s="41"/>
      <c r="F545" s="41"/>
      <c r="G545" s="41"/>
      <c r="H545" s="41"/>
      <c r="I545" s="41"/>
      <c r="K545" s="41"/>
      <c r="L545" s="64"/>
      <c r="M545" s="79"/>
    </row>
    <row r="546" spans="3:13" ht="13">
      <c r="C546" s="63"/>
      <c r="E546" s="41"/>
      <c r="F546" s="41"/>
      <c r="G546" s="41"/>
      <c r="H546" s="41"/>
      <c r="I546" s="41"/>
      <c r="K546" s="41"/>
      <c r="L546" s="64"/>
      <c r="M546" s="79"/>
    </row>
    <row r="547" spans="3:13" ht="13">
      <c r="C547" s="63"/>
      <c r="E547" s="41"/>
      <c r="F547" s="41"/>
      <c r="G547" s="41"/>
      <c r="H547" s="41"/>
      <c r="I547" s="41"/>
      <c r="K547" s="41"/>
      <c r="L547" s="64"/>
      <c r="M547" s="79"/>
    </row>
    <row r="548" spans="3:13" ht="13">
      <c r="C548" s="63"/>
      <c r="E548" s="41"/>
      <c r="F548" s="41"/>
      <c r="G548" s="41"/>
      <c r="H548" s="41"/>
      <c r="I548" s="41"/>
      <c r="K548" s="41"/>
      <c r="L548" s="64"/>
      <c r="M548" s="79"/>
    </row>
    <row r="549" spans="3:13" ht="13">
      <c r="C549" s="63"/>
      <c r="E549" s="41"/>
      <c r="F549" s="41"/>
      <c r="G549" s="41"/>
      <c r="H549" s="41"/>
      <c r="I549" s="41"/>
      <c r="K549" s="41"/>
      <c r="L549" s="64"/>
      <c r="M549" s="79"/>
    </row>
    <row r="550" spans="3:13" ht="13">
      <c r="C550" s="63"/>
      <c r="E550" s="41"/>
      <c r="F550" s="41"/>
      <c r="G550" s="41"/>
      <c r="H550" s="41"/>
      <c r="I550" s="41"/>
      <c r="K550" s="41"/>
      <c r="L550" s="64"/>
      <c r="M550" s="79"/>
    </row>
    <row r="551" spans="3:13" ht="13">
      <c r="C551" s="63"/>
      <c r="E551" s="41"/>
      <c r="F551" s="41"/>
      <c r="G551" s="41"/>
      <c r="H551" s="41"/>
      <c r="I551" s="41"/>
      <c r="K551" s="41"/>
      <c r="L551" s="64"/>
      <c r="M551" s="79"/>
    </row>
    <row r="552" spans="3:13" ht="13">
      <c r="C552" s="63"/>
      <c r="E552" s="41"/>
      <c r="F552" s="41"/>
      <c r="G552" s="41"/>
      <c r="H552" s="41"/>
      <c r="I552" s="41"/>
      <c r="K552" s="41"/>
      <c r="L552" s="64"/>
      <c r="M552" s="79"/>
    </row>
    <row r="553" spans="3:13" ht="13">
      <c r="C553" s="63"/>
      <c r="E553" s="41"/>
      <c r="F553" s="41"/>
      <c r="G553" s="41"/>
      <c r="H553" s="41"/>
      <c r="I553" s="41"/>
      <c r="K553" s="41"/>
      <c r="L553" s="64"/>
      <c r="M553" s="79"/>
    </row>
    <row r="554" spans="3:13" ht="13">
      <c r="C554" s="63"/>
      <c r="E554" s="41"/>
      <c r="F554" s="41"/>
      <c r="G554" s="41"/>
      <c r="H554" s="41"/>
      <c r="I554" s="41"/>
      <c r="K554" s="41"/>
      <c r="L554" s="64"/>
      <c r="M554" s="79"/>
    </row>
    <row r="555" spans="3:13" ht="13">
      <c r="C555" s="63"/>
      <c r="E555" s="41"/>
      <c r="F555" s="41"/>
      <c r="G555" s="41"/>
      <c r="H555" s="41"/>
      <c r="I555" s="41"/>
      <c r="K555" s="41"/>
      <c r="L555" s="64"/>
      <c r="M555" s="79"/>
    </row>
    <row r="556" spans="3:13" ht="13">
      <c r="C556" s="63"/>
      <c r="E556" s="41"/>
      <c r="F556" s="41"/>
      <c r="G556" s="41"/>
      <c r="H556" s="41"/>
      <c r="I556" s="41"/>
      <c r="K556" s="41"/>
      <c r="L556" s="64"/>
      <c r="M556" s="79"/>
    </row>
    <row r="557" spans="3:13" ht="13">
      <c r="C557" s="63"/>
      <c r="E557" s="41"/>
      <c r="F557" s="41"/>
      <c r="G557" s="41"/>
      <c r="H557" s="41"/>
      <c r="I557" s="41"/>
      <c r="K557" s="41"/>
      <c r="L557" s="64"/>
      <c r="M557" s="79"/>
    </row>
    <row r="558" spans="3:13" ht="13">
      <c r="C558" s="63"/>
      <c r="E558" s="41"/>
      <c r="F558" s="41"/>
      <c r="G558" s="41"/>
      <c r="H558" s="41"/>
      <c r="I558" s="41"/>
      <c r="K558" s="41"/>
      <c r="L558" s="64"/>
      <c r="M558" s="79"/>
    </row>
    <row r="559" spans="3:13" ht="13">
      <c r="C559" s="63"/>
      <c r="E559" s="41"/>
      <c r="F559" s="41"/>
      <c r="G559" s="41"/>
      <c r="H559" s="41"/>
      <c r="I559" s="41"/>
      <c r="K559" s="41"/>
      <c r="L559" s="64"/>
      <c r="M559" s="79"/>
    </row>
    <row r="560" spans="3:13" ht="13">
      <c r="C560" s="63"/>
      <c r="E560" s="41"/>
      <c r="F560" s="41"/>
      <c r="G560" s="41"/>
      <c r="H560" s="41"/>
      <c r="I560" s="41"/>
      <c r="K560" s="41"/>
      <c r="L560" s="64"/>
      <c r="M560" s="79"/>
    </row>
    <row r="561" spans="3:13" ht="13">
      <c r="C561" s="63"/>
      <c r="E561" s="41"/>
      <c r="F561" s="41"/>
      <c r="G561" s="41"/>
      <c r="H561" s="41"/>
      <c r="I561" s="41"/>
      <c r="K561" s="41"/>
      <c r="L561" s="64"/>
      <c r="M561" s="79"/>
    </row>
    <row r="562" spans="3:13" ht="13">
      <c r="C562" s="63"/>
      <c r="E562" s="41"/>
      <c r="F562" s="41"/>
      <c r="G562" s="41"/>
      <c r="H562" s="41"/>
      <c r="I562" s="41"/>
      <c r="K562" s="41"/>
      <c r="L562" s="64"/>
      <c r="M562" s="79"/>
    </row>
    <row r="563" spans="3:13" ht="13">
      <c r="C563" s="63"/>
      <c r="E563" s="41"/>
      <c r="F563" s="41"/>
      <c r="G563" s="41"/>
      <c r="H563" s="41"/>
      <c r="I563" s="41"/>
      <c r="K563" s="41"/>
      <c r="L563" s="64"/>
      <c r="M563" s="79"/>
    </row>
    <row r="564" spans="3:13" ht="13">
      <c r="C564" s="63"/>
      <c r="E564" s="41"/>
      <c r="F564" s="41"/>
      <c r="G564" s="41"/>
      <c r="H564" s="41"/>
      <c r="I564" s="41"/>
      <c r="K564" s="41"/>
      <c r="L564" s="64"/>
      <c r="M564" s="79"/>
    </row>
    <row r="565" spans="3:13" ht="13">
      <c r="C565" s="63"/>
      <c r="E565" s="41"/>
      <c r="F565" s="41"/>
      <c r="G565" s="41"/>
      <c r="H565" s="41"/>
      <c r="I565" s="41"/>
      <c r="K565" s="41"/>
      <c r="L565" s="64"/>
      <c r="M565" s="79"/>
    </row>
    <row r="566" spans="3:13" ht="13">
      <c r="C566" s="63"/>
      <c r="E566" s="41"/>
      <c r="F566" s="41"/>
      <c r="G566" s="41"/>
      <c r="H566" s="41"/>
      <c r="I566" s="41"/>
      <c r="K566" s="41"/>
      <c r="L566" s="64"/>
      <c r="M566" s="79"/>
    </row>
    <row r="567" spans="3:13" ht="13">
      <c r="C567" s="63"/>
      <c r="E567" s="41"/>
      <c r="F567" s="41"/>
      <c r="G567" s="41"/>
      <c r="H567" s="41"/>
      <c r="I567" s="41"/>
      <c r="K567" s="41"/>
      <c r="L567" s="64"/>
      <c r="M567" s="79"/>
    </row>
    <row r="568" spans="3:13" ht="13">
      <c r="C568" s="63"/>
      <c r="E568" s="41"/>
      <c r="F568" s="41"/>
      <c r="G568" s="41"/>
      <c r="H568" s="41"/>
      <c r="I568" s="41"/>
      <c r="K568" s="41"/>
      <c r="L568" s="64"/>
      <c r="M568" s="79"/>
    </row>
    <row r="569" spans="3:13" ht="13">
      <c r="C569" s="63"/>
      <c r="E569" s="41"/>
      <c r="F569" s="41"/>
      <c r="G569" s="41"/>
      <c r="H569" s="41"/>
      <c r="I569" s="41"/>
      <c r="K569" s="41"/>
      <c r="L569" s="64"/>
      <c r="M569" s="79"/>
    </row>
    <row r="570" spans="3:13" ht="13">
      <c r="C570" s="63"/>
      <c r="E570" s="41"/>
      <c r="F570" s="41"/>
      <c r="G570" s="41"/>
      <c r="H570" s="41"/>
      <c r="I570" s="41"/>
      <c r="K570" s="41"/>
      <c r="L570" s="64"/>
      <c r="M570" s="79"/>
    </row>
    <row r="571" spans="3:13" ht="13">
      <c r="C571" s="63"/>
      <c r="E571" s="41"/>
      <c r="F571" s="41"/>
      <c r="G571" s="41"/>
      <c r="H571" s="41"/>
      <c r="I571" s="41"/>
      <c r="K571" s="41"/>
      <c r="L571" s="64"/>
      <c r="M571" s="79"/>
    </row>
    <row r="572" spans="3:13" ht="13">
      <c r="C572" s="63"/>
      <c r="E572" s="41"/>
      <c r="F572" s="41"/>
      <c r="G572" s="41"/>
      <c r="H572" s="41"/>
      <c r="I572" s="41"/>
      <c r="K572" s="41"/>
      <c r="L572" s="64"/>
      <c r="M572" s="79"/>
    </row>
    <row r="573" spans="3:13" ht="13">
      <c r="C573" s="63"/>
      <c r="E573" s="41"/>
      <c r="F573" s="41"/>
      <c r="G573" s="41"/>
      <c r="H573" s="41"/>
      <c r="I573" s="41"/>
      <c r="K573" s="41"/>
      <c r="L573" s="64"/>
      <c r="M573" s="79"/>
    </row>
    <row r="574" spans="3:13" ht="13">
      <c r="C574" s="63"/>
      <c r="E574" s="41"/>
      <c r="F574" s="41"/>
      <c r="G574" s="41"/>
      <c r="H574" s="41"/>
      <c r="I574" s="41"/>
      <c r="K574" s="41"/>
      <c r="L574" s="64"/>
      <c r="M574" s="79"/>
    </row>
    <row r="575" spans="3:13" ht="13">
      <c r="C575" s="63"/>
      <c r="E575" s="41"/>
      <c r="F575" s="41"/>
      <c r="G575" s="41"/>
      <c r="H575" s="41"/>
      <c r="I575" s="41"/>
      <c r="K575" s="41"/>
      <c r="L575" s="64"/>
      <c r="M575" s="79"/>
    </row>
    <row r="576" spans="3:13" ht="13">
      <c r="C576" s="63"/>
      <c r="E576" s="41"/>
      <c r="F576" s="41"/>
      <c r="G576" s="41"/>
      <c r="H576" s="41"/>
      <c r="I576" s="41"/>
      <c r="K576" s="41"/>
      <c r="L576" s="64"/>
      <c r="M576" s="79"/>
    </row>
    <row r="577" spans="3:13" ht="13">
      <c r="C577" s="63"/>
      <c r="E577" s="41"/>
      <c r="F577" s="41"/>
      <c r="G577" s="41"/>
      <c r="H577" s="41"/>
      <c r="I577" s="41"/>
      <c r="K577" s="41"/>
      <c r="L577" s="64"/>
      <c r="M577" s="79"/>
    </row>
    <row r="578" spans="3:13" ht="13">
      <c r="C578" s="63"/>
      <c r="E578" s="41"/>
      <c r="F578" s="41"/>
      <c r="G578" s="41"/>
      <c r="H578" s="41"/>
      <c r="I578" s="41"/>
      <c r="K578" s="41"/>
      <c r="L578" s="64"/>
      <c r="M578" s="79"/>
    </row>
    <row r="579" spans="3:13" ht="13">
      <c r="C579" s="63"/>
      <c r="E579" s="41"/>
      <c r="F579" s="41"/>
      <c r="G579" s="41"/>
      <c r="H579" s="41"/>
      <c r="I579" s="41"/>
      <c r="K579" s="41"/>
      <c r="L579" s="64"/>
      <c r="M579" s="79"/>
    </row>
    <row r="580" spans="3:13" ht="13">
      <c r="C580" s="63"/>
      <c r="E580" s="41"/>
      <c r="F580" s="41"/>
      <c r="G580" s="41"/>
      <c r="H580" s="41"/>
      <c r="I580" s="41"/>
      <c r="K580" s="41"/>
      <c r="L580" s="64"/>
      <c r="M580" s="79"/>
    </row>
    <row r="581" spans="3:13" ht="13">
      <c r="C581" s="63"/>
      <c r="E581" s="41"/>
      <c r="F581" s="41"/>
      <c r="G581" s="41"/>
      <c r="H581" s="41"/>
      <c r="I581" s="41"/>
      <c r="K581" s="41"/>
      <c r="L581" s="64"/>
      <c r="M581" s="79"/>
    </row>
    <row r="582" spans="3:13" ht="13">
      <c r="C582" s="63"/>
      <c r="E582" s="41"/>
      <c r="F582" s="41"/>
      <c r="G582" s="41"/>
      <c r="H582" s="41"/>
      <c r="I582" s="41"/>
      <c r="K582" s="41"/>
      <c r="L582" s="64"/>
      <c r="M582" s="79"/>
    </row>
    <row r="583" spans="3:13" ht="13">
      <c r="C583" s="63"/>
      <c r="E583" s="41"/>
      <c r="F583" s="41"/>
      <c r="G583" s="41"/>
      <c r="H583" s="41"/>
      <c r="I583" s="41"/>
      <c r="K583" s="41"/>
      <c r="L583" s="64"/>
      <c r="M583" s="79"/>
    </row>
    <row r="584" spans="3:13" ht="13">
      <c r="C584" s="63"/>
      <c r="E584" s="41"/>
      <c r="F584" s="41"/>
      <c r="G584" s="41"/>
      <c r="H584" s="41"/>
      <c r="I584" s="41"/>
      <c r="K584" s="41"/>
      <c r="L584" s="64"/>
      <c r="M584" s="79"/>
    </row>
    <row r="585" spans="3:13" ht="13">
      <c r="C585" s="63"/>
      <c r="E585" s="41"/>
      <c r="F585" s="41"/>
      <c r="G585" s="41"/>
      <c r="H585" s="41"/>
      <c r="I585" s="41"/>
      <c r="K585" s="41"/>
      <c r="L585" s="64"/>
      <c r="M585" s="79"/>
    </row>
    <row r="586" spans="3:13" ht="13">
      <c r="C586" s="63"/>
      <c r="E586" s="41"/>
      <c r="F586" s="41"/>
      <c r="G586" s="41"/>
      <c r="H586" s="41"/>
      <c r="I586" s="41"/>
      <c r="K586" s="41"/>
      <c r="L586" s="64"/>
      <c r="M586" s="79"/>
    </row>
    <row r="587" spans="3:13" ht="13">
      <c r="C587" s="63"/>
      <c r="E587" s="41"/>
      <c r="F587" s="41"/>
      <c r="G587" s="41"/>
      <c r="H587" s="41"/>
      <c r="I587" s="41"/>
      <c r="K587" s="41"/>
      <c r="L587" s="64"/>
      <c r="M587" s="79"/>
    </row>
    <row r="588" spans="3:13" ht="13">
      <c r="C588" s="63"/>
      <c r="E588" s="41"/>
      <c r="F588" s="41"/>
      <c r="G588" s="41"/>
      <c r="H588" s="41"/>
      <c r="I588" s="41"/>
      <c r="K588" s="41"/>
      <c r="L588" s="64"/>
      <c r="M588" s="79"/>
    </row>
    <row r="589" spans="3:13" ht="13">
      <c r="C589" s="63"/>
      <c r="E589" s="41"/>
      <c r="F589" s="41"/>
      <c r="G589" s="41"/>
      <c r="H589" s="41"/>
      <c r="I589" s="41"/>
      <c r="K589" s="41"/>
      <c r="L589" s="64"/>
      <c r="M589" s="79"/>
    </row>
    <row r="590" spans="3:13" ht="13">
      <c r="C590" s="63"/>
      <c r="E590" s="41"/>
      <c r="F590" s="41"/>
      <c r="G590" s="41"/>
      <c r="H590" s="41"/>
      <c r="I590" s="41"/>
      <c r="K590" s="41"/>
      <c r="L590" s="64"/>
      <c r="M590" s="79"/>
    </row>
    <row r="591" spans="3:13" ht="13">
      <c r="C591" s="63"/>
      <c r="E591" s="41"/>
      <c r="F591" s="41"/>
      <c r="G591" s="41"/>
      <c r="H591" s="41"/>
      <c r="I591" s="41"/>
      <c r="K591" s="41"/>
      <c r="L591" s="64"/>
      <c r="M591" s="79"/>
    </row>
    <row r="592" spans="3:13" ht="13">
      <c r="C592" s="63"/>
      <c r="E592" s="41"/>
      <c r="F592" s="41"/>
      <c r="G592" s="41"/>
      <c r="H592" s="41"/>
      <c r="I592" s="41"/>
      <c r="K592" s="41"/>
      <c r="L592" s="64"/>
      <c r="M592" s="79"/>
    </row>
    <row r="593" spans="3:13" ht="13">
      <c r="C593" s="63"/>
      <c r="E593" s="41"/>
      <c r="F593" s="41"/>
      <c r="G593" s="41"/>
      <c r="H593" s="41"/>
      <c r="I593" s="41"/>
      <c r="K593" s="41"/>
      <c r="L593" s="64"/>
      <c r="M593" s="79"/>
    </row>
    <row r="594" spans="3:13" ht="13">
      <c r="C594" s="63"/>
      <c r="E594" s="41"/>
      <c r="F594" s="41"/>
      <c r="G594" s="41"/>
      <c r="H594" s="41"/>
      <c r="I594" s="41"/>
      <c r="K594" s="41"/>
      <c r="L594" s="64"/>
      <c r="M594" s="79"/>
    </row>
    <row r="595" spans="3:13" ht="13">
      <c r="C595" s="63"/>
      <c r="E595" s="41"/>
      <c r="F595" s="41"/>
      <c r="G595" s="41"/>
      <c r="H595" s="41"/>
      <c r="I595" s="41"/>
      <c r="K595" s="41"/>
      <c r="L595" s="64"/>
      <c r="M595" s="79"/>
    </row>
    <row r="596" spans="3:13" ht="13">
      <c r="C596" s="63"/>
      <c r="E596" s="41"/>
      <c r="F596" s="41"/>
      <c r="G596" s="41"/>
      <c r="H596" s="41"/>
      <c r="I596" s="41"/>
      <c r="K596" s="41"/>
      <c r="L596" s="64"/>
      <c r="M596" s="79"/>
    </row>
    <row r="597" spans="3:13" ht="13">
      <c r="C597" s="63"/>
      <c r="E597" s="41"/>
      <c r="F597" s="41"/>
      <c r="G597" s="41"/>
      <c r="H597" s="41"/>
      <c r="I597" s="41"/>
      <c r="K597" s="41"/>
      <c r="L597" s="64"/>
      <c r="M597" s="79"/>
    </row>
    <row r="598" spans="3:13" ht="13">
      <c r="C598" s="63"/>
      <c r="E598" s="41"/>
      <c r="F598" s="41"/>
      <c r="G598" s="41"/>
      <c r="H598" s="41"/>
      <c r="I598" s="41"/>
      <c r="K598" s="41"/>
      <c r="L598" s="64"/>
      <c r="M598" s="79"/>
    </row>
    <row r="599" spans="3:13" ht="13">
      <c r="C599" s="63"/>
      <c r="E599" s="41"/>
      <c r="F599" s="41"/>
      <c r="G599" s="41"/>
      <c r="H599" s="41"/>
      <c r="I599" s="41"/>
      <c r="K599" s="41"/>
      <c r="L599" s="64"/>
      <c r="M599" s="79"/>
    </row>
    <row r="600" spans="3:13" ht="13">
      <c r="C600" s="63"/>
      <c r="E600" s="41"/>
      <c r="F600" s="41"/>
      <c r="G600" s="41"/>
      <c r="H600" s="41"/>
      <c r="I600" s="41"/>
      <c r="K600" s="41"/>
      <c r="L600" s="64"/>
      <c r="M600" s="79"/>
    </row>
    <row r="601" spans="3:13" ht="13">
      <c r="C601" s="63"/>
      <c r="E601" s="41"/>
      <c r="F601" s="41"/>
      <c r="G601" s="41"/>
      <c r="H601" s="41"/>
      <c r="I601" s="41"/>
      <c r="K601" s="41"/>
      <c r="L601" s="64"/>
      <c r="M601" s="79"/>
    </row>
    <row r="602" spans="3:13" ht="13">
      <c r="C602" s="63"/>
      <c r="E602" s="41"/>
      <c r="F602" s="41"/>
      <c r="G602" s="41"/>
      <c r="H602" s="41"/>
      <c r="I602" s="41"/>
      <c r="K602" s="41"/>
      <c r="L602" s="64"/>
      <c r="M602" s="79"/>
    </row>
    <row r="603" spans="3:13" ht="13">
      <c r="C603" s="63"/>
      <c r="E603" s="41"/>
      <c r="F603" s="41"/>
      <c r="G603" s="41"/>
      <c r="H603" s="41"/>
      <c r="I603" s="41"/>
      <c r="K603" s="41"/>
      <c r="L603" s="64"/>
      <c r="M603" s="79"/>
    </row>
    <row r="604" spans="3:13" ht="13">
      <c r="C604" s="63"/>
      <c r="E604" s="41"/>
      <c r="F604" s="41"/>
      <c r="G604" s="41"/>
      <c r="H604" s="41"/>
      <c r="I604" s="41"/>
      <c r="K604" s="41"/>
      <c r="L604" s="64"/>
      <c r="M604" s="79"/>
    </row>
    <row r="605" spans="3:13" ht="13">
      <c r="C605" s="63"/>
      <c r="E605" s="41"/>
      <c r="F605" s="41"/>
      <c r="G605" s="41"/>
      <c r="H605" s="41"/>
      <c r="I605" s="41"/>
      <c r="K605" s="41"/>
      <c r="L605" s="64"/>
      <c r="M605" s="79"/>
    </row>
    <row r="606" spans="3:13" ht="13">
      <c r="C606" s="63"/>
      <c r="E606" s="41"/>
      <c r="F606" s="41"/>
      <c r="G606" s="41"/>
      <c r="H606" s="41"/>
      <c r="I606" s="41"/>
      <c r="K606" s="41"/>
      <c r="L606" s="64"/>
      <c r="M606" s="79"/>
    </row>
    <row r="607" spans="3:13" ht="13">
      <c r="C607" s="63"/>
      <c r="E607" s="41"/>
      <c r="F607" s="41"/>
      <c r="G607" s="41"/>
      <c r="H607" s="41"/>
      <c r="I607" s="41"/>
      <c r="K607" s="41"/>
      <c r="L607" s="64"/>
      <c r="M607" s="79"/>
    </row>
    <row r="608" spans="3:13" ht="13">
      <c r="C608" s="63"/>
      <c r="E608" s="41"/>
      <c r="F608" s="41"/>
      <c r="G608" s="41"/>
      <c r="H608" s="41"/>
      <c r="I608" s="41"/>
      <c r="K608" s="41"/>
      <c r="L608" s="64"/>
      <c r="M608" s="79"/>
    </row>
    <row r="609" spans="3:13" ht="13">
      <c r="C609" s="63"/>
      <c r="E609" s="41"/>
      <c r="F609" s="41"/>
      <c r="G609" s="41"/>
      <c r="H609" s="41"/>
      <c r="I609" s="41"/>
      <c r="K609" s="41"/>
      <c r="L609" s="64"/>
      <c r="M609" s="79"/>
    </row>
    <row r="610" spans="3:13" ht="13">
      <c r="C610" s="63"/>
      <c r="E610" s="41"/>
      <c r="F610" s="41"/>
      <c r="G610" s="41"/>
      <c r="H610" s="41"/>
      <c r="I610" s="41"/>
      <c r="K610" s="41"/>
      <c r="L610" s="64"/>
      <c r="M610" s="79"/>
    </row>
    <row r="611" spans="3:13" ht="13">
      <c r="C611" s="63"/>
      <c r="E611" s="41"/>
      <c r="F611" s="41"/>
      <c r="G611" s="41"/>
      <c r="H611" s="41"/>
      <c r="I611" s="41"/>
      <c r="K611" s="41"/>
      <c r="L611" s="64"/>
      <c r="M611" s="79"/>
    </row>
    <row r="612" spans="3:13" ht="13">
      <c r="C612" s="63"/>
      <c r="E612" s="41"/>
      <c r="F612" s="41"/>
      <c r="G612" s="41"/>
      <c r="H612" s="41"/>
      <c r="I612" s="41"/>
      <c r="K612" s="41"/>
      <c r="L612" s="64"/>
      <c r="M612" s="79"/>
    </row>
    <row r="613" spans="3:13" ht="13">
      <c r="C613" s="63"/>
      <c r="E613" s="41"/>
      <c r="F613" s="41"/>
      <c r="G613" s="41"/>
      <c r="H613" s="41"/>
      <c r="I613" s="41"/>
      <c r="K613" s="41"/>
      <c r="L613" s="64"/>
      <c r="M613" s="79"/>
    </row>
    <row r="614" spans="3:13" ht="13">
      <c r="C614" s="63"/>
      <c r="E614" s="41"/>
      <c r="F614" s="41"/>
      <c r="G614" s="41"/>
      <c r="H614" s="41"/>
      <c r="I614" s="41"/>
      <c r="K614" s="41"/>
      <c r="L614" s="64"/>
      <c r="M614" s="79"/>
    </row>
    <row r="615" spans="3:13" ht="13">
      <c r="C615" s="63"/>
      <c r="E615" s="41"/>
      <c r="F615" s="41"/>
      <c r="G615" s="41"/>
      <c r="H615" s="41"/>
      <c r="I615" s="41"/>
      <c r="K615" s="41"/>
      <c r="L615" s="64"/>
      <c r="M615" s="79"/>
    </row>
    <row r="616" spans="3:13" ht="13">
      <c r="C616" s="63"/>
      <c r="E616" s="41"/>
      <c r="F616" s="41"/>
      <c r="G616" s="41"/>
      <c r="H616" s="41"/>
      <c r="I616" s="41"/>
      <c r="K616" s="41"/>
      <c r="L616" s="64"/>
      <c r="M616" s="79"/>
    </row>
    <row r="617" spans="3:13" ht="13">
      <c r="C617" s="63"/>
      <c r="E617" s="41"/>
      <c r="F617" s="41"/>
      <c r="G617" s="41"/>
      <c r="H617" s="41"/>
      <c r="I617" s="41"/>
      <c r="K617" s="41"/>
      <c r="L617" s="64"/>
      <c r="M617" s="79"/>
    </row>
    <row r="618" spans="3:13" ht="13">
      <c r="C618" s="63"/>
      <c r="E618" s="41"/>
      <c r="F618" s="41"/>
      <c r="G618" s="41"/>
      <c r="H618" s="41"/>
      <c r="I618" s="41"/>
      <c r="K618" s="41"/>
      <c r="L618" s="64"/>
      <c r="M618" s="79"/>
    </row>
    <row r="619" spans="3:13" ht="13">
      <c r="C619" s="63"/>
      <c r="E619" s="41"/>
      <c r="F619" s="41"/>
      <c r="G619" s="41"/>
      <c r="H619" s="41"/>
      <c r="I619" s="41"/>
      <c r="K619" s="41"/>
      <c r="L619" s="64"/>
      <c r="M619" s="79"/>
    </row>
    <row r="620" spans="3:13" ht="13">
      <c r="C620" s="63"/>
      <c r="E620" s="41"/>
      <c r="F620" s="41"/>
      <c r="G620" s="41"/>
      <c r="H620" s="41"/>
      <c r="I620" s="41"/>
      <c r="K620" s="41"/>
      <c r="L620" s="64"/>
      <c r="M620" s="79"/>
    </row>
    <row r="621" spans="3:13" ht="13">
      <c r="C621" s="63"/>
      <c r="E621" s="41"/>
      <c r="F621" s="41"/>
      <c r="G621" s="41"/>
      <c r="H621" s="41"/>
      <c r="I621" s="41"/>
      <c r="K621" s="41"/>
      <c r="L621" s="64"/>
      <c r="M621" s="79"/>
    </row>
    <row r="622" spans="3:13" ht="13">
      <c r="C622" s="63"/>
      <c r="E622" s="41"/>
      <c r="F622" s="41"/>
      <c r="G622" s="41"/>
      <c r="H622" s="41"/>
      <c r="I622" s="41"/>
      <c r="K622" s="41"/>
      <c r="L622" s="64"/>
      <c r="M622" s="79"/>
    </row>
    <row r="623" spans="3:13" ht="13">
      <c r="C623" s="63"/>
      <c r="E623" s="41"/>
      <c r="F623" s="41"/>
      <c r="G623" s="41"/>
      <c r="H623" s="41"/>
      <c r="I623" s="41"/>
      <c r="K623" s="41"/>
      <c r="L623" s="64"/>
      <c r="M623" s="79"/>
    </row>
    <row r="624" spans="3:13" ht="13">
      <c r="C624" s="63"/>
      <c r="E624" s="41"/>
      <c r="F624" s="41"/>
      <c r="G624" s="41"/>
      <c r="H624" s="41"/>
      <c r="I624" s="41"/>
      <c r="K624" s="41"/>
      <c r="L624" s="64"/>
      <c r="M624" s="79"/>
    </row>
    <row r="625" spans="3:13" ht="13">
      <c r="C625" s="63"/>
      <c r="E625" s="41"/>
      <c r="F625" s="41"/>
      <c r="G625" s="41"/>
      <c r="H625" s="41"/>
      <c r="I625" s="41"/>
      <c r="K625" s="41"/>
      <c r="L625" s="64"/>
      <c r="M625" s="79"/>
    </row>
    <row r="626" spans="3:13" ht="13">
      <c r="C626" s="63"/>
      <c r="E626" s="41"/>
      <c r="F626" s="41"/>
      <c r="G626" s="41"/>
      <c r="H626" s="41"/>
      <c r="I626" s="41"/>
      <c r="K626" s="41"/>
      <c r="L626" s="64"/>
      <c r="M626" s="79"/>
    </row>
    <row r="627" spans="3:13" ht="13">
      <c r="C627" s="63"/>
      <c r="E627" s="41"/>
      <c r="F627" s="41"/>
      <c r="G627" s="41"/>
      <c r="H627" s="41"/>
      <c r="I627" s="41"/>
      <c r="K627" s="41"/>
      <c r="L627" s="64"/>
      <c r="M627" s="79"/>
    </row>
    <row r="628" spans="3:13" ht="13">
      <c r="C628" s="63"/>
      <c r="E628" s="41"/>
      <c r="F628" s="41"/>
      <c r="G628" s="41"/>
      <c r="H628" s="41"/>
      <c r="I628" s="41"/>
      <c r="K628" s="41"/>
      <c r="L628" s="64"/>
      <c r="M628" s="79"/>
    </row>
    <row r="629" spans="3:13" ht="13">
      <c r="C629" s="63"/>
      <c r="E629" s="41"/>
      <c r="F629" s="41"/>
      <c r="G629" s="41"/>
      <c r="H629" s="41"/>
      <c r="I629" s="41"/>
      <c r="K629" s="41"/>
      <c r="L629" s="64"/>
      <c r="M629" s="79"/>
    </row>
    <row r="630" spans="3:13" ht="13">
      <c r="C630" s="63"/>
      <c r="E630" s="41"/>
      <c r="F630" s="41"/>
      <c r="G630" s="41"/>
      <c r="H630" s="41"/>
      <c r="I630" s="41"/>
      <c r="K630" s="41"/>
      <c r="L630" s="64"/>
      <c r="M630" s="79"/>
    </row>
    <row r="631" spans="3:13" ht="13">
      <c r="C631" s="63"/>
      <c r="E631" s="41"/>
      <c r="F631" s="41"/>
      <c r="G631" s="41"/>
      <c r="H631" s="41"/>
      <c r="I631" s="41"/>
      <c r="K631" s="41"/>
      <c r="L631" s="64"/>
      <c r="M631" s="79"/>
    </row>
    <row r="632" spans="3:13" ht="13">
      <c r="C632" s="63"/>
      <c r="E632" s="41"/>
      <c r="F632" s="41"/>
      <c r="G632" s="41"/>
      <c r="H632" s="41"/>
      <c r="I632" s="41"/>
      <c r="K632" s="41"/>
      <c r="L632" s="64"/>
      <c r="M632" s="79"/>
    </row>
    <row r="633" spans="3:13" ht="13">
      <c r="C633" s="63"/>
      <c r="E633" s="41"/>
      <c r="F633" s="41"/>
      <c r="G633" s="41"/>
      <c r="H633" s="41"/>
      <c r="I633" s="41"/>
      <c r="K633" s="41"/>
      <c r="L633" s="64"/>
      <c r="M633" s="79"/>
    </row>
    <row r="634" spans="3:13" ht="13">
      <c r="C634" s="63"/>
      <c r="E634" s="41"/>
      <c r="F634" s="41"/>
      <c r="G634" s="41"/>
      <c r="H634" s="41"/>
      <c r="I634" s="41"/>
      <c r="K634" s="41"/>
      <c r="L634" s="64"/>
      <c r="M634" s="79"/>
    </row>
    <row r="635" spans="3:13" ht="13">
      <c r="C635" s="63"/>
      <c r="E635" s="41"/>
      <c r="F635" s="41"/>
      <c r="G635" s="41"/>
      <c r="H635" s="41"/>
      <c r="I635" s="41"/>
      <c r="K635" s="41"/>
      <c r="L635" s="64"/>
      <c r="M635" s="79"/>
    </row>
    <row r="636" spans="3:13" ht="13">
      <c r="C636" s="63"/>
      <c r="E636" s="41"/>
      <c r="F636" s="41"/>
      <c r="G636" s="41"/>
      <c r="H636" s="41"/>
      <c r="I636" s="41"/>
      <c r="K636" s="41"/>
      <c r="L636" s="64"/>
      <c r="M636" s="79"/>
    </row>
    <row r="637" spans="3:13" ht="13">
      <c r="C637" s="63"/>
      <c r="E637" s="41"/>
      <c r="F637" s="41"/>
      <c r="G637" s="41"/>
      <c r="H637" s="41"/>
      <c r="I637" s="41"/>
      <c r="K637" s="41"/>
      <c r="L637" s="64"/>
      <c r="M637" s="79"/>
    </row>
    <row r="638" spans="3:13" ht="13">
      <c r="C638" s="63"/>
      <c r="E638" s="41"/>
      <c r="F638" s="41"/>
      <c r="G638" s="41"/>
      <c r="H638" s="41"/>
      <c r="I638" s="41"/>
      <c r="K638" s="41"/>
      <c r="L638" s="64"/>
      <c r="M638" s="79"/>
    </row>
    <row r="639" spans="3:13" ht="13">
      <c r="C639" s="63"/>
      <c r="E639" s="41"/>
      <c r="F639" s="41"/>
      <c r="G639" s="41"/>
      <c r="H639" s="41"/>
      <c r="I639" s="41"/>
      <c r="K639" s="41"/>
      <c r="L639" s="64"/>
      <c r="M639" s="79"/>
    </row>
    <row r="640" spans="3:13" ht="13">
      <c r="C640" s="63"/>
      <c r="E640" s="41"/>
      <c r="F640" s="41"/>
      <c r="G640" s="41"/>
      <c r="H640" s="41"/>
      <c r="I640" s="41"/>
      <c r="K640" s="41"/>
      <c r="L640" s="64"/>
      <c r="M640" s="79"/>
    </row>
    <row r="641" spans="3:13" ht="13">
      <c r="C641" s="63"/>
      <c r="E641" s="41"/>
      <c r="F641" s="41"/>
      <c r="G641" s="41"/>
      <c r="H641" s="41"/>
      <c r="I641" s="41"/>
      <c r="K641" s="41"/>
      <c r="L641" s="64"/>
      <c r="M641" s="79"/>
    </row>
    <row r="642" spans="3:13" ht="13">
      <c r="C642" s="63"/>
      <c r="E642" s="41"/>
      <c r="F642" s="41"/>
      <c r="G642" s="41"/>
      <c r="H642" s="41"/>
      <c r="I642" s="41"/>
      <c r="K642" s="41"/>
      <c r="L642" s="64"/>
      <c r="M642" s="79"/>
    </row>
    <row r="643" spans="3:13" ht="13">
      <c r="C643" s="63"/>
      <c r="E643" s="41"/>
      <c r="F643" s="41"/>
      <c r="G643" s="41"/>
      <c r="H643" s="41"/>
      <c r="I643" s="41"/>
      <c r="K643" s="41"/>
      <c r="L643" s="64"/>
      <c r="M643" s="79"/>
    </row>
    <row r="644" spans="3:13" ht="13">
      <c r="C644" s="63"/>
      <c r="E644" s="41"/>
      <c r="F644" s="41"/>
      <c r="G644" s="41"/>
      <c r="H644" s="41"/>
      <c r="I644" s="41"/>
      <c r="K644" s="41"/>
      <c r="L644" s="64"/>
      <c r="M644" s="79"/>
    </row>
    <row r="645" spans="3:13" ht="13">
      <c r="C645" s="63"/>
      <c r="E645" s="41"/>
      <c r="F645" s="41"/>
      <c r="G645" s="41"/>
      <c r="H645" s="41"/>
      <c r="I645" s="41"/>
      <c r="K645" s="41"/>
      <c r="L645" s="64"/>
      <c r="M645" s="79"/>
    </row>
    <row r="646" spans="3:13" ht="13">
      <c r="C646" s="63"/>
      <c r="E646" s="41"/>
      <c r="F646" s="41"/>
      <c r="G646" s="41"/>
      <c r="H646" s="41"/>
      <c r="I646" s="41"/>
      <c r="K646" s="41"/>
      <c r="L646" s="64"/>
      <c r="M646" s="79"/>
    </row>
    <row r="647" spans="3:13" ht="13">
      <c r="C647" s="63"/>
      <c r="E647" s="41"/>
      <c r="F647" s="41"/>
      <c r="G647" s="41"/>
      <c r="H647" s="41"/>
      <c r="I647" s="41"/>
      <c r="K647" s="41"/>
      <c r="L647" s="64"/>
      <c r="M647" s="79"/>
    </row>
    <row r="648" spans="3:13" ht="13">
      <c r="C648" s="63"/>
      <c r="E648" s="41"/>
      <c r="F648" s="41"/>
      <c r="G648" s="41"/>
      <c r="H648" s="41"/>
      <c r="I648" s="41"/>
      <c r="K648" s="41"/>
      <c r="L648" s="64"/>
      <c r="M648" s="79"/>
    </row>
    <row r="649" spans="3:13" ht="13">
      <c r="C649" s="63"/>
      <c r="E649" s="41"/>
      <c r="F649" s="41"/>
      <c r="G649" s="41"/>
      <c r="H649" s="41"/>
      <c r="I649" s="41"/>
      <c r="K649" s="41"/>
      <c r="L649" s="64"/>
      <c r="M649" s="79"/>
    </row>
    <row r="650" spans="3:13" ht="13">
      <c r="C650" s="63"/>
      <c r="E650" s="41"/>
      <c r="F650" s="41"/>
      <c r="G650" s="41"/>
      <c r="H650" s="41"/>
      <c r="I650" s="41"/>
      <c r="K650" s="41"/>
      <c r="L650" s="64"/>
      <c r="M650" s="79"/>
    </row>
    <row r="651" spans="3:13" ht="13">
      <c r="C651" s="63"/>
      <c r="E651" s="41"/>
      <c r="F651" s="41"/>
      <c r="G651" s="41"/>
      <c r="H651" s="41"/>
      <c r="I651" s="41"/>
      <c r="K651" s="41"/>
      <c r="L651" s="64"/>
      <c r="M651" s="79"/>
    </row>
    <row r="652" spans="3:13" ht="13">
      <c r="C652" s="63"/>
      <c r="E652" s="41"/>
      <c r="F652" s="41"/>
      <c r="G652" s="41"/>
      <c r="H652" s="41"/>
      <c r="I652" s="41"/>
      <c r="K652" s="41"/>
      <c r="L652" s="64"/>
      <c r="M652" s="79"/>
    </row>
    <row r="653" spans="3:13" ht="13">
      <c r="C653" s="63"/>
      <c r="E653" s="41"/>
      <c r="F653" s="41"/>
      <c r="G653" s="41"/>
      <c r="H653" s="41"/>
      <c r="I653" s="41"/>
      <c r="K653" s="41"/>
      <c r="L653" s="64"/>
      <c r="M653" s="79"/>
    </row>
    <row r="654" spans="3:13" ht="13">
      <c r="C654" s="63"/>
      <c r="E654" s="41"/>
      <c r="F654" s="41"/>
      <c r="G654" s="41"/>
      <c r="H654" s="41"/>
      <c r="I654" s="41"/>
      <c r="K654" s="41"/>
      <c r="L654" s="64"/>
      <c r="M654" s="79"/>
    </row>
    <row r="655" spans="3:13" ht="13">
      <c r="C655" s="63"/>
      <c r="E655" s="41"/>
      <c r="F655" s="41"/>
      <c r="G655" s="41"/>
      <c r="H655" s="41"/>
      <c r="I655" s="41"/>
      <c r="K655" s="41"/>
      <c r="L655" s="64"/>
      <c r="M655" s="79"/>
    </row>
    <row r="656" spans="3:13" ht="13">
      <c r="C656" s="63"/>
      <c r="E656" s="41"/>
      <c r="F656" s="41"/>
      <c r="G656" s="41"/>
      <c r="H656" s="41"/>
      <c r="I656" s="41"/>
      <c r="K656" s="41"/>
      <c r="L656" s="64"/>
      <c r="M656" s="79"/>
    </row>
    <row r="657" spans="3:13" ht="13">
      <c r="C657" s="63"/>
      <c r="E657" s="41"/>
      <c r="F657" s="41"/>
      <c r="G657" s="41"/>
      <c r="H657" s="41"/>
      <c r="I657" s="41"/>
      <c r="K657" s="41"/>
      <c r="L657" s="64"/>
      <c r="M657" s="79"/>
    </row>
    <row r="658" spans="3:13" ht="13">
      <c r="C658" s="63"/>
      <c r="E658" s="41"/>
      <c r="F658" s="41"/>
      <c r="G658" s="41"/>
      <c r="H658" s="41"/>
      <c r="I658" s="41"/>
      <c r="K658" s="41"/>
      <c r="L658" s="64"/>
      <c r="M658" s="79"/>
    </row>
    <row r="659" spans="3:13" ht="13">
      <c r="C659" s="63"/>
      <c r="E659" s="41"/>
      <c r="F659" s="41"/>
      <c r="G659" s="41"/>
      <c r="H659" s="41"/>
      <c r="I659" s="41"/>
      <c r="K659" s="41"/>
      <c r="L659" s="64"/>
      <c r="M659" s="79"/>
    </row>
    <row r="660" spans="3:13" ht="13">
      <c r="C660" s="63"/>
      <c r="E660" s="41"/>
      <c r="F660" s="41"/>
      <c r="G660" s="41"/>
      <c r="H660" s="41"/>
      <c r="I660" s="41"/>
      <c r="K660" s="41"/>
      <c r="L660" s="64"/>
      <c r="M660" s="79"/>
    </row>
    <row r="661" spans="3:13" ht="13">
      <c r="C661" s="63"/>
      <c r="E661" s="41"/>
      <c r="F661" s="41"/>
      <c r="G661" s="41"/>
      <c r="H661" s="41"/>
      <c r="I661" s="41"/>
      <c r="K661" s="41"/>
      <c r="L661" s="64"/>
      <c r="M661" s="79"/>
    </row>
    <row r="662" spans="3:13" ht="13">
      <c r="C662" s="63"/>
      <c r="E662" s="41"/>
      <c r="F662" s="41"/>
      <c r="G662" s="41"/>
      <c r="H662" s="41"/>
      <c r="I662" s="41"/>
      <c r="K662" s="41"/>
      <c r="L662" s="64"/>
      <c r="M662" s="79"/>
    </row>
    <row r="663" spans="3:13" ht="13">
      <c r="C663" s="63"/>
      <c r="E663" s="41"/>
      <c r="F663" s="41"/>
      <c r="G663" s="41"/>
      <c r="H663" s="41"/>
      <c r="I663" s="41"/>
      <c r="K663" s="41"/>
      <c r="L663" s="64"/>
      <c r="M663" s="79"/>
    </row>
    <row r="664" spans="3:13" ht="13">
      <c r="C664" s="63"/>
      <c r="E664" s="41"/>
      <c r="F664" s="41"/>
      <c r="G664" s="41"/>
      <c r="H664" s="41"/>
      <c r="I664" s="41"/>
      <c r="K664" s="41"/>
      <c r="L664" s="64"/>
      <c r="M664" s="79"/>
    </row>
    <row r="665" spans="3:13" ht="13">
      <c r="C665" s="63"/>
      <c r="E665" s="41"/>
      <c r="F665" s="41"/>
      <c r="G665" s="41"/>
      <c r="H665" s="41"/>
      <c r="I665" s="41"/>
      <c r="K665" s="41"/>
      <c r="L665" s="64"/>
      <c r="M665" s="79"/>
    </row>
    <row r="666" spans="3:13" ht="13">
      <c r="C666" s="63"/>
      <c r="E666" s="41"/>
      <c r="F666" s="41"/>
      <c r="G666" s="41"/>
      <c r="H666" s="41"/>
      <c r="I666" s="41"/>
      <c r="K666" s="41"/>
      <c r="L666" s="64"/>
      <c r="M666" s="79"/>
    </row>
    <row r="667" spans="3:13" ht="13">
      <c r="C667" s="63"/>
      <c r="E667" s="41"/>
      <c r="F667" s="41"/>
      <c r="G667" s="41"/>
      <c r="H667" s="41"/>
      <c r="I667" s="41"/>
      <c r="K667" s="41"/>
      <c r="L667" s="64"/>
      <c r="M667" s="79"/>
    </row>
    <row r="668" spans="3:13" ht="13">
      <c r="C668" s="63"/>
      <c r="E668" s="41"/>
      <c r="F668" s="41"/>
      <c r="G668" s="41"/>
      <c r="H668" s="41"/>
      <c r="I668" s="41"/>
      <c r="K668" s="41"/>
      <c r="L668" s="64"/>
      <c r="M668" s="79"/>
    </row>
    <row r="669" spans="3:13" ht="13">
      <c r="C669" s="63"/>
      <c r="E669" s="41"/>
      <c r="F669" s="41"/>
      <c r="G669" s="41"/>
      <c r="H669" s="41"/>
      <c r="I669" s="41"/>
      <c r="K669" s="41"/>
      <c r="L669" s="64"/>
      <c r="M669" s="79"/>
    </row>
    <row r="670" spans="3:13" ht="13">
      <c r="C670" s="63"/>
      <c r="E670" s="41"/>
      <c r="F670" s="41"/>
      <c r="G670" s="41"/>
      <c r="H670" s="41"/>
      <c r="I670" s="41"/>
      <c r="K670" s="41"/>
      <c r="L670" s="64"/>
      <c r="M670" s="79"/>
    </row>
    <row r="671" spans="3:13" ht="13">
      <c r="C671" s="63"/>
      <c r="E671" s="41"/>
      <c r="F671" s="41"/>
      <c r="G671" s="41"/>
      <c r="H671" s="41"/>
      <c r="I671" s="41"/>
      <c r="K671" s="41"/>
      <c r="L671" s="64"/>
      <c r="M671" s="79"/>
    </row>
    <row r="672" spans="3:13" ht="13">
      <c r="C672" s="63"/>
      <c r="E672" s="41"/>
      <c r="F672" s="41"/>
      <c r="G672" s="41"/>
      <c r="H672" s="41"/>
      <c r="I672" s="41"/>
      <c r="K672" s="41"/>
      <c r="L672" s="64"/>
      <c r="M672" s="79"/>
    </row>
    <row r="673" spans="3:13" ht="13">
      <c r="C673" s="63"/>
      <c r="E673" s="41"/>
      <c r="F673" s="41"/>
      <c r="G673" s="41"/>
      <c r="H673" s="41"/>
      <c r="I673" s="41"/>
      <c r="K673" s="41"/>
      <c r="L673" s="64"/>
      <c r="M673" s="79"/>
    </row>
    <row r="674" spans="3:13" ht="13">
      <c r="C674" s="63"/>
      <c r="E674" s="41"/>
      <c r="F674" s="41"/>
      <c r="G674" s="41"/>
      <c r="H674" s="41"/>
      <c r="I674" s="41"/>
      <c r="K674" s="41"/>
      <c r="L674" s="64"/>
      <c r="M674" s="79"/>
    </row>
    <row r="675" spans="3:13" ht="13">
      <c r="C675" s="63"/>
      <c r="E675" s="41"/>
      <c r="F675" s="41"/>
      <c r="G675" s="41"/>
      <c r="H675" s="41"/>
      <c r="I675" s="41"/>
      <c r="K675" s="41"/>
      <c r="L675" s="64"/>
      <c r="M675" s="79"/>
    </row>
    <row r="676" spans="3:13" ht="13">
      <c r="C676" s="63"/>
      <c r="E676" s="41"/>
      <c r="F676" s="41"/>
      <c r="G676" s="41"/>
      <c r="H676" s="41"/>
      <c r="I676" s="41"/>
      <c r="K676" s="41"/>
      <c r="L676" s="64"/>
      <c r="M676" s="79"/>
    </row>
    <row r="677" spans="3:13" ht="13">
      <c r="C677" s="63"/>
      <c r="E677" s="41"/>
      <c r="F677" s="41"/>
      <c r="G677" s="41"/>
      <c r="H677" s="41"/>
      <c r="I677" s="41"/>
      <c r="K677" s="41"/>
      <c r="L677" s="64"/>
      <c r="M677" s="79"/>
    </row>
    <row r="678" spans="3:13" ht="13">
      <c r="C678" s="63"/>
      <c r="E678" s="41"/>
      <c r="F678" s="41"/>
      <c r="G678" s="41"/>
      <c r="H678" s="41"/>
      <c r="I678" s="41"/>
      <c r="K678" s="41"/>
      <c r="L678" s="64"/>
      <c r="M678" s="79"/>
    </row>
    <row r="679" spans="3:13" ht="13">
      <c r="C679" s="63"/>
      <c r="E679" s="41"/>
      <c r="F679" s="41"/>
      <c r="G679" s="41"/>
      <c r="H679" s="41"/>
      <c r="I679" s="41"/>
      <c r="K679" s="41"/>
      <c r="L679" s="64"/>
      <c r="M679" s="79"/>
    </row>
    <row r="680" spans="3:13" ht="13">
      <c r="C680" s="63"/>
      <c r="E680" s="41"/>
      <c r="F680" s="41"/>
      <c r="G680" s="41"/>
      <c r="H680" s="41"/>
      <c r="I680" s="41"/>
      <c r="K680" s="41"/>
      <c r="L680" s="64"/>
      <c r="M680" s="79"/>
    </row>
    <row r="681" spans="3:13" ht="13">
      <c r="C681" s="63"/>
      <c r="E681" s="41"/>
      <c r="F681" s="41"/>
      <c r="G681" s="41"/>
      <c r="H681" s="41"/>
      <c r="I681" s="41"/>
      <c r="K681" s="41"/>
      <c r="L681" s="64"/>
      <c r="M681" s="79"/>
    </row>
    <row r="682" spans="3:13" ht="13">
      <c r="C682" s="63"/>
      <c r="E682" s="41"/>
      <c r="F682" s="41"/>
      <c r="G682" s="41"/>
      <c r="H682" s="41"/>
      <c r="I682" s="41"/>
      <c r="K682" s="41"/>
      <c r="L682" s="64"/>
      <c r="M682" s="79"/>
    </row>
    <row r="683" spans="3:13" ht="13">
      <c r="C683" s="63"/>
      <c r="E683" s="41"/>
      <c r="F683" s="41"/>
      <c r="G683" s="41"/>
      <c r="H683" s="41"/>
      <c r="I683" s="41"/>
      <c r="K683" s="41"/>
      <c r="L683" s="64"/>
      <c r="M683" s="79"/>
    </row>
    <row r="684" spans="3:13" ht="13">
      <c r="C684" s="63"/>
      <c r="E684" s="41"/>
      <c r="F684" s="41"/>
      <c r="G684" s="41"/>
      <c r="H684" s="41"/>
      <c r="I684" s="41"/>
      <c r="K684" s="41"/>
      <c r="L684" s="64"/>
      <c r="M684" s="79"/>
    </row>
    <row r="685" spans="3:13" ht="13">
      <c r="C685" s="63"/>
      <c r="E685" s="41"/>
      <c r="F685" s="41"/>
      <c r="G685" s="41"/>
      <c r="H685" s="41"/>
      <c r="I685" s="41"/>
      <c r="K685" s="41"/>
      <c r="L685" s="64"/>
      <c r="M685" s="79"/>
    </row>
    <row r="686" spans="3:13" ht="13">
      <c r="C686" s="63"/>
      <c r="E686" s="41"/>
      <c r="F686" s="41"/>
      <c r="G686" s="41"/>
      <c r="H686" s="41"/>
      <c r="I686" s="41"/>
      <c r="K686" s="41"/>
      <c r="L686" s="64"/>
      <c r="M686" s="79"/>
    </row>
    <row r="687" spans="3:13" ht="13">
      <c r="C687" s="63"/>
      <c r="E687" s="41"/>
      <c r="F687" s="41"/>
      <c r="G687" s="41"/>
      <c r="H687" s="41"/>
      <c r="I687" s="41"/>
      <c r="K687" s="41"/>
      <c r="L687" s="64"/>
      <c r="M687" s="79"/>
    </row>
    <row r="688" spans="3:13" ht="13">
      <c r="C688" s="63"/>
      <c r="E688" s="41"/>
      <c r="F688" s="41"/>
      <c r="G688" s="41"/>
      <c r="H688" s="41"/>
      <c r="I688" s="41"/>
      <c r="K688" s="41"/>
      <c r="L688" s="64"/>
      <c r="M688" s="79"/>
    </row>
    <row r="689" spans="3:13" ht="13">
      <c r="C689" s="63"/>
      <c r="E689" s="41"/>
      <c r="F689" s="41"/>
      <c r="G689" s="41"/>
      <c r="H689" s="41"/>
      <c r="I689" s="41"/>
      <c r="K689" s="41"/>
      <c r="L689" s="64"/>
      <c r="M689" s="79"/>
    </row>
    <row r="690" spans="3:13" ht="13">
      <c r="C690" s="63"/>
      <c r="E690" s="41"/>
      <c r="F690" s="41"/>
      <c r="G690" s="41"/>
      <c r="H690" s="41"/>
      <c r="I690" s="41"/>
      <c r="K690" s="41"/>
      <c r="L690" s="64"/>
      <c r="M690" s="79"/>
    </row>
    <row r="691" spans="3:13" ht="13">
      <c r="C691" s="63"/>
      <c r="E691" s="41"/>
      <c r="F691" s="41"/>
      <c r="G691" s="41"/>
      <c r="H691" s="41"/>
      <c r="I691" s="41"/>
      <c r="K691" s="41"/>
      <c r="L691" s="64"/>
      <c r="M691" s="79"/>
    </row>
    <row r="692" spans="3:13" ht="13">
      <c r="C692" s="63"/>
      <c r="E692" s="41"/>
      <c r="F692" s="41"/>
      <c r="G692" s="41"/>
      <c r="H692" s="41"/>
      <c r="I692" s="41"/>
      <c r="K692" s="41"/>
      <c r="L692" s="64"/>
      <c r="M692" s="79"/>
    </row>
    <row r="693" spans="3:13" ht="13">
      <c r="C693" s="63"/>
      <c r="E693" s="41"/>
      <c r="F693" s="41"/>
      <c r="G693" s="41"/>
      <c r="H693" s="41"/>
      <c r="I693" s="41"/>
      <c r="K693" s="41"/>
      <c r="L693" s="64"/>
      <c r="M693" s="79"/>
    </row>
    <row r="694" spans="3:13" ht="13">
      <c r="C694" s="63"/>
      <c r="E694" s="41"/>
      <c r="F694" s="41"/>
      <c r="G694" s="41"/>
      <c r="H694" s="41"/>
      <c r="I694" s="41"/>
      <c r="K694" s="41"/>
      <c r="L694" s="64"/>
      <c r="M694" s="79"/>
    </row>
    <row r="695" spans="3:13" ht="13">
      <c r="C695" s="63"/>
      <c r="E695" s="41"/>
      <c r="F695" s="41"/>
      <c r="G695" s="41"/>
      <c r="H695" s="41"/>
      <c r="I695" s="41"/>
      <c r="K695" s="41"/>
      <c r="L695" s="64"/>
      <c r="M695" s="79"/>
    </row>
    <row r="696" spans="3:13" ht="13">
      <c r="C696" s="63"/>
      <c r="E696" s="41"/>
      <c r="F696" s="41"/>
      <c r="G696" s="41"/>
      <c r="H696" s="41"/>
      <c r="I696" s="41"/>
      <c r="K696" s="41"/>
      <c r="L696" s="64"/>
      <c r="M696" s="79"/>
    </row>
    <row r="697" spans="3:13" ht="13">
      <c r="C697" s="63"/>
      <c r="E697" s="41"/>
      <c r="F697" s="41"/>
      <c r="G697" s="41"/>
      <c r="H697" s="41"/>
      <c r="I697" s="41"/>
      <c r="K697" s="41"/>
      <c r="L697" s="64"/>
      <c r="M697" s="79"/>
    </row>
    <row r="698" spans="3:13" ht="13">
      <c r="C698" s="63"/>
      <c r="E698" s="41"/>
      <c r="F698" s="41"/>
      <c r="G698" s="41"/>
      <c r="H698" s="41"/>
      <c r="I698" s="41"/>
      <c r="K698" s="41"/>
      <c r="L698" s="64"/>
      <c r="M698" s="79"/>
    </row>
    <row r="699" spans="3:13" ht="13">
      <c r="C699" s="63"/>
      <c r="E699" s="41"/>
      <c r="F699" s="41"/>
      <c r="G699" s="41"/>
      <c r="H699" s="41"/>
      <c r="I699" s="41"/>
      <c r="K699" s="41"/>
      <c r="L699" s="64"/>
      <c r="M699" s="79"/>
    </row>
    <row r="700" spans="3:13" ht="13">
      <c r="C700" s="63"/>
      <c r="E700" s="41"/>
      <c r="F700" s="41"/>
      <c r="G700" s="41"/>
      <c r="H700" s="41"/>
      <c r="I700" s="41"/>
      <c r="K700" s="41"/>
      <c r="L700" s="64"/>
      <c r="M700" s="79"/>
    </row>
    <row r="701" spans="3:13" ht="13">
      <c r="C701" s="63"/>
      <c r="E701" s="41"/>
      <c r="F701" s="41"/>
      <c r="G701" s="41"/>
      <c r="H701" s="41"/>
      <c r="I701" s="41"/>
      <c r="K701" s="41"/>
      <c r="L701" s="64"/>
      <c r="M701" s="79"/>
    </row>
    <row r="702" spans="3:13" ht="13">
      <c r="C702" s="63"/>
      <c r="E702" s="41"/>
      <c r="F702" s="41"/>
      <c r="G702" s="41"/>
      <c r="H702" s="41"/>
      <c r="I702" s="41"/>
      <c r="K702" s="41"/>
      <c r="L702" s="64"/>
      <c r="M702" s="79"/>
    </row>
    <row r="703" spans="3:13" ht="13">
      <c r="C703" s="63"/>
      <c r="E703" s="41"/>
      <c r="F703" s="41"/>
      <c r="G703" s="41"/>
      <c r="H703" s="41"/>
      <c r="I703" s="41"/>
      <c r="K703" s="41"/>
      <c r="L703" s="64"/>
      <c r="M703" s="79"/>
    </row>
    <row r="704" spans="3:13" ht="13">
      <c r="C704" s="63"/>
      <c r="E704" s="41"/>
      <c r="F704" s="41"/>
      <c r="G704" s="41"/>
      <c r="H704" s="41"/>
      <c r="I704" s="41"/>
      <c r="K704" s="41"/>
      <c r="L704" s="64"/>
      <c r="M704" s="79"/>
    </row>
    <row r="705" spans="3:13" ht="13">
      <c r="C705" s="63"/>
      <c r="E705" s="41"/>
      <c r="F705" s="41"/>
      <c r="G705" s="41"/>
      <c r="H705" s="41"/>
      <c r="I705" s="41"/>
      <c r="K705" s="41"/>
      <c r="L705" s="64"/>
      <c r="M705" s="79"/>
    </row>
    <row r="706" spans="3:13" ht="13">
      <c r="C706" s="63"/>
      <c r="E706" s="41"/>
      <c r="F706" s="41"/>
      <c r="G706" s="41"/>
      <c r="H706" s="41"/>
      <c r="I706" s="41"/>
      <c r="K706" s="41"/>
      <c r="L706" s="64"/>
      <c r="M706" s="79"/>
    </row>
    <row r="707" spans="3:13" ht="13">
      <c r="C707" s="63"/>
      <c r="E707" s="41"/>
      <c r="F707" s="41"/>
      <c r="G707" s="41"/>
      <c r="H707" s="41"/>
      <c r="I707" s="41"/>
      <c r="K707" s="41"/>
      <c r="L707" s="64"/>
      <c r="M707" s="79"/>
    </row>
    <row r="708" spans="3:13" ht="13">
      <c r="C708" s="63"/>
      <c r="E708" s="41"/>
      <c r="F708" s="41"/>
      <c r="G708" s="41"/>
      <c r="H708" s="41"/>
      <c r="I708" s="41"/>
      <c r="K708" s="41"/>
      <c r="L708" s="64"/>
      <c r="M708" s="79"/>
    </row>
    <row r="709" spans="3:13" ht="13">
      <c r="C709" s="63"/>
      <c r="E709" s="41"/>
      <c r="F709" s="41"/>
      <c r="G709" s="41"/>
      <c r="H709" s="41"/>
      <c r="I709" s="41"/>
      <c r="K709" s="41"/>
      <c r="L709" s="64"/>
      <c r="M709" s="79"/>
    </row>
    <row r="710" spans="3:13" ht="13">
      <c r="C710" s="63"/>
      <c r="E710" s="41"/>
      <c r="F710" s="41"/>
      <c r="G710" s="41"/>
      <c r="H710" s="41"/>
      <c r="I710" s="41"/>
      <c r="K710" s="41"/>
      <c r="L710" s="64"/>
      <c r="M710" s="79"/>
    </row>
    <row r="711" spans="3:13" ht="13">
      <c r="C711" s="63"/>
      <c r="E711" s="41"/>
      <c r="F711" s="41"/>
      <c r="G711" s="41"/>
      <c r="H711" s="41"/>
      <c r="I711" s="41"/>
      <c r="K711" s="41"/>
      <c r="L711" s="64"/>
      <c r="M711" s="79"/>
    </row>
    <row r="712" spans="3:13" ht="13">
      <c r="C712" s="63"/>
      <c r="E712" s="41"/>
      <c r="F712" s="41"/>
      <c r="G712" s="41"/>
      <c r="H712" s="41"/>
      <c r="I712" s="41"/>
      <c r="K712" s="41"/>
      <c r="L712" s="64"/>
      <c r="M712" s="79"/>
    </row>
    <row r="713" spans="3:13" ht="13">
      <c r="C713" s="63"/>
      <c r="E713" s="41"/>
      <c r="F713" s="41"/>
      <c r="G713" s="41"/>
      <c r="H713" s="41"/>
      <c r="I713" s="41"/>
      <c r="K713" s="41"/>
      <c r="L713" s="64"/>
      <c r="M713" s="79"/>
    </row>
    <row r="714" spans="3:13" ht="13">
      <c r="C714" s="63"/>
      <c r="E714" s="41"/>
      <c r="F714" s="41"/>
      <c r="G714" s="41"/>
      <c r="H714" s="41"/>
      <c r="I714" s="41"/>
      <c r="K714" s="41"/>
      <c r="L714" s="64"/>
      <c r="M714" s="79"/>
    </row>
    <row r="715" spans="3:13" ht="13">
      <c r="C715" s="63"/>
      <c r="E715" s="41"/>
      <c r="F715" s="41"/>
      <c r="G715" s="41"/>
      <c r="H715" s="41"/>
      <c r="I715" s="41"/>
      <c r="K715" s="41"/>
      <c r="L715" s="64"/>
      <c r="M715" s="79"/>
    </row>
    <row r="716" spans="3:13" ht="13">
      <c r="C716" s="63"/>
      <c r="E716" s="41"/>
      <c r="F716" s="41"/>
      <c r="G716" s="41"/>
      <c r="H716" s="41"/>
      <c r="I716" s="41"/>
      <c r="K716" s="41"/>
      <c r="L716" s="64"/>
      <c r="M716" s="79"/>
    </row>
    <row r="717" spans="3:13" ht="13">
      <c r="C717" s="63"/>
      <c r="E717" s="41"/>
      <c r="F717" s="41"/>
      <c r="G717" s="41"/>
      <c r="H717" s="41"/>
      <c r="I717" s="41"/>
      <c r="K717" s="41"/>
      <c r="L717" s="64"/>
      <c r="M717" s="79"/>
    </row>
    <row r="718" spans="3:13" ht="13">
      <c r="C718" s="63"/>
      <c r="E718" s="41"/>
      <c r="F718" s="41"/>
      <c r="G718" s="41"/>
      <c r="H718" s="41"/>
      <c r="I718" s="41"/>
      <c r="K718" s="41"/>
      <c r="L718" s="64"/>
      <c r="M718" s="79"/>
    </row>
    <row r="719" spans="3:13" ht="13">
      <c r="C719" s="63"/>
      <c r="E719" s="41"/>
      <c r="F719" s="41"/>
      <c r="G719" s="41"/>
      <c r="H719" s="41"/>
      <c r="I719" s="41"/>
      <c r="K719" s="41"/>
      <c r="L719" s="64"/>
      <c r="M719" s="79"/>
    </row>
    <row r="720" spans="3:13" ht="13">
      <c r="C720" s="63"/>
      <c r="E720" s="41"/>
      <c r="F720" s="41"/>
      <c r="G720" s="41"/>
      <c r="H720" s="41"/>
      <c r="I720" s="41"/>
      <c r="K720" s="41"/>
      <c r="L720" s="64"/>
      <c r="M720" s="79"/>
    </row>
    <row r="721" spans="3:13" ht="13">
      <c r="C721" s="63"/>
      <c r="E721" s="41"/>
      <c r="F721" s="41"/>
      <c r="G721" s="41"/>
      <c r="H721" s="41"/>
      <c r="I721" s="41"/>
      <c r="K721" s="41"/>
      <c r="L721" s="64"/>
      <c r="M721" s="79"/>
    </row>
    <row r="722" spans="3:13" ht="13">
      <c r="C722" s="63"/>
      <c r="E722" s="41"/>
      <c r="F722" s="41"/>
      <c r="G722" s="41"/>
      <c r="H722" s="41"/>
      <c r="I722" s="41"/>
      <c r="K722" s="41"/>
      <c r="L722" s="64"/>
      <c r="M722" s="79"/>
    </row>
    <row r="723" spans="3:13" ht="13">
      <c r="C723" s="63"/>
      <c r="E723" s="41"/>
      <c r="F723" s="41"/>
      <c r="G723" s="41"/>
      <c r="H723" s="41"/>
      <c r="I723" s="41"/>
      <c r="K723" s="41"/>
      <c r="L723" s="64"/>
      <c r="M723" s="79"/>
    </row>
    <row r="724" spans="3:13" ht="13">
      <c r="C724" s="63"/>
      <c r="E724" s="41"/>
      <c r="F724" s="41"/>
      <c r="G724" s="41"/>
      <c r="H724" s="41"/>
      <c r="I724" s="41"/>
      <c r="K724" s="41"/>
      <c r="L724" s="64"/>
      <c r="M724" s="79"/>
    </row>
    <row r="725" spans="3:13" ht="13">
      <c r="C725" s="63"/>
      <c r="E725" s="41"/>
      <c r="F725" s="41"/>
      <c r="G725" s="41"/>
      <c r="H725" s="41"/>
      <c r="I725" s="41"/>
      <c r="K725" s="41"/>
      <c r="L725" s="64"/>
      <c r="M725" s="79"/>
    </row>
    <row r="726" spans="3:13" ht="13">
      <c r="C726" s="63"/>
      <c r="E726" s="41"/>
      <c r="F726" s="41"/>
      <c r="G726" s="41"/>
      <c r="H726" s="41"/>
      <c r="I726" s="41"/>
      <c r="K726" s="41"/>
      <c r="L726" s="64"/>
      <c r="M726" s="79"/>
    </row>
    <row r="727" spans="3:13" ht="13">
      <c r="C727" s="63"/>
      <c r="E727" s="41"/>
      <c r="F727" s="41"/>
      <c r="G727" s="41"/>
      <c r="H727" s="41"/>
      <c r="I727" s="41"/>
      <c r="K727" s="41"/>
      <c r="L727" s="64"/>
      <c r="M727" s="79"/>
    </row>
    <row r="728" spans="3:13" ht="13">
      <c r="C728" s="63"/>
      <c r="E728" s="41"/>
      <c r="F728" s="41"/>
      <c r="G728" s="41"/>
      <c r="H728" s="41"/>
      <c r="I728" s="41"/>
      <c r="K728" s="41"/>
      <c r="L728" s="64"/>
      <c r="M728" s="79"/>
    </row>
    <row r="729" spans="3:13" ht="13">
      <c r="C729" s="63"/>
      <c r="E729" s="41"/>
      <c r="F729" s="41"/>
      <c r="G729" s="41"/>
      <c r="H729" s="41"/>
      <c r="I729" s="41"/>
      <c r="K729" s="41"/>
      <c r="L729" s="64"/>
      <c r="M729" s="79"/>
    </row>
    <row r="730" spans="3:13" ht="13">
      <c r="C730" s="63"/>
      <c r="E730" s="41"/>
      <c r="F730" s="41"/>
      <c r="G730" s="41"/>
      <c r="H730" s="41"/>
      <c r="I730" s="41"/>
      <c r="K730" s="41"/>
      <c r="L730" s="64"/>
      <c r="M730" s="79"/>
    </row>
    <row r="731" spans="3:13" ht="13">
      <c r="C731" s="63"/>
      <c r="E731" s="41"/>
      <c r="F731" s="41"/>
      <c r="G731" s="41"/>
      <c r="H731" s="41"/>
      <c r="I731" s="41"/>
      <c r="K731" s="41"/>
      <c r="L731" s="64"/>
      <c r="M731" s="79"/>
    </row>
    <row r="732" spans="3:13" ht="13">
      <c r="C732" s="63"/>
      <c r="E732" s="41"/>
      <c r="F732" s="41"/>
      <c r="G732" s="41"/>
      <c r="H732" s="41"/>
      <c r="I732" s="41"/>
      <c r="K732" s="41"/>
      <c r="L732" s="64"/>
      <c r="M732" s="79"/>
    </row>
    <row r="733" spans="3:13" ht="13">
      <c r="C733" s="63"/>
      <c r="E733" s="41"/>
      <c r="F733" s="41"/>
      <c r="G733" s="41"/>
      <c r="H733" s="41"/>
      <c r="I733" s="41"/>
      <c r="K733" s="41"/>
      <c r="L733" s="64"/>
      <c r="M733" s="79"/>
    </row>
    <row r="734" spans="3:13" ht="13">
      <c r="C734" s="63"/>
      <c r="E734" s="41"/>
      <c r="F734" s="41"/>
      <c r="G734" s="41"/>
      <c r="H734" s="41"/>
      <c r="I734" s="41"/>
      <c r="K734" s="41"/>
      <c r="L734" s="64"/>
      <c r="M734" s="79"/>
    </row>
    <row r="735" spans="3:13" ht="13">
      <c r="C735" s="63"/>
      <c r="E735" s="41"/>
      <c r="F735" s="41"/>
      <c r="G735" s="41"/>
      <c r="H735" s="41"/>
      <c r="I735" s="41"/>
      <c r="K735" s="41"/>
      <c r="L735" s="64"/>
      <c r="M735" s="79"/>
    </row>
    <row r="736" spans="3:13" ht="13">
      <c r="C736" s="63"/>
      <c r="E736" s="41"/>
      <c r="F736" s="41"/>
      <c r="G736" s="41"/>
      <c r="H736" s="41"/>
      <c r="I736" s="41"/>
      <c r="K736" s="41"/>
      <c r="L736" s="64"/>
      <c r="M736" s="79"/>
    </row>
    <row r="737" spans="3:13" ht="13">
      <c r="C737" s="63"/>
      <c r="E737" s="41"/>
      <c r="F737" s="41"/>
      <c r="G737" s="41"/>
      <c r="H737" s="41"/>
      <c r="I737" s="41"/>
      <c r="K737" s="41"/>
      <c r="L737" s="64"/>
      <c r="M737" s="79"/>
    </row>
    <row r="738" spans="3:13" ht="13">
      <c r="C738" s="63"/>
      <c r="E738" s="41"/>
      <c r="F738" s="41"/>
      <c r="G738" s="41"/>
      <c r="H738" s="41"/>
      <c r="I738" s="41"/>
      <c r="K738" s="41"/>
      <c r="L738" s="64"/>
      <c r="M738" s="79"/>
    </row>
    <row r="739" spans="3:13" ht="13">
      <c r="C739" s="63"/>
      <c r="E739" s="41"/>
      <c r="F739" s="41"/>
      <c r="G739" s="41"/>
      <c r="H739" s="41"/>
      <c r="I739" s="41"/>
      <c r="K739" s="41"/>
      <c r="L739" s="64"/>
      <c r="M739" s="79"/>
    </row>
    <row r="740" spans="3:13" ht="13">
      <c r="C740" s="63"/>
      <c r="E740" s="41"/>
      <c r="F740" s="41"/>
      <c r="G740" s="41"/>
      <c r="H740" s="41"/>
      <c r="I740" s="41"/>
      <c r="K740" s="41"/>
      <c r="L740" s="64"/>
      <c r="M740" s="79"/>
    </row>
    <row r="741" spans="3:13" ht="13">
      <c r="C741" s="63"/>
      <c r="E741" s="41"/>
      <c r="F741" s="41"/>
      <c r="G741" s="41"/>
      <c r="H741" s="41"/>
      <c r="I741" s="41"/>
      <c r="K741" s="41"/>
      <c r="L741" s="64"/>
      <c r="M741" s="79"/>
    </row>
    <row r="742" spans="3:13" ht="13">
      <c r="C742" s="63"/>
      <c r="E742" s="41"/>
      <c r="F742" s="41"/>
      <c r="G742" s="41"/>
      <c r="H742" s="41"/>
      <c r="I742" s="41"/>
      <c r="K742" s="41"/>
      <c r="L742" s="64"/>
      <c r="M742" s="79"/>
    </row>
    <row r="743" spans="3:13" ht="13">
      <c r="C743" s="63"/>
      <c r="E743" s="41"/>
      <c r="F743" s="41"/>
      <c r="G743" s="41"/>
      <c r="H743" s="41"/>
      <c r="I743" s="41"/>
      <c r="K743" s="41"/>
      <c r="L743" s="64"/>
      <c r="M743" s="79"/>
    </row>
    <row r="744" spans="3:13" ht="13">
      <c r="C744" s="63"/>
      <c r="E744" s="41"/>
      <c r="F744" s="41"/>
      <c r="G744" s="41"/>
      <c r="H744" s="41"/>
      <c r="I744" s="41"/>
      <c r="K744" s="41"/>
      <c r="L744" s="64"/>
      <c r="M744" s="79"/>
    </row>
    <row r="745" spans="3:13" ht="13">
      <c r="C745" s="63"/>
      <c r="E745" s="41"/>
      <c r="F745" s="41"/>
      <c r="G745" s="41"/>
      <c r="H745" s="41"/>
      <c r="I745" s="41"/>
      <c r="K745" s="41"/>
      <c r="L745" s="64"/>
      <c r="M745" s="79"/>
    </row>
    <row r="746" spans="3:13" ht="13">
      <c r="C746" s="63"/>
      <c r="E746" s="41"/>
      <c r="F746" s="41"/>
      <c r="G746" s="41"/>
      <c r="H746" s="41"/>
      <c r="I746" s="41"/>
      <c r="K746" s="41"/>
      <c r="L746" s="64"/>
      <c r="M746" s="79"/>
    </row>
    <row r="747" spans="3:13" ht="13">
      <c r="C747" s="63"/>
      <c r="E747" s="41"/>
      <c r="F747" s="41"/>
      <c r="G747" s="41"/>
      <c r="H747" s="41"/>
      <c r="I747" s="41"/>
      <c r="K747" s="41"/>
      <c r="L747" s="64"/>
      <c r="M747" s="79"/>
    </row>
    <row r="748" spans="3:13" ht="13">
      <c r="C748" s="63"/>
      <c r="E748" s="41"/>
      <c r="F748" s="41"/>
      <c r="G748" s="41"/>
      <c r="H748" s="41"/>
      <c r="I748" s="41"/>
      <c r="K748" s="41"/>
      <c r="L748" s="64"/>
      <c r="M748" s="79"/>
    </row>
    <row r="749" spans="3:13" ht="13">
      <c r="C749" s="63"/>
      <c r="E749" s="41"/>
      <c r="F749" s="41"/>
      <c r="G749" s="41"/>
      <c r="H749" s="41"/>
      <c r="I749" s="41"/>
      <c r="K749" s="41"/>
      <c r="L749" s="64"/>
      <c r="M749" s="79"/>
    </row>
    <row r="750" spans="3:13" ht="13">
      <c r="C750" s="63"/>
      <c r="E750" s="41"/>
      <c r="F750" s="41"/>
      <c r="G750" s="41"/>
      <c r="H750" s="41"/>
      <c r="I750" s="41"/>
      <c r="K750" s="41"/>
      <c r="L750" s="64"/>
      <c r="M750" s="79"/>
    </row>
    <row r="751" spans="3:13" ht="13">
      <c r="C751" s="63"/>
      <c r="E751" s="41"/>
      <c r="F751" s="41"/>
      <c r="G751" s="41"/>
      <c r="H751" s="41"/>
      <c r="I751" s="41"/>
      <c r="K751" s="41"/>
      <c r="L751" s="64"/>
      <c r="M751" s="79"/>
    </row>
    <row r="752" spans="3:13" ht="13">
      <c r="C752" s="63"/>
      <c r="E752" s="41"/>
      <c r="F752" s="41"/>
      <c r="G752" s="41"/>
      <c r="H752" s="41"/>
      <c r="I752" s="41"/>
      <c r="K752" s="41"/>
      <c r="L752" s="64"/>
      <c r="M752" s="79"/>
    </row>
    <row r="753" spans="3:13" ht="13">
      <c r="C753" s="63"/>
      <c r="E753" s="41"/>
      <c r="F753" s="41"/>
      <c r="G753" s="41"/>
      <c r="H753" s="41"/>
      <c r="I753" s="41"/>
      <c r="K753" s="41"/>
      <c r="L753" s="64"/>
      <c r="M753" s="79"/>
    </row>
    <row r="754" spans="3:13" ht="13">
      <c r="C754" s="63"/>
      <c r="E754" s="41"/>
      <c r="F754" s="41"/>
      <c r="G754" s="41"/>
      <c r="H754" s="41"/>
      <c r="I754" s="41"/>
      <c r="K754" s="41"/>
      <c r="L754" s="64"/>
      <c r="M754" s="79"/>
    </row>
    <row r="755" spans="3:13" ht="13">
      <c r="C755" s="63"/>
      <c r="E755" s="41"/>
      <c r="F755" s="41"/>
      <c r="G755" s="41"/>
      <c r="H755" s="41"/>
      <c r="I755" s="41"/>
      <c r="K755" s="41"/>
      <c r="L755" s="64"/>
      <c r="M755" s="79"/>
    </row>
    <row r="756" spans="3:13" ht="13">
      <c r="C756" s="63"/>
      <c r="E756" s="41"/>
      <c r="F756" s="41"/>
      <c r="G756" s="41"/>
      <c r="H756" s="41"/>
      <c r="I756" s="41"/>
      <c r="K756" s="41"/>
      <c r="L756" s="64"/>
      <c r="M756" s="79"/>
    </row>
    <row r="757" spans="3:13" ht="13">
      <c r="C757" s="63"/>
      <c r="E757" s="41"/>
      <c r="F757" s="41"/>
      <c r="G757" s="41"/>
      <c r="H757" s="41"/>
      <c r="I757" s="41"/>
      <c r="K757" s="41"/>
      <c r="L757" s="64"/>
      <c r="M757" s="79"/>
    </row>
    <row r="758" spans="3:13" ht="13">
      <c r="C758" s="63"/>
      <c r="E758" s="41"/>
      <c r="F758" s="41"/>
      <c r="G758" s="41"/>
      <c r="H758" s="41"/>
      <c r="I758" s="41"/>
      <c r="K758" s="41"/>
      <c r="L758" s="64"/>
      <c r="M758" s="79"/>
    </row>
    <row r="759" spans="3:13" ht="13">
      <c r="C759" s="63"/>
      <c r="E759" s="41"/>
      <c r="F759" s="41"/>
      <c r="G759" s="41"/>
      <c r="H759" s="41"/>
      <c r="I759" s="41"/>
      <c r="K759" s="41"/>
      <c r="L759" s="64"/>
      <c r="M759" s="79"/>
    </row>
    <row r="760" spans="3:13" ht="13">
      <c r="C760" s="63"/>
      <c r="E760" s="41"/>
      <c r="F760" s="41"/>
      <c r="G760" s="41"/>
      <c r="H760" s="41"/>
      <c r="I760" s="41"/>
      <c r="K760" s="41"/>
      <c r="L760" s="64"/>
      <c r="M760" s="79"/>
    </row>
    <row r="761" spans="3:13" ht="13">
      <c r="C761" s="63"/>
      <c r="E761" s="41"/>
      <c r="F761" s="41"/>
      <c r="G761" s="41"/>
      <c r="H761" s="41"/>
      <c r="I761" s="41"/>
      <c r="K761" s="41"/>
      <c r="L761" s="64"/>
      <c r="M761" s="79"/>
    </row>
    <row r="762" spans="3:13" ht="13">
      <c r="C762" s="63"/>
      <c r="E762" s="41"/>
      <c r="F762" s="41"/>
      <c r="G762" s="41"/>
      <c r="H762" s="41"/>
      <c r="I762" s="41"/>
      <c r="K762" s="41"/>
      <c r="L762" s="64"/>
      <c r="M762" s="79"/>
    </row>
    <row r="763" spans="3:13" ht="13">
      <c r="C763" s="63"/>
      <c r="E763" s="41"/>
      <c r="F763" s="41"/>
      <c r="G763" s="41"/>
      <c r="H763" s="41"/>
      <c r="I763" s="41"/>
      <c r="K763" s="41"/>
      <c r="L763" s="64"/>
      <c r="M763" s="79"/>
    </row>
    <row r="764" spans="3:13" ht="13">
      <c r="C764" s="63"/>
      <c r="E764" s="41"/>
      <c r="F764" s="41"/>
      <c r="G764" s="41"/>
      <c r="H764" s="41"/>
      <c r="I764" s="41"/>
      <c r="K764" s="41"/>
      <c r="L764" s="64"/>
      <c r="M764" s="79"/>
    </row>
    <row r="765" spans="3:13" ht="13">
      <c r="C765" s="63"/>
      <c r="E765" s="41"/>
      <c r="F765" s="41"/>
      <c r="G765" s="41"/>
      <c r="H765" s="41"/>
      <c r="I765" s="41"/>
      <c r="K765" s="41"/>
      <c r="L765" s="64"/>
      <c r="M765" s="79"/>
    </row>
    <row r="766" spans="3:13" ht="13">
      <c r="C766" s="63"/>
      <c r="E766" s="41"/>
      <c r="F766" s="41"/>
      <c r="G766" s="41"/>
      <c r="H766" s="41"/>
      <c r="I766" s="41"/>
      <c r="K766" s="41"/>
      <c r="L766" s="64"/>
      <c r="M766" s="79"/>
    </row>
    <row r="767" spans="3:13" ht="13">
      <c r="C767" s="63"/>
      <c r="E767" s="41"/>
      <c r="F767" s="41"/>
      <c r="G767" s="41"/>
      <c r="H767" s="41"/>
      <c r="I767" s="41"/>
      <c r="K767" s="41"/>
      <c r="L767" s="64"/>
      <c r="M767" s="79"/>
    </row>
    <row r="768" spans="3:13" ht="13">
      <c r="C768" s="63"/>
      <c r="E768" s="41"/>
      <c r="F768" s="41"/>
      <c r="G768" s="41"/>
      <c r="H768" s="41"/>
      <c r="I768" s="41"/>
      <c r="K768" s="41"/>
      <c r="L768" s="64"/>
      <c r="M768" s="79"/>
    </row>
    <row r="769" spans="3:13" ht="13">
      <c r="C769" s="63"/>
      <c r="E769" s="41"/>
      <c r="F769" s="41"/>
      <c r="G769" s="41"/>
      <c r="H769" s="41"/>
      <c r="I769" s="41"/>
      <c r="K769" s="41"/>
      <c r="L769" s="64"/>
      <c r="M769" s="79"/>
    </row>
    <row r="770" spans="3:13" ht="13">
      <c r="C770" s="63"/>
      <c r="E770" s="41"/>
      <c r="F770" s="41"/>
      <c r="G770" s="41"/>
      <c r="H770" s="41"/>
      <c r="I770" s="41"/>
      <c r="K770" s="41"/>
      <c r="L770" s="64"/>
      <c r="M770" s="79"/>
    </row>
    <row r="771" spans="3:13" ht="13">
      <c r="C771" s="63"/>
      <c r="E771" s="41"/>
      <c r="F771" s="41"/>
      <c r="G771" s="41"/>
      <c r="H771" s="41"/>
      <c r="I771" s="41"/>
      <c r="K771" s="41"/>
      <c r="L771" s="64"/>
      <c r="M771" s="79"/>
    </row>
    <row r="772" spans="3:13" ht="13">
      <c r="C772" s="63"/>
      <c r="E772" s="41"/>
      <c r="F772" s="41"/>
      <c r="G772" s="41"/>
      <c r="H772" s="41"/>
      <c r="I772" s="41"/>
      <c r="K772" s="41"/>
      <c r="L772" s="64"/>
      <c r="M772" s="79"/>
    </row>
    <row r="773" spans="3:13" ht="13">
      <c r="C773" s="63"/>
      <c r="E773" s="41"/>
      <c r="F773" s="41"/>
      <c r="G773" s="41"/>
      <c r="H773" s="41"/>
      <c r="I773" s="41"/>
      <c r="K773" s="41"/>
      <c r="L773" s="64"/>
      <c r="M773" s="79"/>
    </row>
    <row r="774" spans="3:13" ht="13">
      <c r="C774" s="63"/>
      <c r="E774" s="41"/>
      <c r="F774" s="41"/>
      <c r="G774" s="41"/>
      <c r="H774" s="41"/>
      <c r="I774" s="41"/>
      <c r="K774" s="41"/>
      <c r="L774" s="64"/>
      <c r="M774" s="79"/>
    </row>
    <row r="775" spans="3:13" ht="13">
      <c r="C775" s="63"/>
      <c r="E775" s="41"/>
      <c r="F775" s="41"/>
      <c r="G775" s="41"/>
      <c r="H775" s="41"/>
      <c r="I775" s="41"/>
      <c r="K775" s="41"/>
      <c r="L775" s="64"/>
      <c r="M775" s="79"/>
    </row>
    <row r="776" spans="3:13" ht="13">
      <c r="C776" s="63"/>
      <c r="E776" s="41"/>
      <c r="F776" s="41"/>
      <c r="G776" s="41"/>
      <c r="H776" s="41"/>
      <c r="I776" s="41"/>
      <c r="K776" s="41"/>
      <c r="L776" s="64"/>
      <c r="M776" s="79"/>
    </row>
    <row r="777" spans="3:13" ht="13">
      <c r="C777" s="63"/>
      <c r="E777" s="41"/>
      <c r="F777" s="41"/>
      <c r="G777" s="41"/>
      <c r="H777" s="41"/>
      <c r="I777" s="41"/>
      <c r="K777" s="41"/>
      <c r="L777" s="64"/>
      <c r="M777" s="79"/>
    </row>
    <row r="778" spans="3:13" ht="13">
      <c r="C778" s="63"/>
      <c r="E778" s="41"/>
      <c r="F778" s="41"/>
      <c r="G778" s="41"/>
      <c r="H778" s="41"/>
      <c r="I778" s="41"/>
      <c r="K778" s="41"/>
      <c r="L778" s="64"/>
      <c r="M778" s="79"/>
    </row>
    <row r="779" spans="3:13" ht="13">
      <c r="C779" s="63"/>
      <c r="E779" s="41"/>
      <c r="F779" s="41"/>
      <c r="G779" s="41"/>
      <c r="H779" s="41"/>
      <c r="I779" s="41"/>
      <c r="K779" s="41"/>
      <c r="L779" s="64"/>
      <c r="M779" s="79"/>
    </row>
    <row r="780" spans="3:13" ht="13">
      <c r="C780" s="63"/>
      <c r="E780" s="41"/>
      <c r="F780" s="41"/>
      <c r="G780" s="41"/>
      <c r="H780" s="41"/>
      <c r="I780" s="41"/>
      <c r="K780" s="41"/>
      <c r="L780" s="64"/>
      <c r="M780" s="79"/>
    </row>
    <row r="781" spans="3:13" ht="13">
      <c r="C781" s="63"/>
      <c r="E781" s="41"/>
      <c r="F781" s="41"/>
      <c r="G781" s="41"/>
      <c r="H781" s="41"/>
      <c r="I781" s="41"/>
      <c r="K781" s="41"/>
      <c r="L781" s="64"/>
      <c r="M781" s="79"/>
    </row>
    <row r="782" spans="3:13" ht="13">
      <c r="C782" s="63"/>
      <c r="E782" s="41"/>
      <c r="F782" s="41"/>
      <c r="G782" s="41"/>
      <c r="H782" s="41"/>
      <c r="I782" s="41"/>
      <c r="K782" s="41"/>
      <c r="L782" s="64"/>
      <c r="M782" s="79"/>
    </row>
    <row r="783" spans="3:13" ht="13">
      <c r="C783" s="63"/>
      <c r="E783" s="41"/>
      <c r="F783" s="41"/>
      <c r="G783" s="41"/>
      <c r="H783" s="41"/>
      <c r="I783" s="41"/>
      <c r="K783" s="41"/>
      <c r="L783" s="64"/>
      <c r="M783" s="79"/>
    </row>
    <row r="784" spans="3:13" ht="13">
      <c r="C784" s="63"/>
      <c r="E784" s="41"/>
      <c r="F784" s="41"/>
      <c r="G784" s="41"/>
      <c r="H784" s="41"/>
      <c r="I784" s="41"/>
      <c r="K784" s="41"/>
      <c r="L784" s="64"/>
      <c r="M784" s="79"/>
    </row>
    <row r="785" spans="3:13" ht="13">
      <c r="C785" s="63"/>
      <c r="E785" s="41"/>
      <c r="F785" s="41"/>
      <c r="G785" s="41"/>
      <c r="H785" s="41"/>
      <c r="I785" s="41"/>
      <c r="K785" s="41"/>
      <c r="L785" s="64"/>
      <c r="M785" s="79"/>
    </row>
    <row r="786" spans="3:13" ht="13">
      <c r="C786" s="63"/>
      <c r="E786" s="41"/>
      <c r="F786" s="41"/>
      <c r="G786" s="41"/>
      <c r="H786" s="41"/>
      <c r="I786" s="41"/>
      <c r="K786" s="41"/>
      <c r="L786" s="64"/>
      <c r="M786" s="79"/>
    </row>
    <row r="787" spans="3:13" ht="13">
      <c r="C787" s="63"/>
      <c r="E787" s="41"/>
      <c r="F787" s="41"/>
      <c r="G787" s="41"/>
      <c r="H787" s="41"/>
      <c r="I787" s="41"/>
      <c r="K787" s="41"/>
      <c r="L787" s="64"/>
      <c r="M787" s="79"/>
    </row>
    <row r="788" spans="3:13" ht="13">
      <c r="C788" s="63"/>
      <c r="E788" s="41"/>
      <c r="F788" s="41"/>
      <c r="G788" s="41"/>
      <c r="H788" s="41"/>
      <c r="I788" s="41"/>
      <c r="K788" s="41"/>
      <c r="L788" s="64"/>
      <c r="M788" s="79"/>
    </row>
    <row r="789" spans="3:13" ht="13">
      <c r="C789" s="63"/>
      <c r="E789" s="41"/>
      <c r="F789" s="41"/>
      <c r="G789" s="41"/>
      <c r="H789" s="41"/>
      <c r="I789" s="41"/>
      <c r="K789" s="41"/>
      <c r="L789" s="64"/>
      <c r="M789" s="79"/>
    </row>
    <row r="790" spans="3:13" ht="13">
      <c r="C790" s="63"/>
      <c r="E790" s="41"/>
      <c r="F790" s="41"/>
      <c r="G790" s="41"/>
      <c r="H790" s="41"/>
      <c r="I790" s="41"/>
      <c r="K790" s="41"/>
      <c r="L790" s="64"/>
      <c r="M790" s="79"/>
    </row>
    <row r="791" spans="3:13" ht="13">
      <c r="C791" s="63"/>
      <c r="E791" s="41"/>
      <c r="F791" s="41"/>
      <c r="G791" s="41"/>
      <c r="H791" s="41"/>
      <c r="I791" s="41"/>
      <c r="K791" s="41"/>
      <c r="L791" s="64"/>
      <c r="M791" s="79"/>
    </row>
    <row r="792" spans="3:13" ht="13">
      <c r="C792" s="63"/>
      <c r="E792" s="41"/>
      <c r="F792" s="41"/>
      <c r="G792" s="41"/>
      <c r="H792" s="41"/>
      <c r="I792" s="41"/>
      <c r="K792" s="41"/>
      <c r="L792" s="64"/>
      <c r="M792" s="79"/>
    </row>
    <row r="793" spans="3:13" ht="13">
      <c r="C793" s="63"/>
      <c r="E793" s="41"/>
      <c r="F793" s="41"/>
      <c r="G793" s="41"/>
      <c r="H793" s="41"/>
      <c r="I793" s="41"/>
      <c r="K793" s="41"/>
      <c r="L793" s="64"/>
      <c r="M793" s="79"/>
    </row>
    <row r="794" spans="3:13" ht="13">
      <c r="C794" s="63"/>
      <c r="E794" s="41"/>
      <c r="F794" s="41"/>
      <c r="G794" s="41"/>
      <c r="H794" s="41"/>
      <c r="I794" s="41"/>
      <c r="K794" s="41"/>
      <c r="L794" s="64"/>
      <c r="M794" s="79"/>
    </row>
    <row r="795" spans="3:13" ht="13">
      <c r="C795" s="63"/>
      <c r="E795" s="41"/>
      <c r="F795" s="41"/>
      <c r="G795" s="41"/>
      <c r="H795" s="41"/>
      <c r="I795" s="41"/>
      <c r="K795" s="41"/>
      <c r="L795" s="64"/>
      <c r="M795" s="79"/>
    </row>
    <row r="796" spans="3:13" ht="13">
      <c r="C796" s="63"/>
      <c r="E796" s="41"/>
      <c r="F796" s="41"/>
      <c r="G796" s="41"/>
      <c r="H796" s="41"/>
      <c r="I796" s="41"/>
      <c r="K796" s="41"/>
      <c r="L796" s="64"/>
      <c r="M796" s="79"/>
    </row>
    <row r="797" spans="3:13" ht="13">
      <c r="C797" s="63"/>
      <c r="E797" s="41"/>
      <c r="F797" s="41"/>
      <c r="G797" s="41"/>
      <c r="H797" s="41"/>
      <c r="I797" s="41"/>
      <c r="K797" s="41"/>
      <c r="L797" s="64"/>
      <c r="M797" s="79"/>
    </row>
    <row r="798" spans="3:13" ht="13">
      <c r="C798" s="63"/>
      <c r="E798" s="41"/>
      <c r="F798" s="41"/>
      <c r="G798" s="41"/>
      <c r="H798" s="41"/>
      <c r="I798" s="41"/>
      <c r="K798" s="41"/>
      <c r="L798" s="64"/>
      <c r="M798" s="79"/>
    </row>
    <row r="799" spans="3:13" ht="13">
      <c r="C799" s="63"/>
      <c r="E799" s="41"/>
      <c r="F799" s="41"/>
      <c r="G799" s="41"/>
      <c r="H799" s="41"/>
      <c r="I799" s="41"/>
      <c r="K799" s="41"/>
      <c r="L799" s="64"/>
      <c r="M799" s="79"/>
    </row>
    <row r="800" spans="3:13" ht="13">
      <c r="C800" s="63"/>
      <c r="E800" s="41"/>
      <c r="F800" s="41"/>
      <c r="G800" s="41"/>
      <c r="H800" s="41"/>
      <c r="I800" s="41"/>
      <c r="K800" s="41"/>
      <c r="L800" s="64"/>
      <c r="M800" s="79"/>
    </row>
    <row r="801" spans="3:13" ht="13">
      <c r="C801" s="63"/>
      <c r="E801" s="41"/>
      <c r="F801" s="41"/>
      <c r="G801" s="41"/>
      <c r="H801" s="41"/>
      <c r="I801" s="41"/>
      <c r="K801" s="41"/>
      <c r="L801" s="64"/>
      <c r="M801" s="79"/>
    </row>
    <row r="802" spans="3:13" ht="13">
      <c r="C802" s="63"/>
      <c r="E802" s="41"/>
      <c r="F802" s="41"/>
      <c r="G802" s="41"/>
      <c r="H802" s="41"/>
      <c r="I802" s="41"/>
      <c r="K802" s="41"/>
      <c r="L802" s="64"/>
      <c r="M802" s="79"/>
    </row>
    <row r="803" spans="3:13" ht="13">
      <c r="C803" s="63"/>
      <c r="E803" s="41"/>
      <c r="F803" s="41"/>
      <c r="G803" s="41"/>
      <c r="H803" s="41"/>
      <c r="I803" s="41"/>
      <c r="K803" s="41"/>
      <c r="L803" s="64"/>
      <c r="M803" s="79"/>
    </row>
    <row r="804" spans="3:13" ht="13">
      <c r="C804" s="63"/>
      <c r="E804" s="41"/>
      <c r="F804" s="41"/>
      <c r="G804" s="41"/>
      <c r="H804" s="41"/>
      <c r="I804" s="41"/>
      <c r="K804" s="41"/>
      <c r="L804" s="64"/>
      <c r="M804" s="79"/>
    </row>
    <row r="805" spans="3:13" ht="13">
      <c r="C805" s="63"/>
      <c r="E805" s="41"/>
      <c r="F805" s="41"/>
      <c r="G805" s="41"/>
      <c r="H805" s="41"/>
      <c r="I805" s="41"/>
      <c r="K805" s="41"/>
      <c r="L805" s="64"/>
      <c r="M805" s="79"/>
    </row>
    <row r="806" spans="3:13" ht="13">
      <c r="C806" s="63"/>
      <c r="E806" s="41"/>
      <c r="F806" s="41"/>
      <c r="G806" s="41"/>
      <c r="H806" s="41"/>
      <c r="I806" s="41"/>
      <c r="K806" s="41"/>
      <c r="L806" s="64"/>
      <c r="M806" s="79"/>
    </row>
    <row r="807" spans="3:13" ht="13">
      <c r="C807" s="63"/>
      <c r="E807" s="41"/>
      <c r="F807" s="41"/>
      <c r="G807" s="41"/>
      <c r="H807" s="41"/>
      <c r="I807" s="41"/>
      <c r="K807" s="41"/>
      <c r="L807" s="64"/>
      <c r="M807" s="79"/>
    </row>
    <row r="808" spans="3:13" ht="13">
      <c r="C808" s="63"/>
      <c r="E808" s="41"/>
      <c r="F808" s="41"/>
      <c r="G808" s="41"/>
      <c r="H808" s="41"/>
      <c r="I808" s="41"/>
      <c r="K808" s="41"/>
      <c r="L808" s="64"/>
      <c r="M808" s="79"/>
    </row>
    <row r="809" spans="3:13" ht="13">
      <c r="C809" s="63"/>
      <c r="E809" s="41"/>
      <c r="F809" s="41"/>
      <c r="G809" s="41"/>
      <c r="H809" s="41"/>
      <c r="I809" s="41"/>
      <c r="K809" s="41"/>
      <c r="L809" s="64"/>
      <c r="M809" s="79"/>
    </row>
    <row r="810" spans="3:13" ht="13">
      <c r="C810" s="63"/>
      <c r="E810" s="41"/>
      <c r="F810" s="41"/>
      <c r="G810" s="41"/>
      <c r="H810" s="41"/>
      <c r="I810" s="41"/>
      <c r="K810" s="41"/>
      <c r="L810" s="64"/>
      <c r="M810" s="79"/>
    </row>
    <row r="811" spans="3:13" ht="13">
      <c r="C811" s="63"/>
      <c r="E811" s="41"/>
      <c r="F811" s="41"/>
      <c r="G811" s="41"/>
      <c r="H811" s="41"/>
      <c r="I811" s="41"/>
      <c r="K811" s="41"/>
      <c r="L811" s="64"/>
      <c r="M811" s="79"/>
    </row>
    <row r="812" spans="3:13" ht="13">
      <c r="C812" s="63"/>
      <c r="E812" s="41"/>
      <c r="F812" s="41"/>
      <c r="G812" s="41"/>
      <c r="H812" s="41"/>
      <c r="I812" s="41"/>
      <c r="K812" s="41"/>
      <c r="L812" s="64"/>
      <c r="M812" s="79"/>
    </row>
    <row r="813" spans="3:13" ht="13">
      <c r="C813" s="63"/>
      <c r="E813" s="41"/>
      <c r="F813" s="41"/>
      <c r="G813" s="41"/>
      <c r="H813" s="41"/>
      <c r="I813" s="41"/>
      <c r="K813" s="41"/>
      <c r="L813" s="64"/>
      <c r="M813" s="79"/>
    </row>
    <row r="814" spans="3:13" ht="13">
      <c r="C814" s="63"/>
      <c r="E814" s="41"/>
      <c r="F814" s="41"/>
      <c r="G814" s="41"/>
      <c r="H814" s="41"/>
      <c r="I814" s="41"/>
      <c r="K814" s="41"/>
      <c r="L814" s="64"/>
      <c r="M814" s="79"/>
    </row>
    <row r="815" spans="3:13" ht="13">
      <c r="C815" s="63"/>
      <c r="E815" s="41"/>
      <c r="F815" s="41"/>
      <c r="G815" s="41"/>
      <c r="H815" s="41"/>
      <c r="I815" s="41"/>
      <c r="K815" s="41"/>
      <c r="L815" s="64"/>
      <c r="M815" s="79"/>
    </row>
    <row r="816" spans="3:13" ht="13">
      <c r="C816" s="63"/>
      <c r="E816" s="41"/>
      <c r="F816" s="41"/>
      <c r="G816" s="41"/>
      <c r="H816" s="41"/>
      <c r="I816" s="41"/>
      <c r="K816" s="41"/>
      <c r="L816" s="64"/>
      <c r="M816" s="79"/>
    </row>
    <row r="817" spans="3:13" ht="13">
      <c r="C817" s="63"/>
      <c r="E817" s="41"/>
      <c r="F817" s="41"/>
      <c r="G817" s="41"/>
      <c r="H817" s="41"/>
      <c r="I817" s="41"/>
      <c r="K817" s="41"/>
      <c r="L817" s="64"/>
      <c r="M817" s="79"/>
    </row>
    <row r="818" spans="3:13" ht="13">
      <c r="C818" s="63"/>
      <c r="E818" s="41"/>
      <c r="F818" s="41"/>
      <c r="G818" s="41"/>
      <c r="H818" s="41"/>
      <c r="I818" s="41"/>
      <c r="K818" s="41"/>
      <c r="L818" s="64"/>
      <c r="M818" s="79"/>
    </row>
    <row r="819" spans="3:13" ht="13">
      <c r="C819" s="63"/>
      <c r="E819" s="41"/>
      <c r="F819" s="41"/>
      <c r="G819" s="41"/>
      <c r="H819" s="41"/>
      <c r="I819" s="41"/>
      <c r="K819" s="41"/>
      <c r="L819" s="64"/>
      <c r="M819" s="79"/>
    </row>
    <row r="820" spans="3:13" ht="13">
      <c r="C820" s="63"/>
      <c r="E820" s="41"/>
      <c r="F820" s="41"/>
      <c r="G820" s="41"/>
      <c r="H820" s="41"/>
      <c r="I820" s="41"/>
      <c r="K820" s="41"/>
      <c r="L820" s="64"/>
      <c r="M820" s="79"/>
    </row>
    <row r="821" spans="3:13" ht="13">
      <c r="C821" s="63"/>
      <c r="E821" s="41"/>
      <c r="F821" s="41"/>
      <c r="G821" s="41"/>
      <c r="H821" s="41"/>
      <c r="I821" s="41"/>
      <c r="K821" s="41"/>
      <c r="L821" s="64"/>
      <c r="M821" s="79"/>
    </row>
    <row r="822" spans="3:13" ht="13">
      <c r="C822" s="63"/>
      <c r="E822" s="41"/>
      <c r="F822" s="41"/>
      <c r="G822" s="41"/>
      <c r="H822" s="41"/>
      <c r="I822" s="41"/>
      <c r="K822" s="41"/>
      <c r="L822" s="64"/>
      <c r="M822" s="79"/>
    </row>
    <row r="823" spans="3:13" ht="13">
      <c r="C823" s="63"/>
      <c r="E823" s="41"/>
      <c r="F823" s="41"/>
      <c r="G823" s="41"/>
      <c r="H823" s="41"/>
      <c r="I823" s="41"/>
      <c r="K823" s="41"/>
      <c r="L823" s="64"/>
      <c r="M823" s="79"/>
    </row>
    <row r="824" spans="3:13" ht="13">
      <c r="C824" s="63"/>
      <c r="E824" s="41"/>
      <c r="F824" s="41"/>
      <c r="G824" s="41"/>
      <c r="H824" s="41"/>
      <c r="I824" s="41"/>
      <c r="K824" s="41"/>
      <c r="L824" s="64"/>
      <c r="M824" s="79"/>
    </row>
    <row r="825" spans="3:13" ht="13">
      <c r="C825" s="63"/>
      <c r="E825" s="41"/>
      <c r="F825" s="41"/>
      <c r="G825" s="41"/>
      <c r="H825" s="41"/>
      <c r="I825" s="41"/>
      <c r="K825" s="41"/>
      <c r="L825" s="64"/>
      <c r="M825" s="79"/>
    </row>
    <row r="826" spans="3:13" ht="13">
      <c r="C826" s="63"/>
      <c r="E826" s="41"/>
      <c r="F826" s="41"/>
      <c r="G826" s="41"/>
      <c r="H826" s="41"/>
      <c r="I826" s="41"/>
      <c r="K826" s="41"/>
      <c r="L826" s="64"/>
      <c r="M826" s="79"/>
    </row>
    <row r="827" spans="3:13" ht="13">
      <c r="C827" s="63"/>
      <c r="E827" s="41"/>
      <c r="F827" s="41"/>
      <c r="G827" s="41"/>
      <c r="H827" s="41"/>
      <c r="I827" s="41"/>
      <c r="K827" s="41"/>
      <c r="L827" s="64"/>
      <c r="M827" s="79"/>
    </row>
    <row r="828" spans="3:13" ht="13">
      <c r="C828" s="63"/>
      <c r="E828" s="41"/>
      <c r="F828" s="41"/>
      <c r="G828" s="41"/>
      <c r="H828" s="41"/>
      <c r="I828" s="41"/>
      <c r="K828" s="41"/>
      <c r="L828" s="64"/>
      <c r="M828" s="79"/>
    </row>
    <row r="829" spans="3:13" ht="13">
      <c r="C829" s="63"/>
      <c r="E829" s="41"/>
      <c r="F829" s="41"/>
      <c r="G829" s="41"/>
      <c r="H829" s="41"/>
      <c r="I829" s="41"/>
      <c r="K829" s="41"/>
      <c r="L829" s="64"/>
      <c r="M829" s="79"/>
    </row>
    <row r="830" spans="3:13" ht="13">
      <c r="C830" s="63"/>
      <c r="E830" s="41"/>
      <c r="F830" s="41"/>
      <c r="G830" s="41"/>
      <c r="H830" s="41"/>
      <c r="I830" s="41"/>
      <c r="K830" s="41"/>
      <c r="L830" s="64"/>
      <c r="M830" s="79"/>
    </row>
    <row r="831" spans="3:13" ht="13">
      <c r="C831" s="63"/>
      <c r="E831" s="41"/>
      <c r="F831" s="41"/>
      <c r="G831" s="41"/>
      <c r="H831" s="41"/>
      <c r="I831" s="41"/>
      <c r="K831" s="41"/>
      <c r="L831" s="64"/>
      <c r="M831" s="79"/>
    </row>
    <row r="832" spans="3:13" ht="13">
      <c r="C832" s="63"/>
      <c r="E832" s="41"/>
      <c r="F832" s="41"/>
      <c r="G832" s="41"/>
      <c r="H832" s="41"/>
      <c r="I832" s="41"/>
      <c r="K832" s="41"/>
      <c r="L832" s="64"/>
      <c r="M832" s="79"/>
    </row>
    <row r="833" spans="3:13" ht="13">
      <c r="C833" s="63"/>
      <c r="E833" s="41"/>
      <c r="F833" s="41"/>
      <c r="G833" s="41"/>
      <c r="H833" s="41"/>
      <c r="I833" s="41"/>
      <c r="K833" s="41"/>
      <c r="L833" s="64"/>
      <c r="M833" s="79"/>
    </row>
    <row r="834" spans="3:13" ht="13">
      <c r="C834" s="63"/>
      <c r="E834" s="41"/>
      <c r="F834" s="41"/>
      <c r="G834" s="41"/>
      <c r="H834" s="41"/>
      <c r="I834" s="41"/>
      <c r="K834" s="41"/>
      <c r="L834" s="64"/>
      <c r="M834" s="79"/>
    </row>
    <row r="835" spans="3:13" ht="13">
      <c r="C835" s="63"/>
      <c r="E835" s="41"/>
      <c r="F835" s="41"/>
      <c r="G835" s="41"/>
      <c r="H835" s="41"/>
      <c r="I835" s="41"/>
      <c r="K835" s="41"/>
      <c r="L835" s="64"/>
      <c r="M835" s="79"/>
    </row>
    <row r="836" spans="3:13" ht="13">
      <c r="C836" s="63"/>
      <c r="E836" s="41"/>
      <c r="F836" s="41"/>
      <c r="G836" s="41"/>
      <c r="H836" s="41"/>
      <c r="I836" s="41"/>
      <c r="K836" s="41"/>
      <c r="L836" s="64"/>
      <c r="M836" s="79"/>
    </row>
    <row r="837" spans="3:13" ht="13">
      <c r="C837" s="63"/>
      <c r="E837" s="41"/>
      <c r="F837" s="41"/>
      <c r="G837" s="41"/>
      <c r="H837" s="41"/>
      <c r="I837" s="41"/>
      <c r="K837" s="41"/>
      <c r="L837" s="64"/>
      <c r="M837" s="79"/>
    </row>
    <row r="838" spans="3:13" ht="13">
      <c r="C838" s="63"/>
      <c r="E838" s="41"/>
      <c r="F838" s="41"/>
      <c r="G838" s="41"/>
      <c r="H838" s="41"/>
      <c r="I838" s="41"/>
      <c r="K838" s="41"/>
      <c r="L838" s="64"/>
      <c r="M838" s="79"/>
    </row>
    <row r="839" spans="3:13" ht="13">
      <c r="C839" s="63"/>
      <c r="E839" s="41"/>
      <c r="F839" s="41"/>
      <c r="G839" s="41"/>
      <c r="H839" s="41"/>
      <c r="I839" s="41"/>
      <c r="K839" s="41"/>
      <c r="L839" s="64"/>
      <c r="M839" s="79"/>
    </row>
    <row r="840" spans="3:13" ht="13">
      <c r="C840" s="63"/>
      <c r="E840" s="41"/>
      <c r="F840" s="41"/>
      <c r="G840" s="41"/>
      <c r="H840" s="41"/>
      <c r="I840" s="41"/>
      <c r="K840" s="41"/>
      <c r="L840" s="64"/>
      <c r="M840" s="79"/>
    </row>
    <row r="841" spans="3:13" ht="13">
      <c r="C841" s="63"/>
      <c r="E841" s="41"/>
      <c r="F841" s="41"/>
      <c r="G841" s="41"/>
      <c r="H841" s="41"/>
      <c r="I841" s="41"/>
      <c r="K841" s="41"/>
      <c r="L841" s="64"/>
      <c r="M841" s="79"/>
    </row>
    <row r="842" spans="3:13" ht="13">
      <c r="C842" s="63"/>
      <c r="E842" s="41"/>
      <c r="F842" s="41"/>
      <c r="G842" s="41"/>
      <c r="H842" s="41"/>
      <c r="I842" s="41"/>
      <c r="K842" s="41"/>
      <c r="L842" s="64"/>
      <c r="M842" s="79"/>
    </row>
    <row r="843" spans="3:13" ht="13">
      <c r="C843" s="63"/>
      <c r="E843" s="41"/>
      <c r="F843" s="41"/>
      <c r="G843" s="41"/>
      <c r="H843" s="41"/>
      <c r="I843" s="41"/>
      <c r="K843" s="41"/>
      <c r="L843" s="64"/>
      <c r="M843" s="79"/>
    </row>
    <row r="844" spans="3:13" ht="13">
      <c r="C844" s="63"/>
      <c r="E844" s="41"/>
      <c r="F844" s="41"/>
      <c r="G844" s="41"/>
      <c r="H844" s="41"/>
      <c r="I844" s="41"/>
      <c r="K844" s="41"/>
      <c r="L844" s="64"/>
      <c r="M844" s="79"/>
    </row>
    <row r="845" spans="3:13" ht="13">
      <c r="C845" s="63"/>
      <c r="E845" s="41"/>
      <c r="F845" s="41"/>
      <c r="G845" s="41"/>
      <c r="H845" s="41"/>
      <c r="I845" s="41"/>
      <c r="K845" s="41"/>
      <c r="L845" s="64"/>
      <c r="M845" s="79"/>
    </row>
    <row r="846" spans="3:13" ht="13">
      <c r="C846" s="63"/>
      <c r="E846" s="41"/>
      <c r="F846" s="41"/>
      <c r="G846" s="41"/>
      <c r="H846" s="41"/>
      <c r="I846" s="41"/>
      <c r="K846" s="41"/>
      <c r="L846" s="64"/>
      <c r="M846" s="79"/>
    </row>
    <row r="847" spans="3:13" ht="13">
      <c r="C847" s="63"/>
      <c r="E847" s="41"/>
      <c r="F847" s="41"/>
      <c r="G847" s="41"/>
      <c r="H847" s="41"/>
      <c r="I847" s="41"/>
      <c r="K847" s="41"/>
      <c r="L847" s="64"/>
      <c r="M847" s="79"/>
    </row>
    <row r="848" spans="3:13" ht="13">
      <c r="C848" s="63"/>
      <c r="E848" s="41"/>
      <c r="F848" s="41"/>
      <c r="G848" s="41"/>
      <c r="H848" s="41"/>
      <c r="I848" s="41"/>
      <c r="K848" s="41"/>
      <c r="L848" s="64"/>
      <c r="M848" s="79"/>
    </row>
    <row r="849" spans="3:13" ht="13">
      <c r="C849" s="63"/>
      <c r="E849" s="41"/>
      <c r="F849" s="41"/>
      <c r="G849" s="41"/>
      <c r="H849" s="41"/>
      <c r="I849" s="41"/>
      <c r="K849" s="41"/>
      <c r="L849" s="64"/>
      <c r="M849" s="79"/>
    </row>
    <row r="850" spans="3:13" ht="13">
      <c r="C850" s="63"/>
      <c r="E850" s="41"/>
      <c r="F850" s="41"/>
      <c r="G850" s="41"/>
      <c r="H850" s="41"/>
      <c r="I850" s="41"/>
      <c r="K850" s="41"/>
      <c r="L850" s="64"/>
      <c r="M850" s="79"/>
    </row>
    <row r="851" spans="3:13" ht="13">
      <c r="C851" s="63"/>
      <c r="E851" s="41"/>
      <c r="F851" s="41"/>
      <c r="G851" s="41"/>
      <c r="H851" s="41"/>
      <c r="I851" s="41"/>
      <c r="K851" s="41"/>
      <c r="L851" s="64"/>
      <c r="M851" s="79"/>
    </row>
    <row r="852" spans="3:13" ht="13">
      <c r="C852" s="63"/>
      <c r="E852" s="41"/>
      <c r="F852" s="41"/>
      <c r="G852" s="41"/>
      <c r="H852" s="41"/>
      <c r="I852" s="41"/>
      <c r="K852" s="41"/>
      <c r="L852" s="64"/>
      <c r="M852" s="79"/>
    </row>
    <row r="853" spans="3:13" ht="13">
      <c r="C853" s="63"/>
      <c r="E853" s="41"/>
      <c r="F853" s="41"/>
      <c r="G853" s="41"/>
      <c r="H853" s="41"/>
      <c r="I853" s="41"/>
      <c r="K853" s="41"/>
      <c r="L853" s="64"/>
      <c r="M853" s="79"/>
    </row>
    <row r="854" spans="3:13" ht="13">
      <c r="C854" s="63"/>
      <c r="E854" s="41"/>
      <c r="F854" s="41"/>
      <c r="G854" s="41"/>
      <c r="H854" s="41"/>
      <c r="I854" s="41"/>
      <c r="K854" s="41"/>
      <c r="L854" s="64"/>
      <c r="M854" s="79"/>
    </row>
    <row r="855" spans="3:13" ht="13">
      <c r="C855" s="63"/>
      <c r="E855" s="41"/>
      <c r="F855" s="41"/>
      <c r="G855" s="41"/>
      <c r="H855" s="41"/>
      <c r="I855" s="41"/>
      <c r="K855" s="41"/>
      <c r="L855" s="64"/>
      <c r="M855" s="79"/>
    </row>
    <row r="856" spans="3:13" ht="13">
      <c r="C856" s="63"/>
      <c r="E856" s="41"/>
      <c r="F856" s="41"/>
      <c r="G856" s="41"/>
      <c r="H856" s="41"/>
      <c r="I856" s="41"/>
      <c r="K856" s="41"/>
      <c r="L856" s="64"/>
      <c r="M856" s="79"/>
    </row>
    <row r="857" spans="3:13" ht="13">
      <c r="C857" s="63"/>
      <c r="E857" s="41"/>
      <c r="F857" s="41"/>
      <c r="G857" s="41"/>
      <c r="H857" s="41"/>
      <c r="I857" s="41"/>
      <c r="K857" s="41"/>
      <c r="L857" s="64"/>
      <c r="M857" s="79"/>
    </row>
    <row r="858" spans="3:13" ht="13">
      <c r="C858" s="63"/>
      <c r="E858" s="41"/>
      <c r="F858" s="41"/>
      <c r="G858" s="41"/>
      <c r="H858" s="41"/>
      <c r="I858" s="41"/>
      <c r="K858" s="41"/>
      <c r="L858" s="64"/>
      <c r="M858" s="79"/>
    </row>
    <row r="859" spans="3:13" ht="13">
      <c r="C859" s="63"/>
      <c r="E859" s="41"/>
      <c r="F859" s="41"/>
      <c r="G859" s="41"/>
      <c r="H859" s="41"/>
      <c r="I859" s="41"/>
      <c r="K859" s="41"/>
      <c r="L859" s="64"/>
      <c r="M859" s="79"/>
    </row>
    <row r="860" spans="3:13" ht="13">
      <c r="C860" s="63"/>
      <c r="E860" s="41"/>
      <c r="F860" s="41"/>
      <c r="G860" s="41"/>
      <c r="H860" s="41"/>
      <c r="I860" s="41"/>
      <c r="K860" s="41"/>
      <c r="L860" s="64"/>
      <c r="M860" s="79"/>
    </row>
    <row r="861" spans="3:13" ht="13">
      <c r="C861" s="63"/>
      <c r="E861" s="41"/>
      <c r="F861" s="41"/>
      <c r="G861" s="41"/>
      <c r="H861" s="41"/>
      <c r="I861" s="41"/>
      <c r="K861" s="41"/>
      <c r="L861" s="64"/>
      <c r="M861" s="79"/>
    </row>
    <row r="862" spans="3:13" ht="13">
      <c r="C862" s="63"/>
      <c r="E862" s="41"/>
      <c r="F862" s="41"/>
      <c r="G862" s="41"/>
      <c r="H862" s="41"/>
      <c r="I862" s="41"/>
      <c r="K862" s="41"/>
      <c r="L862" s="64"/>
      <c r="M862" s="79"/>
    </row>
    <row r="863" spans="3:13" ht="13">
      <c r="C863" s="63"/>
      <c r="E863" s="41"/>
      <c r="F863" s="41"/>
      <c r="G863" s="41"/>
      <c r="H863" s="41"/>
      <c r="I863" s="41"/>
      <c r="K863" s="41"/>
      <c r="L863" s="64"/>
      <c r="M863" s="79"/>
    </row>
    <row r="864" spans="3:13" ht="13">
      <c r="C864" s="63"/>
      <c r="E864" s="41"/>
      <c r="F864" s="41"/>
      <c r="G864" s="41"/>
      <c r="H864" s="41"/>
      <c r="I864" s="41"/>
      <c r="K864" s="41"/>
      <c r="L864" s="64"/>
      <c r="M864" s="79"/>
    </row>
    <row r="865" spans="3:13" ht="13">
      <c r="C865" s="63"/>
      <c r="E865" s="41"/>
      <c r="F865" s="41"/>
      <c r="G865" s="41"/>
      <c r="H865" s="41"/>
      <c r="I865" s="41"/>
      <c r="K865" s="41"/>
      <c r="L865" s="64"/>
      <c r="M865" s="79"/>
    </row>
    <row r="866" spans="3:13" ht="13">
      <c r="C866" s="63"/>
      <c r="E866" s="41"/>
      <c r="F866" s="41"/>
      <c r="G866" s="41"/>
      <c r="H866" s="41"/>
      <c r="I866" s="41"/>
      <c r="K866" s="41"/>
      <c r="L866" s="64"/>
      <c r="M866" s="79"/>
    </row>
    <row r="867" spans="3:13" ht="13">
      <c r="C867" s="63"/>
      <c r="E867" s="41"/>
      <c r="F867" s="41"/>
      <c r="G867" s="41"/>
      <c r="H867" s="41"/>
      <c r="I867" s="41"/>
      <c r="K867" s="41"/>
      <c r="L867" s="64"/>
      <c r="M867" s="79"/>
    </row>
    <row r="868" spans="3:13" ht="13">
      <c r="C868" s="63"/>
      <c r="E868" s="41"/>
      <c r="F868" s="41"/>
      <c r="G868" s="41"/>
      <c r="H868" s="41"/>
      <c r="I868" s="41"/>
      <c r="K868" s="41"/>
      <c r="L868" s="64"/>
      <c r="M868" s="79"/>
    </row>
    <row r="869" spans="3:13" ht="13">
      <c r="C869" s="63"/>
      <c r="E869" s="41"/>
      <c r="F869" s="41"/>
      <c r="G869" s="41"/>
      <c r="H869" s="41"/>
      <c r="I869" s="41"/>
      <c r="K869" s="41"/>
      <c r="L869" s="64"/>
      <c r="M869" s="79"/>
    </row>
    <row r="870" spans="3:13" ht="13">
      <c r="C870" s="63"/>
      <c r="E870" s="41"/>
      <c r="F870" s="41"/>
      <c r="G870" s="41"/>
      <c r="H870" s="41"/>
      <c r="I870" s="41"/>
      <c r="K870" s="41"/>
      <c r="L870" s="64"/>
      <c r="M870" s="79"/>
    </row>
    <row r="871" spans="3:13" ht="13">
      <c r="C871" s="63"/>
      <c r="E871" s="41"/>
      <c r="F871" s="41"/>
      <c r="G871" s="41"/>
      <c r="H871" s="41"/>
      <c r="I871" s="41"/>
      <c r="K871" s="41"/>
      <c r="L871" s="64"/>
      <c r="M871" s="79"/>
    </row>
    <row r="872" spans="3:13" ht="13">
      <c r="C872" s="63"/>
      <c r="E872" s="41"/>
      <c r="F872" s="41"/>
      <c r="G872" s="41"/>
      <c r="H872" s="41"/>
      <c r="I872" s="41"/>
      <c r="K872" s="41"/>
      <c r="L872" s="64"/>
      <c r="M872" s="79"/>
    </row>
    <row r="873" spans="3:13" ht="13">
      <c r="C873" s="63"/>
      <c r="E873" s="41"/>
      <c r="F873" s="41"/>
      <c r="G873" s="41"/>
      <c r="H873" s="41"/>
      <c r="I873" s="41"/>
      <c r="K873" s="41"/>
      <c r="L873" s="64"/>
      <c r="M873" s="79"/>
    </row>
    <row r="874" spans="3:13" ht="13">
      <c r="C874" s="63"/>
      <c r="E874" s="41"/>
      <c r="F874" s="41"/>
      <c r="G874" s="41"/>
      <c r="H874" s="41"/>
      <c r="I874" s="41"/>
      <c r="K874" s="41"/>
      <c r="L874" s="64"/>
      <c r="M874" s="79"/>
    </row>
    <row r="875" spans="3:13" ht="13">
      <c r="C875" s="63"/>
      <c r="E875" s="41"/>
      <c r="F875" s="41"/>
      <c r="G875" s="41"/>
      <c r="H875" s="41"/>
      <c r="I875" s="41"/>
      <c r="K875" s="41"/>
      <c r="L875" s="64"/>
      <c r="M875" s="79"/>
    </row>
    <row r="876" spans="3:13" ht="13">
      <c r="C876" s="63"/>
      <c r="E876" s="41"/>
      <c r="F876" s="41"/>
      <c r="G876" s="41"/>
      <c r="H876" s="41"/>
      <c r="I876" s="41"/>
      <c r="K876" s="41"/>
      <c r="L876" s="64"/>
      <c r="M876" s="79"/>
    </row>
    <row r="877" spans="3:13" ht="13">
      <c r="C877" s="63"/>
      <c r="E877" s="41"/>
      <c r="F877" s="41"/>
      <c r="G877" s="41"/>
      <c r="H877" s="41"/>
      <c r="I877" s="41"/>
      <c r="K877" s="41"/>
      <c r="L877" s="64"/>
      <c r="M877" s="79"/>
    </row>
    <row r="878" spans="3:13" ht="13">
      <c r="C878" s="63"/>
      <c r="E878" s="41"/>
      <c r="F878" s="41"/>
      <c r="G878" s="41"/>
      <c r="H878" s="41"/>
      <c r="I878" s="41"/>
      <c r="K878" s="41"/>
      <c r="L878" s="64"/>
      <c r="M878" s="79"/>
    </row>
    <row r="879" spans="3:13" ht="13">
      <c r="C879" s="63"/>
      <c r="E879" s="41"/>
      <c r="F879" s="41"/>
      <c r="G879" s="41"/>
      <c r="H879" s="41"/>
      <c r="I879" s="41"/>
      <c r="K879" s="41"/>
      <c r="L879" s="64"/>
      <c r="M879" s="79"/>
    </row>
    <row r="880" spans="3:13" ht="13">
      <c r="C880" s="63"/>
      <c r="E880" s="41"/>
      <c r="F880" s="41"/>
      <c r="G880" s="41"/>
      <c r="H880" s="41"/>
      <c r="I880" s="41"/>
      <c r="K880" s="41"/>
      <c r="L880" s="64"/>
      <c r="M880" s="79"/>
    </row>
    <row r="881" spans="3:13" ht="13">
      <c r="C881" s="63"/>
      <c r="E881" s="41"/>
      <c r="F881" s="41"/>
      <c r="G881" s="41"/>
      <c r="H881" s="41"/>
      <c r="I881" s="41"/>
      <c r="K881" s="41"/>
      <c r="L881" s="64"/>
      <c r="M881" s="79"/>
    </row>
    <row r="882" spans="3:13" ht="13">
      <c r="C882" s="63"/>
      <c r="E882" s="41"/>
      <c r="F882" s="41"/>
      <c r="G882" s="41"/>
      <c r="H882" s="41"/>
      <c r="I882" s="41"/>
      <c r="K882" s="41"/>
      <c r="L882" s="64"/>
      <c r="M882" s="79"/>
    </row>
    <row r="883" spans="3:13" ht="13">
      <c r="C883" s="63"/>
      <c r="E883" s="41"/>
      <c r="F883" s="41"/>
      <c r="G883" s="41"/>
      <c r="H883" s="41"/>
      <c r="I883" s="41"/>
      <c r="K883" s="41"/>
      <c r="L883" s="64"/>
      <c r="M883" s="79"/>
    </row>
    <row r="884" spans="3:13" ht="13">
      <c r="C884" s="63"/>
      <c r="E884" s="41"/>
      <c r="F884" s="41"/>
      <c r="G884" s="41"/>
      <c r="H884" s="41"/>
      <c r="I884" s="41"/>
      <c r="K884" s="41"/>
      <c r="L884" s="64"/>
      <c r="M884" s="79"/>
    </row>
    <row r="885" spans="3:13" ht="13">
      <c r="C885" s="63"/>
      <c r="E885" s="41"/>
      <c r="F885" s="41"/>
      <c r="G885" s="41"/>
      <c r="H885" s="41"/>
      <c r="I885" s="41"/>
      <c r="K885" s="41"/>
      <c r="L885" s="64"/>
      <c r="M885" s="79"/>
    </row>
    <row r="886" spans="3:13" ht="13">
      <c r="C886" s="63"/>
      <c r="E886" s="41"/>
      <c r="F886" s="41"/>
      <c r="G886" s="41"/>
      <c r="H886" s="41"/>
      <c r="I886" s="41"/>
      <c r="K886" s="41"/>
      <c r="L886" s="64"/>
      <c r="M886" s="79"/>
    </row>
    <row r="887" spans="3:13" ht="13">
      <c r="C887" s="63"/>
      <c r="E887" s="41"/>
      <c r="F887" s="41"/>
      <c r="G887" s="41"/>
      <c r="H887" s="41"/>
      <c r="I887" s="41"/>
      <c r="K887" s="41"/>
      <c r="L887" s="64"/>
      <c r="M887" s="79"/>
    </row>
    <row r="888" spans="3:13" ht="13">
      <c r="C888" s="63"/>
      <c r="E888" s="41"/>
      <c r="F888" s="41"/>
      <c r="G888" s="41"/>
      <c r="H888" s="41"/>
      <c r="I888" s="41"/>
      <c r="K888" s="41"/>
      <c r="L888" s="64"/>
      <c r="M888" s="79"/>
    </row>
    <row r="889" spans="3:13" ht="13">
      <c r="C889" s="63"/>
      <c r="E889" s="41"/>
      <c r="F889" s="41"/>
      <c r="G889" s="41"/>
      <c r="H889" s="41"/>
      <c r="I889" s="41"/>
      <c r="K889" s="41"/>
      <c r="L889" s="64"/>
      <c r="M889" s="79"/>
    </row>
    <row r="890" spans="3:13" ht="13">
      <c r="C890" s="63"/>
      <c r="E890" s="41"/>
      <c r="F890" s="41"/>
      <c r="G890" s="41"/>
      <c r="H890" s="41"/>
      <c r="I890" s="41"/>
      <c r="K890" s="41"/>
      <c r="L890" s="64"/>
      <c r="M890" s="79"/>
    </row>
    <row r="891" spans="3:13" ht="13">
      <c r="C891" s="63"/>
      <c r="E891" s="41"/>
      <c r="F891" s="41"/>
      <c r="G891" s="41"/>
      <c r="H891" s="41"/>
      <c r="I891" s="41"/>
      <c r="K891" s="41"/>
      <c r="L891" s="64"/>
      <c r="M891" s="79"/>
    </row>
    <row r="892" spans="3:13" ht="13">
      <c r="C892" s="63"/>
      <c r="E892" s="41"/>
      <c r="F892" s="41"/>
      <c r="G892" s="41"/>
      <c r="H892" s="41"/>
      <c r="I892" s="41"/>
      <c r="K892" s="41"/>
      <c r="L892" s="64"/>
      <c r="M892" s="79"/>
    </row>
    <row r="893" spans="3:13" ht="13">
      <c r="C893" s="63"/>
      <c r="E893" s="41"/>
      <c r="F893" s="41"/>
      <c r="G893" s="41"/>
      <c r="H893" s="41"/>
      <c r="I893" s="41"/>
      <c r="K893" s="41"/>
      <c r="L893" s="64"/>
      <c r="M893" s="79"/>
    </row>
    <row r="894" spans="3:13" ht="13">
      <c r="C894" s="63"/>
      <c r="E894" s="41"/>
      <c r="F894" s="41"/>
      <c r="G894" s="41"/>
      <c r="H894" s="41"/>
      <c r="I894" s="41"/>
      <c r="K894" s="41"/>
      <c r="L894" s="64"/>
      <c r="M894" s="79"/>
    </row>
    <row r="895" spans="3:13" ht="13">
      <c r="C895" s="63"/>
      <c r="E895" s="41"/>
      <c r="F895" s="41"/>
      <c r="G895" s="41"/>
      <c r="H895" s="41"/>
      <c r="I895" s="41"/>
      <c r="K895" s="41"/>
      <c r="L895" s="64"/>
      <c r="M895" s="79"/>
    </row>
    <row r="896" spans="3:13" ht="13">
      <c r="C896" s="63"/>
      <c r="E896" s="41"/>
      <c r="F896" s="41"/>
      <c r="G896" s="41"/>
      <c r="H896" s="41"/>
      <c r="I896" s="41"/>
      <c r="K896" s="41"/>
      <c r="L896" s="64"/>
      <c r="M896" s="79"/>
    </row>
    <row r="897" spans="3:13" ht="13">
      <c r="C897" s="63"/>
      <c r="E897" s="41"/>
      <c r="F897" s="41"/>
      <c r="G897" s="41"/>
      <c r="H897" s="41"/>
      <c r="I897" s="41"/>
      <c r="K897" s="41"/>
      <c r="L897" s="64"/>
      <c r="M897" s="79"/>
    </row>
    <row r="898" spans="3:13" ht="13">
      <c r="C898" s="63"/>
      <c r="E898" s="41"/>
      <c r="F898" s="41"/>
      <c r="G898" s="41"/>
      <c r="H898" s="41"/>
      <c r="I898" s="41"/>
      <c r="K898" s="41"/>
      <c r="L898" s="64"/>
      <c r="M898" s="79"/>
    </row>
    <row r="899" spans="3:13" ht="13">
      <c r="C899" s="63"/>
      <c r="E899" s="41"/>
      <c r="F899" s="41"/>
      <c r="G899" s="41"/>
      <c r="H899" s="41"/>
      <c r="I899" s="41"/>
      <c r="K899" s="41"/>
      <c r="L899" s="64"/>
      <c r="M899" s="79"/>
    </row>
    <row r="900" spans="3:13" ht="13">
      <c r="C900" s="63"/>
      <c r="E900" s="41"/>
      <c r="F900" s="41"/>
      <c r="G900" s="41"/>
      <c r="H900" s="41"/>
      <c r="I900" s="41"/>
      <c r="K900" s="41"/>
      <c r="L900" s="64"/>
      <c r="M900" s="79"/>
    </row>
    <row r="901" spans="3:13" ht="13">
      <c r="C901" s="63"/>
      <c r="E901" s="41"/>
      <c r="F901" s="41"/>
      <c r="G901" s="41"/>
      <c r="H901" s="41"/>
      <c r="I901" s="41"/>
      <c r="K901" s="41"/>
      <c r="L901" s="64"/>
      <c r="M901" s="79"/>
    </row>
    <row r="902" spans="3:13" ht="13">
      <c r="C902" s="63"/>
      <c r="E902" s="41"/>
      <c r="F902" s="41"/>
      <c r="G902" s="41"/>
      <c r="H902" s="41"/>
      <c r="I902" s="41"/>
      <c r="K902" s="41"/>
      <c r="L902" s="64"/>
      <c r="M902" s="79"/>
    </row>
    <row r="903" spans="3:13" ht="13">
      <c r="C903" s="63"/>
      <c r="E903" s="41"/>
      <c r="F903" s="41"/>
      <c r="G903" s="41"/>
      <c r="H903" s="41"/>
      <c r="I903" s="41"/>
      <c r="K903" s="41"/>
      <c r="L903" s="64"/>
      <c r="M903" s="79"/>
    </row>
    <row r="904" spans="3:13" ht="13">
      <c r="C904" s="63"/>
      <c r="E904" s="41"/>
      <c r="F904" s="41"/>
      <c r="G904" s="41"/>
      <c r="H904" s="41"/>
      <c r="I904" s="41"/>
      <c r="K904" s="41"/>
      <c r="L904" s="64"/>
      <c r="M904" s="79"/>
    </row>
    <row r="905" spans="3:13" ht="13">
      <c r="C905" s="63"/>
      <c r="E905" s="41"/>
      <c r="F905" s="41"/>
      <c r="G905" s="41"/>
      <c r="H905" s="41"/>
      <c r="I905" s="41"/>
      <c r="K905" s="41"/>
      <c r="L905" s="64"/>
      <c r="M905" s="79"/>
    </row>
    <row r="906" spans="3:13" ht="13">
      <c r="C906" s="63"/>
      <c r="E906" s="41"/>
      <c r="F906" s="41"/>
      <c r="G906" s="41"/>
      <c r="H906" s="41"/>
      <c r="I906" s="41"/>
      <c r="K906" s="41"/>
      <c r="L906" s="64"/>
      <c r="M906" s="79"/>
    </row>
    <row r="907" spans="3:13" ht="13">
      <c r="C907" s="63"/>
      <c r="E907" s="41"/>
      <c r="F907" s="41"/>
      <c r="G907" s="41"/>
      <c r="H907" s="41"/>
      <c r="I907" s="41"/>
      <c r="K907" s="41"/>
      <c r="L907" s="64"/>
      <c r="M907" s="79"/>
    </row>
    <row r="908" spans="3:13" ht="13">
      <c r="C908" s="63"/>
      <c r="E908" s="41"/>
      <c r="F908" s="41"/>
      <c r="G908" s="41"/>
      <c r="H908" s="41"/>
      <c r="I908" s="41"/>
      <c r="K908" s="41"/>
      <c r="L908" s="64"/>
      <c r="M908" s="79"/>
    </row>
    <row r="909" spans="3:13" ht="13">
      <c r="C909" s="63"/>
      <c r="E909" s="41"/>
      <c r="F909" s="41"/>
      <c r="G909" s="41"/>
      <c r="H909" s="41"/>
      <c r="I909" s="41"/>
      <c r="K909" s="41"/>
      <c r="L909" s="64"/>
      <c r="M909" s="79"/>
    </row>
    <row r="910" spans="3:13" ht="13">
      <c r="C910" s="63"/>
      <c r="E910" s="41"/>
      <c r="F910" s="41"/>
      <c r="G910" s="41"/>
      <c r="H910" s="41"/>
      <c r="I910" s="41"/>
      <c r="K910" s="41"/>
      <c r="L910" s="64"/>
      <c r="M910" s="79"/>
    </row>
    <row r="911" spans="3:13" ht="13">
      <c r="C911" s="63"/>
      <c r="E911" s="41"/>
      <c r="F911" s="41"/>
      <c r="G911" s="41"/>
      <c r="H911" s="41"/>
      <c r="I911" s="41"/>
      <c r="K911" s="41"/>
      <c r="L911" s="64"/>
      <c r="M911" s="79"/>
    </row>
    <row r="912" spans="3:13" ht="13">
      <c r="C912" s="63"/>
      <c r="E912" s="41"/>
      <c r="F912" s="41"/>
      <c r="G912" s="41"/>
      <c r="H912" s="41"/>
      <c r="I912" s="41"/>
      <c r="K912" s="41"/>
      <c r="L912" s="64"/>
      <c r="M912" s="79"/>
    </row>
    <row r="913" spans="3:13" ht="13">
      <c r="C913" s="63"/>
      <c r="E913" s="41"/>
      <c r="F913" s="41"/>
      <c r="G913" s="41"/>
      <c r="H913" s="41"/>
      <c r="I913" s="41"/>
      <c r="K913" s="41"/>
      <c r="L913" s="64"/>
      <c r="M913" s="79"/>
    </row>
    <row r="914" spans="3:13" ht="13">
      <c r="C914" s="63"/>
      <c r="E914" s="41"/>
      <c r="F914" s="41"/>
      <c r="G914" s="41"/>
      <c r="H914" s="41"/>
      <c r="I914" s="41"/>
      <c r="K914" s="41"/>
      <c r="L914" s="64"/>
      <c r="M914" s="79"/>
    </row>
    <row r="915" spans="3:13" ht="13">
      <c r="C915" s="63"/>
      <c r="E915" s="41"/>
      <c r="F915" s="41"/>
      <c r="G915" s="41"/>
      <c r="H915" s="41"/>
      <c r="I915" s="41"/>
      <c r="K915" s="41"/>
      <c r="L915" s="64"/>
      <c r="M915" s="79"/>
    </row>
    <row r="916" spans="3:13" ht="13">
      <c r="C916" s="63"/>
      <c r="E916" s="41"/>
      <c r="F916" s="41"/>
      <c r="G916" s="41"/>
      <c r="H916" s="41"/>
      <c r="I916" s="41"/>
      <c r="K916" s="41"/>
      <c r="L916" s="64"/>
      <c r="M916" s="79"/>
    </row>
    <row r="917" spans="3:13" ht="13">
      <c r="C917" s="63"/>
      <c r="E917" s="41"/>
      <c r="F917" s="41"/>
      <c r="G917" s="41"/>
      <c r="H917" s="41"/>
      <c r="I917" s="41"/>
      <c r="K917" s="41"/>
      <c r="L917" s="64"/>
      <c r="M917" s="79"/>
    </row>
    <row r="918" spans="3:13" ht="13">
      <c r="C918" s="63"/>
      <c r="E918" s="41"/>
      <c r="F918" s="41"/>
      <c r="G918" s="41"/>
      <c r="H918" s="41"/>
      <c r="I918" s="41"/>
      <c r="K918" s="41"/>
      <c r="L918" s="64"/>
      <c r="M918" s="79"/>
    </row>
    <row r="919" spans="3:13" ht="13">
      <c r="C919" s="63"/>
      <c r="E919" s="41"/>
      <c r="F919" s="41"/>
      <c r="G919" s="41"/>
      <c r="H919" s="41"/>
      <c r="I919" s="41"/>
      <c r="K919" s="41"/>
      <c r="L919" s="64"/>
      <c r="M919" s="79"/>
    </row>
    <row r="920" spans="3:13" ht="13">
      <c r="C920" s="63"/>
      <c r="E920" s="41"/>
      <c r="F920" s="41"/>
      <c r="G920" s="41"/>
      <c r="H920" s="41"/>
      <c r="I920" s="41"/>
      <c r="K920" s="41"/>
      <c r="L920" s="64"/>
      <c r="M920" s="79"/>
    </row>
    <row r="921" spans="3:13" ht="13">
      <c r="C921" s="63"/>
      <c r="E921" s="41"/>
      <c r="F921" s="41"/>
      <c r="G921" s="41"/>
      <c r="H921" s="41"/>
      <c r="I921" s="41"/>
      <c r="K921" s="41"/>
      <c r="L921" s="64"/>
      <c r="M921" s="79"/>
    </row>
    <row r="922" spans="3:13" ht="13">
      <c r="C922" s="63"/>
      <c r="E922" s="41"/>
      <c r="F922" s="41"/>
      <c r="G922" s="41"/>
      <c r="H922" s="41"/>
      <c r="I922" s="41"/>
      <c r="K922" s="41"/>
      <c r="L922" s="64"/>
      <c r="M922" s="79"/>
    </row>
    <row r="923" spans="3:13" ht="13">
      <c r="C923" s="63"/>
      <c r="E923" s="41"/>
      <c r="F923" s="41"/>
      <c r="G923" s="41"/>
      <c r="H923" s="41"/>
      <c r="I923" s="41"/>
      <c r="K923" s="41"/>
      <c r="L923" s="64"/>
      <c r="M923" s="79"/>
    </row>
    <row r="924" spans="3:13" ht="13">
      <c r="C924" s="63"/>
      <c r="E924" s="41"/>
      <c r="F924" s="41"/>
      <c r="G924" s="41"/>
      <c r="H924" s="41"/>
      <c r="I924" s="41"/>
      <c r="K924" s="41"/>
      <c r="L924" s="64"/>
      <c r="M924" s="79"/>
    </row>
    <row r="925" spans="3:13" ht="13">
      <c r="C925" s="63"/>
      <c r="E925" s="41"/>
      <c r="F925" s="41"/>
      <c r="G925" s="41"/>
      <c r="H925" s="41"/>
      <c r="I925" s="41"/>
      <c r="K925" s="41"/>
      <c r="L925" s="64"/>
      <c r="M925" s="79"/>
    </row>
    <row r="926" spans="3:13" ht="13">
      <c r="C926" s="63"/>
      <c r="E926" s="41"/>
      <c r="F926" s="41"/>
      <c r="G926" s="41"/>
      <c r="H926" s="41"/>
      <c r="I926" s="41"/>
      <c r="K926" s="41"/>
      <c r="L926" s="64"/>
      <c r="M926" s="79"/>
    </row>
    <row r="927" spans="3:13" ht="13">
      <c r="C927" s="63"/>
      <c r="E927" s="41"/>
      <c r="F927" s="41"/>
      <c r="G927" s="41"/>
      <c r="H927" s="41"/>
      <c r="I927" s="41"/>
      <c r="K927" s="41"/>
      <c r="L927" s="64"/>
      <c r="M927" s="79"/>
    </row>
    <row r="928" spans="3:13" ht="13">
      <c r="C928" s="63"/>
      <c r="E928" s="41"/>
      <c r="F928" s="41"/>
      <c r="G928" s="41"/>
      <c r="H928" s="41"/>
      <c r="I928" s="41"/>
      <c r="K928" s="41"/>
      <c r="L928" s="64"/>
      <c r="M928" s="79"/>
    </row>
    <row r="929" spans="3:13" ht="13">
      <c r="C929" s="63"/>
      <c r="E929" s="41"/>
      <c r="F929" s="41"/>
      <c r="G929" s="41"/>
      <c r="H929" s="41"/>
      <c r="I929" s="41"/>
      <c r="K929" s="41"/>
      <c r="L929" s="64"/>
      <c r="M929" s="79"/>
    </row>
    <row r="930" spans="3:13" ht="13">
      <c r="C930" s="63"/>
      <c r="E930" s="41"/>
      <c r="F930" s="41"/>
      <c r="G930" s="41"/>
      <c r="H930" s="41"/>
      <c r="I930" s="41"/>
      <c r="K930" s="41"/>
      <c r="L930" s="64"/>
      <c r="M930" s="79"/>
    </row>
    <row r="931" spans="3:13" ht="13">
      <c r="C931" s="63"/>
      <c r="E931" s="41"/>
      <c r="F931" s="41"/>
      <c r="G931" s="41"/>
      <c r="H931" s="41"/>
      <c r="I931" s="41"/>
      <c r="K931" s="41"/>
      <c r="L931" s="64"/>
      <c r="M931" s="79"/>
    </row>
    <row r="932" spans="3:13" ht="13">
      <c r="C932" s="63"/>
      <c r="E932" s="41"/>
      <c r="F932" s="41"/>
      <c r="G932" s="41"/>
      <c r="H932" s="41"/>
      <c r="I932" s="41"/>
      <c r="K932" s="41"/>
      <c r="L932" s="64"/>
      <c r="M932" s="79"/>
    </row>
    <row r="933" spans="3:13" ht="13">
      <c r="C933" s="63"/>
      <c r="E933" s="41"/>
      <c r="F933" s="41"/>
      <c r="G933" s="41"/>
      <c r="H933" s="41"/>
      <c r="I933" s="41"/>
      <c r="K933" s="41"/>
      <c r="L933" s="64"/>
      <c r="M933" s="79"/>
    </row>
    <row r="934" spans="3:13" ht="13">
      <c r="C934" s="63"/>
      <c r="E934" s="41"/>
      <c r="F934" s="41"/>
      <c r="G934" s="41"/>
      <c r="H934" s="41"/>
      <c r="I934" s="41"/>
      <c r="K934" s="41"/>
      <c r="L934" s="64"/>
      <c r="M934" s="79"/>
    </row>
    <row r="935" spans="3:13" ht="13">
      <c r="C935" s="63"/>
      <c r="E935" s="41"/>
      <c r="F935" s="41"/>
      <c r="G935" s="41"/>
      <c r="H935" s="41"/>
      <c r="I935" s="41"/>
      <c r="K935" s="41"/>
      <c r="L935" s="64"/>
      <c r="M935" s="79"/>
    </row>
    <row r="936" spans="3:13" ht="13">
      <c r="C936" s="63"/>
      <c r="E936" s="41"/>
      <c r="F936" s="41"/>
      <c r="G936" s="41"/>
      <c r="H936" s="41"/>
      <c r="I936" s="41"/>
      <c r="K936" s="41"/>
      <c r="L936" s="64"/>
      <c r="M936" s="79"/>
    </row>
    <row r="937" spans="3:13" ht="13">
      <c r="C937" s="63"/>
      <c r="E937" s="41"/>
      <c r="F937" s="41"/>
      <c r="G937" s="41"/>
      <c r="H937" s="41"/>
      <c r="I937" s="41"/>
      <c r="K937" s="41"/>
      <c r="L937" s="64"/>
      <c r="M937" s="79"/>
    </row>
    <row r="938" spans="3:13" ht="13">
      <c r="C938" s="63"/>
      <c r="E938" s="41"/>
      <c r="F938" s="41"/>
      <c r="G938" s="41"/>
      <c r="H938" s="41"/>
      <c r="I938" s="41"/>
      <c r="K938" s="41"/>
      <c r="L938" s="64"/>
      <c r="M938" s="79"/>
    </row>
    <row r="939" spans="3:13" ht="13">
      <c r="C939" s="63"/>
      <c r="E939" s="41"/>
      <c r="F939" s="41"/>
      <c r="G939" s="41"/>
      <c r="H939" s="41"/>
      <c r="I939" s="41"/>
      <c r="K939" s="41"/>
      <c r="L939" s="64"/>
      <c r="M939" s="79"/>
    </row>
    <row r="940" spans="3:13" ht="13">
      <c r="C940" s="63"/>
      <c r="E940" s="41"/>
      <c r="F940" s="41"/>
      <c r="G940" s="41"/>
      <c r="H940" s="41"/>
      <c r="I940" s="41"/>
      <c r="K940" s="41"/>
      <c r="L940" s="64"/>
      <c r="M940" s="79"/>
    </row>
    <row r="941" spans="3:13" ht="13">
      <c r="C941" s="63"/>
      <c r="E941" s="41"/>
      <c r="F941" s="41"/>
      <c r="G941" s="41"/>
      <c r="H941" s="41"/>
      <c r="I941" s="41"/>
      <c r="K941" s="41"/>
      <c r="L941" s="64"/>
      <c r="M941" s="79"/>
    </row>
    <row r="942" spans="3:13" ht="13">
      <c r="C942" s="63"/>
      <c r="E942" s="41"/>
      <c r="F942" s="41"/>
      <c r="G942" s="41"/>
      <c r="H942" s="41"/>
      <c r="I942" s="41"/>
      <c r="K942" s="41"/>
      <c r="L942" s="64"/>
      <c r="M942" s="79"/>
    </row>
    <row r="943" spans="3:13" ht="13">
      <c r="C943" s="63"/>
      <c r="E943" s="41"/>
      <c r="F943" s="41"/>
      <c r="G943" s="41"/>
      <c r="H943" s="41"/>
      <c r="I943" s="41"/>
      <c r="K943" s="41"/>
      <c r="L943" s="64"/>
      <c r="M943" s="79"/>
    </row>
    <row r="944" spans="3:13" ht="13">
      <c r="C944" s="63"/>
      <c r="E944" s="41"/>
      <c r="F944" s="41"/>
      <c r="G944" s="41"/>
      <c r="H944" s="41"/>
      <c r="I944" s="41"/>
      <c r="K944" s="41"/>
      <c r="L944" s="64"/>
      <c r="M944" s="79"/>
    </row>
    <row r="945" spans="3:13" ht="13">
      <c r="C945" s="63"/>
      <c r="E945" s="41"/>
      <c r="F945" s="41"/>
      <c r="G945" s="41"/>
      <c r="H945" s="41"/>
      <c r="I945" s="41"/>
      <c r="K945" s="41"/>
      <c r="L945" s="64"/>
      <c r="M945" s="79"/>
    </row>
    <row r="946" spans="3:13" ht="13">
      <c r="C946" s="63"/>
      <c r="E946" s="41"/>
      <c r="F946" s="41"/>
      <c r="G946" s="41"/>
      <c r="H946" s="41"/>
      <c r="I946" s="41"/>
      <c r="K946" s="41"/>
      <c r="L946" s="64"/>
      <c r="M946" s="79"/>
    </row>
    <row r="947" spans="3:13" ht="13">
      <c r="C947" s="63"/>
      <c r="E947" s="41"/>
      <c r="F947" s="41"/>
      <c r="G947" s="41"/>
      <c r="H947" s="41"/>
      <c r="I947" s="41"/>
      <c r="K947" s="41"/>
      <c r="L947" s="64"/>
      <c r="M947" s="79"/>
    </row>
    <row r="948" spans="3:13" ht="13">
      <c r="C948" s="63"/>
      <c r="E948" s="41"/>
      <c r="F948" s="41"/>
      <c r="G948" s="41"/>
      <c r="H948" s="41"/>
      <c r="I948" s="41"/>
      <c r="K948" s="41"/>
      <c r="L948" s="64"/>
      <c r="M948" s="79"/>
    </row>
    <row r="949" spans="3:13" ht="13">
      <c r="C949" s="63"/>
      <c r="E949" s="41"/>
      <c r="F949" s="41"/>
      <c r="G949" s="41"/>
      <c r="H949" s="41"/>
      <c r="I949" s="41"/>
      <c r="K949" s="41"/>
      <c r="L949" s="64"/>
      <c r="M949" s="79"/>
    </row>
    <row r="950" spans="3:13" ht="13">
      <c r="C950" s="63"/>
      <c r="E950" s="41"/>
      <c r="F950" s="41"/>
      <c r="G950" s="41"/>
      <c r="H950" s="41"/>
      <c r="I950" s="41"/>
      <c r="K950" s="41"/>
      <c r="L950" s="64"/>
      <c r="M950" s="79"/>
    </row>
    <row r="951" spans="3:13" ht="13">
      <c r="C951" s="63"/>
      <c r="E951" s="41"/>
      <c r="F951" s="41"/>
      <c r="G951" s="41"/>
      <c r="H951" s="41"/>
      <c r="I951" s="41"/>
      <c r="K951" s="41"/>
      <c r="L951" s="64"/>
      <c r="M951" s="79"/>
    </row>
    <row r="952" spans="3:13" ht="13">
      <c r="C952" s="63"/>
      <c r="E952" s="41"/>
      <c r="F952" s="41"/>
      <c r="G952" s="41"/>
      <c r="H952" s="41"/>
      <c r="I952" s="41"/>
      <c r="K952" s="41"/>
      <c r="L952" s="64"/>
      <c r="M952" s="79"/>
    </row>
    <row r="953" spans="3:13" ht="13">
      <c r="C953" s="63"/>
      <c r="E953" s="41"/>
      <c r="F953" s="41"/>
      <c r="G953" s="41"/>
      <c r="H953" s="41"/>
      <c r="I953" s="41"/>
      <c r="K953" s="41"/>
      <c r="L953" s="64"/>
      <c r="M953" s="79"/>
    </row>
    <row r="954" spans="3:13" ht="13">
      <c r="C954" s="63"/>
      <c r="E954" s="41"/>
      <c r="F954" s="41"/>
      <c r="G954" s="41"/>
      <c r="H954" s="41"/>
      <c r="I954" s="41"/>
      <c r="K954" s="41"/>
      <c r="L954" s="64"/>
      <c r="M954" s="79"/>
    </row>
    <row r="955" spans="3:13" ht="13">
      <c r="C955" s="63"/>
      <c r="E955" s="41"/>
      <c r="F955" s="41"/>
      <c r="G955" s="41"/>
      <c r="H955" s="41"/>
      <c r="I955" s="41"/>
      <c r="K955" s="41"/>
      <c r="L955" s="64"/>
      <c r="M955" s="79"/>
    </row>
    <row r="956" spans="3:13" ht="13">
      <c r="C956" s="63"/>
      <c r="E956" s="41"/>
      <c r="F956" s="41"/>
      <c r="G956" s="41"/>
      <c r="H956" s="41"/>
      <c r="I956" s="41"/>
      <c r="K956" s="41"/>
      <c r="L956" s="64"/>
      <c r="M956" s="79"/>
    </row>
    <row r="957" spans="3:13" ht="13">
      <c r="C957" s="63"/>
      <c r="E957" s="41"/>
      <c r="F957" s="41"/>
      <c r="G957" s="41"/>
      <c r="H957" s="41"/>
      <c r="I957" s="41"/>
      <c r="K957" s="41"/>
      <c r="L957" s="64"/>
      <c r="M957" s="79"/>
    </row>
    <row r="958" spans="3:13" ht="13">
      <c r="C958" s="63"/>
      <c r="E958" s="41"/>
      <c r="F958" s="41"/>
      <c r="G958" s="41"/>
      <c r="H958" s="41"/>
      <c r="I958" s="41"/>
      <c r="K958" s="41"/>
      <c r="L958" s="64"/>
      <c r="M958" s="79"/>
    </row>
    <row r="959" spans="3:13" ht="13">
      <c r="C959" s="63"/>
      <c r="E959" s="41"/>
      <c r="F959" s="41"/>
      <c r="G959" s="41"/>
      <c r="H959" s="41"/>
      <c r="I959" s="41"/>
      <c r="K959" s="41"/>
      <c r="L959" s="64"/>
      <c r="M959" s="79"/>
    </row>
    <row r="960" spans="3:13" ht="13">
      <c r="C960" s="63"/>
      <c r="E960" s="41"/>
      <c r="F960" s="41"/>
      <c r="G960" s="41"/>
      <c r="H960" s="41"/>
      <c r="I960" s="41"/>
      <c r="K960" s="41"/>
      <c r="L960" s="64"/>
      <c r="M960" s="79"/>
    </row>
    <row r="961" spans="3:13" ht="13">
      <c r="C961" s="63"/>
      <c r="E961" s="41"/>
      <c r="F961" s="41"/>
      <c r="G961" s="41"/>
      <c r="H961" s="41"/>
      <c r="I961" s="41"/>
      <c r="K961" s="41"/>
      <c r="L961" s="64"/>
      <c r="M961" s="79"/>
    </row>
    <row r="962" spans="3:13" ht="13">
      <c r="C962" s="63"/>
      <c r="E962" s="41"/>
      <c r="F962" s="41"/>
      <c r="G962" s="41"/>
      <c r="H962" s="41"/>
      <c r="I962" s="41"/>
      <c r="K962" s="41"/>
      <c r="L962" s="64"/>
      <c r="M962" s="79"/>
    </row>
    <row r="963" spans="3:13" ht="13">
      <c r="C963" s="63"/>
      <c r="E963" s="41"/>
      <c r="F963" s="41"/>
      <c r="G963" s="41"/>
      <c r="H963" s="41"/>
      <c r="I963" s="41"/>
      <c r="K963" s="41"/>
      <c r="L963" s="64"/>
      <c r="M963" s="79"/>
    </row>
    <row r="964" spans="3:13" ht="13">
      <c r="C964" s="63"/>
      <c r="E964" s="41"/>
      <c r="F964" s="41"/>
      <c r="G964" s="41"/>
      <c r="H964" s="41"/>
      <c r="I964" s="41"/>
      <c r="K964" s="41"/>
      <c r="L964" s="64"/>
      <c r="M964" s="79"/>
    </row>
    <row r="965" spans="3:13" ht="13">
      <c r="C965" s="63"/>
      <c r="E965" s="41"/>
      <c r="F965" s="41"/>
      <c r="G965" s="41"/>
      <c r="H965" s="41"/>
      <c r="I965" s="41"/>
      <c r="K965" s="41"/>
      <c r="L965" s="64"/>
      <c r="M965" s="79"/>
    </row>
    <row r="966" spans="3:13" ht="13">
      <c r="C966" s="63"/>
      <c r="E966" s="41"/>
      <c r="F966" s="41"/>
      <c r="G966" s="41"/>
      <c r="H966" s="41"/>
      <c r="I966" s="41"/>
      <c r="K966" s="41"/>
      <c r="L966" s="64"/>
      <c r="M966" s="79"/>
    </row>
    <row r="967" spans="3:13" ht="13">
      <c r="C967" s="63"/>
      <c r="E967" s="41"/>
      <c r="F967" s="41"/>
      <c r="G967" s="41"/>
      <c r="H967" s="41"/>
      <c r="I967" s="41"/>
      <c r="K967" s="41"/>
      <c r="L967" s="64"/>
      <c r="M967" s="79"/>
    </row>
    <row r="968" spans="3:13" ht="13">
      <c r="C968" s="63"/>
      <c r="E968" s="41"/>
      <c r="F968" s="41"/>
      <c r="G968" s="41"/>
      <c r="H968" s="41"/>
      <c r="I968" s="41"/>
      <c r="K968" s="41"/>
      <c r="L968" s="64"/>
      <c r="M968" s="79"/>
    </row>
    <row r="969" spans="3:13" ht="13">
      <c r="C969" s="63"/>
      <c r="E969" s="41"/>
      <c r="F969" s="41"/>
      <c r="G969" s="41"/>
      <c r="H969" s="41"/>
      <c r="I969" s="41"/>
      <c r="K969" s="41"/>
      <c r="L969" s="64"/>
      <c r="M969" s="79"/>
    </row>
    <row r="970" spans="3:13" ht="13">
      <c r="C970" s="63"/>
      <c r="E970" s="41"/>
      <c r="F970" s="41"/>
      <c r="G970" s="41"/>
      <c r="H970" s="41"/>
      <c r="I970" s="41"/>
      <c r="K970" s="41"/>
      <c r="L970" s="64"/>
      <c r="M970" s="79"/>
    </row>
    <row r="971" spans="3:13" ht="13">
      <c r="C971" s="63"/>
      <c r="E971" s="41"/>
      <c r="F971" s="41"/>
      <c r="G971" s="41"/>
      <c r="H971" s="41"/>
      <c r="I971" s="41"/>
      <c r="K971" s="41"/>
      <c r="L971" s="64"/>
      <c r="M971" s="79"/>
    </row>
    <row r="972" spans="3:13" ht="13">
      <c r="C972" s="63"/>
      <c r="E972" s="41"/>
      <c r="F972" s="41"/>
      <c r="G972" s="41"/>
      <c r="H972" s="41"/>
      <c r="I972" s="41"/>
      <c r="K972" s="41"/>
      <c r="L972" s="64"/>
      <c r="M972" s="79"/>
    </row>
    <row r="973" spans="3:13" ht="13">
      <c r="C973" s="63"/>
      <c r="E973" s="41"/>
      <c r="F973" s="41"/>
      <c r="G973" s="41"/>
      <c r="H973" s="41"/>
      <c r="I973" s="41"/>
      <c r="K973" s="41"/>
      <c r="L973" s="64"/>
      <c r="M973" s="79"/>
    </row>
    <row r="974" spans="3:13" ht="13">
      <c r="C974" s="63"/>
      <c r="E974" s="41"/>
      <c r="F974" s="41"/>
      <c r="G974" s="41"/>
      <c r="H974" s="41"/>
      <c r="I974" s="41"/>
      <c r="K974" s="41"/>
      <c r="L974" s="64"/>
      <c r="M974" s="79"/>
    </row>
    <row r="975" spans="3:13" ht="13">
      <c r="C975" s="63"/>
      <c r="E975" s="41"/>
      <c r="F975" s="41"/>
      <c r="G975" s="41"/>
      <c r="H975" s="41"/>
      <c r="I975" s="41"/>
      <c r="K975" s="41"/>
      <c r="L975" s="64"/>
      <c r="M975" s="79"/>
    </row>
    <row r="976" spans="3:13" ht="13">
      <c r="C976" s="63"/>
      <c r="E976" s="41"/>
      <c r="F976" s="41"/>
      <c r="G976" s="41"/>
      <c r="H976" s="41"/>
      <c r="I976" s="41"/>
      <c r="K976" s="41"/>
      <c r="L976" s="64"/>
      <c r="M976" s="79"/>
    </row>
    <row r="977" spans="3:13" ht="13">
      <c r="C977" s="63"/>
      <c r="E977" s="41"/>
      <c r="F977" s="41"/>
      <c r="G977" s="41"/>
      <c r="H977" s="41"/>
      <c r="I977" s="41"/>
      <c r="K977" s="41"/>
      <c r="L977" s="64"/>
      <c r="M977" s="79"/>
    </row>
    <row r="978" spans="3:13" ht="13">
      <c r="C978" s="63"/>
      <c r="E978" s="41"/>
      <c r="F978" s="41"/>
      <c r="G978" s="41"/>
      <c r="H978" s="41"/>
      <c r="I978" s="41"/>
      <c r="K978" s="41"/>
      <c r="L978" s="64"/>
      <c r="M978" s="79"/>
    </row>
    <row r="979" spans="3:13" ht="13">
      <c r="C979" s="63"/>
      <c r="E979" s="41"/>
      <c r="F979" s="41"/>
      <c r="G979" s="41"/>
      <c r="H979" s="41"/>
      <c r="I979" s="41"/>
      <c r="K979" s="41"/>
      <c r="L979" s="64"/>
      <c r="M979" s="79"/>
    </row>
    <row r="980" spans="3:13" ht="13">
      <c r="C980" s="63"/>
      <c r="E980" s="41"/>
      <c r="F980" s="41"/>
      <c r="G980" s="41"/>
      <c r="H980" s="41"/>
      <c r="I980" s="41"/>
      <c r="K980" s="41"/>
      <c r="L980" s="64"/>
      <c r="M980" s="79"/>
    </row>
    <row r="981" spans="3:13" ht="13">
      <c r="C981" s="63"/>
      <c r="E981" s="41"/>
      <c r="F981" s="41"/>
      <c r="G981" s="41"/>
      <c r="H981" s="41"/>
      <c r="I981" s="41"/>
      <c r="K981" s="41"/>
      <c r="L981" s="64"/>
      <c r="M981" s="79"/>
    </row>
    <row r="982" spans="3:13" ht="13">
      <c r="C982" s="63"/>
      <c r="E982" s="41"/>
      <c r="F982" s="41"/>
      <c r="G982" s="41"/>
      <c r="H982" s="41"/>
      <c r="I982" s="41"/>
      <c r="K982" s="41"/>
      <c r="L982" s="64"/>
      <c r="M982" s="79"/>
    </row>
    <row r="983" spans="3:13" ht="13">
      <c r="C983" s="63"/>
      <c r="E983" s="41"/>
      <c r="F983" s="41"/>
      <c r="G983" s="41"/>
      <c r="H983" s="41"/>
      <c r="I983" s="41"/>
      <c r="K983" s="41"/>
      <c r="L983" s="64"/>
      <c r="M983" s="79"/>
    </row>
    <row r="984" spans="3:13" ht="13">
      <c r="C984" s="63"/>
      <c r="E984" s="41"/>
      <c r="F984" s="41"/>
      <c r="G984" s="41"/>
      <c r="H984" s="41"/>
      <c r="I984" s="41"/>
      <c r="K984" s="41"/>
      <c r="L984" s="64"/>
      <c r="M984" s="79"/>
    </row>
    <row r="985" spans="3:13" ht="13">
      <c r="C985" s="63"/>
      <c r="E985" s="41"/>
      <c r="F985" s="41"/>
      <c r="G985" s="41"/>
      <c r="H985" s="41"/>
      <c r="I985" s="41"/>
      <c r="K985" s="41"/>
      <c r="L985" s="64"/>
      <c r="M985" s="79"/>
    </row>
    <row r="986" spans="3:13" ht="13">
      <c r="C986" s="63"/>
      <c r="E986" s="41"/>
      <c r="F986" s="41"/>
      <c r="G986" s="41"/>
      <c r="H986" s="41"/>
      <c r="I986" s="41"/>
      <c r="K986" s="41"/>
      <c r="L986" s="64"/>
      <c r="M986" s="79"/>
    </row>
    <row r="987" spans="3:13" ht="13">
      <c r="C987" s="63"/>
      <c r="E987" s="41"/>
      <c r="F987" s="41"/>
      <c r="G987" s="41"/>
      <c r="H987" s="41"/>
      <c r="I987" s="41"/>
      <c r="K987" s="41"/>
      <c r="L987" s="64"/>
      <c r="M987" s="79"/>
    </row>
    <row r="988" spans="3:13" ht="13">
      <c r="C988" s="63"/>
      <c r="E988" s="41"/>
      <c r="F988" s="41"/>
      <c r="G988" s="41"/>
      <c r="H988" s="41"/>
      <c r="I988" s="41"/>
      <c r="K988" s="41"/>
      <c r="L988" s="64"/>
      <c r="M988" s="79"/>
    </row>
    <row r="989" spans="3:13" ht="13">
      <c r="C989" s="63"/>
      <c r="E989" s="41"/>
      <c r="F989" s="41"/>
      <c r="G989" s="41"/>
      <c r="H989" s="41"/>
      <c r="I989" s="41"/>
      <c r="K989" s="41"/>
      <c r="L989" s="64"/>
      <c r="M989" s="79"/>
    </row>
    <row r="990" spans="3:13" ht="13">
      <c r="C990" s="63"/>
      <c r="E990" s="41"/>
      <c r="F990" s="41"/>
      <c r="G990" s="41"/>
      <c r="H990" s="41"/>
      <c r="I990" s="41"/>
      <c r="K990" s="41"/>
      <c r="L990" s="64"/>
      <c r="M990" s="79"/>
    </row>
    <row r="991" spans="3:13" ht="13">
      <c r="C991" s="63"/>
      <c r="E991" s="41"/>
      <c r="F991" s="41"/>
      <c r="G991" s="41"/>
      <c r="H991" s="41"/>
      <c r="I991" s="41"/>
      <c r="K991" s="41"/>
      <c r="L991" s="64"/>
      <c r="M991" s="79"/>
    </row>
    <row r="992" spans="3:13" ht="13">
      <c r="C992" s="63"/>
      <c r="E992" s="41"/>
      <c r="F992" s="41"/>
      <c r="G992" s="41"/>
      <c r="H992" s="41"/>
      <c r="I992" s="41"/>
      <c r="K992" s="41"/>
      <c r="L992" s="64"/>
      <c r="M992" s="79"/>
    </row>
    <row r="993" spans="3:13" ht="13">
      <c r="C993" s="63"/>
      <c r="E993" s="41"/>
      <c r="F993" s="41"/>
      <c r="G993" s="41"/>
      <c r="H993" s="41"/>
      <c r="I993" s="41"/>
      <c r="K993" s="41"/>
      <c r="L993" s="64"/>
      <c r="M993" s="79"/>
    </row>
    <row r="994" spans="3:13" ht="13">
      <c r="C994" s="63"/>
      <c r="E994" s="41"/>
      <c r="F994" s="41"/>
      <c r="G994" s="41"/>
      <c r="H994" s="41"/>
      <c r="I994" s="41"/>
      <c r="K994" s="41"/>
      <c r="L994" s="64"/>
      <c r="M994" s="79"/>
    </row>
    <row r="995" spans="3:13" ht="13">
      <c r="C995" s="63"/>
      <c r="E995" s="41"/>
      <c r="F995" s="41"/>
      <c r="G995" s="41"/>
      <c r="H995" s="41"/>
      <c r="I995" s="41"/>
      <c r="K995" s="41"/>
      <c r="L995" s="64"/>
      <c r="M995" s="79"/>
    </row>
    <row r="996" spans="3:13" ht="13">
      <c r="C996" s="63"/>
      <c r="E996" s="41"/>
      <c r="F996" s="41"/>
      <c r="G996" s="41"/>
      <c r="H996" s="41"/>
      <c r="I996" s="41"/>
      <c r="K996" s="41"/>
      <c r="L996" s="64"/>
      <c r="M996" s="79"/>
    </row>
    <row r="997" spans="3:13" ht="13">
      <c r="C997" s="63"/>
      <c r="E997" s="41"/>
      <c r="F997" s="41"/>
      <c r="G997" s="41"/>
      <c r="H997" s="41"/>
      <c r="I997" s="41"/>
      <c r="K997" s="41"/>
      <c r="L997" s="64"/>
      <c r="M997" s="79"/>
    </row>
    <row r="998" spans="3:13" ht="13">
      <c r="C998" s="63"/>
      <c r="E998" s="41"/>
      <c r="F998" s="41"/>
      <c r="G998" s="41"/>
      <c r="H998" s="41"/>
      <c r="I998" s="41"/>
      <c r="K998" s="41"/>
      <c r="L998" s="64"/>
      <c r="M998" s="79"/>
    </row>
    <row r="999" spans="3:13" ht="13">
      <c r="C999" s="63"/>
      <c r="E999" s="41"/>
      <c r="F999" s="41"/>
      <c r="G999" s="41"/>
      <c r="H999" s="41"/>
      <c r="I999" s="41"/>
      <c r="K999" s="41"/>
      <c r="L999" s="64"/>
      <c r="M999" s="79"/>
    </row>
    <row r="1000" spans="3:13" ht="13">
      <c r="C1000" s="63"/>
      <c r="E1000" s="41"/>
      <c r="F1000" s="41"/>
      <c r="G1000" s="41"/>
      <c r="H1000" s="41"/>
      <c r="I1000" s="41"/>
      <c r="K1000" s="41"/>
      <c r="L1000" s="64"/>
      <c r="M1000" s="79"/>
    </row>
  </sheetData>
  <autoFilter ref="A1:M1000" xr:uid="{00000000-0009-0000-0000-000004000000}"/>
  <customSheetViews>
    <customSheetView guid="{B8519574-77FB-49A0-940D-FDADA7009AF9}" filter="1" showAutoFilter="1">
      <pageMargins left="0.7" right="0.7" top="0.75" bottom="0.75" header="0.3" footer="0.3"/>
      <autoFilter ref="A1:L27" xr:uid="{00000000-0000-0000-0000-000000000000}"/>
    </customSheetView>
  </customSheetView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filterMode="1">
    <outlinePr summaryBelow="0" summaryRight="0"/>
  </sheetPr>
  <dimension ref="A1:N1000"/>
  <sheetViews>
    <sheetView workbookViewId="0">
      <pane xSplit="1" ySplit="1" topLeftCell="B2" activePane="bottomRight" state="frozen"/>
      <selection pane="topRight" activeCell="B1" sqref="B1"/>
      <selection pane="bottomLeft" activeCell="A2" sqref="A2"/>
      <selection pane="bottomRight" activeCell="E27" sqref="E27:I27"/>
    </sheetView>
  </sheetViews>
  <sheetFormatPr baseColWidth="10" defaultColWidth="14.5" defaultRowHeight="15.75" customHeight="1"/>
  <cols>
    <col min="1" max="1" width="29.1640625" customWidth="1"/>
    <col min="2" max="2" width="14.5" hidden="1"/>
    <col min="3" max="3" width="19.5" customWidth="1"/>
    <col min="5" max="5" width="15.83203125" customWidth="1"/>
    <col min="6" max="6" width="17.83203125" customWidth="1"/>
    <col min="9" max="9" width="22.5" customWidth="1"/>
    <col min="11" max="11" width="21.6640625" customWidth="1"/>
    <col min="12" max="12" width="62" customWidth="1"/>
    <col min="13" max="13" width="49.5" customWidth="1"/>
  </cols>
  <sheetData>
    <row r="1" spans="1:14" ht="15">
      <c r="A1" s="66" t="s">
        <v>175</v>
      </c>
      <c r="B1" s="13" t="s">
        <v>46</v>
      </c>
      <c r="C1" s="42" t="s">
        <v>109</v>
      </c>
      <c r="D1" s="14" t="s">
        <v>47</v>
      </c>
      <c r="E1" s="13" t="s">
        <v>48</v>
      </c>
      <c r="F1" s="13" t="s">
        <v>49</v>
      </c>
      <c r="G1" s="13" t="s">
        <v>50</v>
      </c>
      <c r="H1" s="13" t="s">
        <v>51</v>
      </c>
      <c r="I1" s="13" t="s">
        <v>52</v>
      </c>
      <c r="J1" s="15" t="s">
        <v>53</v>
      </c>
      <c r="K1" s="15" t="s">
        <v>54</v>
      </c>
      <c r="L1" s="43" t="s">
        <v>55</v>
      </c>
      <c r="M1" s="80" t="s">
        <v>234</v>
      </c>
    </row>
    <row r="2" spans="1:14" ht="75">
      <c r="A2" s="40" t="s">
        <v>63</v>
      </c>
      <c r="B2" s="45"/>
      <c r="C2" s="40" t="s">
        <v>111</v>
      </c>
      <c r="D2" s="68" t="s">
        <v>112</v>
      </c>
      <c r="E2" s="69">
        <v>3</v>
      </c>
      <c r="F2" s="70">
        <v>1</v>
      </c>
      <c r="G2" s="70">
        <v>3</v>
      </c>
      <c r="H2" s="70">
        <v>3</v>
      </c>
      <c r="I2" s="81">
        <v>3</v>
      </c>
      <c r="J2" s="50">
        <f t="shared" ref="J2:J11" si="0">AVERAGE(E2:I2)</f>
        <v>2.6</v>
      </c>
      <c r="K2" s="51">
        <v>1</v>
      </c>
      <c r="L2" s="31" t="s">
        <v>235</v>
      </c>
      <c r="M2" s="55" t="s">
        <v>236</v>
      </c>
    </row>
    <row r="3" spans="1:14" ht="126">
      <c r="A3" s="40" t="s">
        <v>85</v>
      </c>
      <c r="B3" s="45"/>
      <c r="C3" s="40" t="s">
        <v>111</v>
      </c>
      <c r="D3" s="68" t="s">
        <v>112</v>
      </c>
      <c r="E3" s="54">
        <v>4</v>
      </c>
      <c r="F3" s="54">
        <v>4</v>
      </c>
      <c r="G3" s="54">
        <v>4</v>
      </c>
      <c r="H3" s="54">
        <v>4</v>
      </c>
      <c r="I3" s="40">
        <v>3</v>
      </c>
      <c r="J3" s="50">
        <f t="shared" si="0"/>
        <v>3.8</v>
      </c>
      <c r="K3" s="51">
        <v>1</v>
      </c>
      <c r="L3" s="37" t="s">
        <v>237</v>
      </c>
      <c r="M3" s="82" t="s">
        <v>238</v>
      </c>
    </row>
    <row r="4" spans="1:14" ht="42">
      <c r="A4" s="40" t="s">
        <v>91</v>
      </c>
      <c r="B4" s="45"/>
      <c r="C4" s="40" t="s">
        <v>111</v>
      </c>
      <c r="D4" s="68" t="s">
        <v>112</v>
      </c>
      <c r="E4" s="48">
        <v>4</v>
      </c>
      <c r="F4" s="49">
        <v>3</v>
      </c>
      <c r="G4" s="49">
        <v>3</v>
      </c>
      <c r="H4" s="49">
        <v>3</v>
      </c>
      <c r="I4" s="40">
        <v>3</v>
      </c>
      <c r="J4" s="50">
        <f t="shared" si="0"/>
        <v>3.2</v>
      </c>
      <c r="K4" s="51">
        <v>1</v>
      </c>
      <c r="L4" s="37" t="s">
        <v>239</v>
      </c>
      <c r="M4" s="44" t="s">
        <v>240</v>
      </c>
    </row>
    <row r="5" spans="1:14" ht="210" hidden="1">
      <c r="A5" s="40" t="s">
        <v>93</v>
      </c>
      <c r="B5" s="45"/>
      <c r="C5" s="40" t="s">
        <v>119</v>
      </c>
      <c r="D5" s="40" t="s">
        <v>112</v>
      </c>
      <c r="E5" s="54">
        <v>3</v>
      </c>
      <c r="F5" s="54">
        <v>5</v>
      </c>
      <c r="G5" s="54">
        <v>1</v>
      </c>
      <c r="H5" s="54">
        <v>3</v>
      </c>
      <c r="I5" s="54">
        <v>3</v>
      </c>
      <c r="J5" s="50">
        <f t="shared" si="0"/>
        <v>3</v>
      </c>
      <c r="K5" s="72">
        <v>1</v>
      </c>
      <c r="L5" s="55" t="s">
        <v>241</v>
      </c>
      <c r="M5" s="44" t="s">
        <v>242</v>
      </c>
    </row>
    <row r="6" spans="1:14" ht="409.6" hidden="1">
      <c r="A6" s="40" t="s">
        <v>103</v>
      </c>
      <c r="B6" s="45"/>
      <c r="C6" s="40" t="s">
        <v>186</v>
      </c>
      <c r="D6" s="68" t="s">
        <v>123</v>
      </c>
      <c r="E6" s="54">
        <v>2</v>
      </c>
      <c r="F6" s="54">
        <v>2</v>
      </c>
      <c r="G6" s="54">
        <v>2</v>
      </c>
      <c r="H6" s="54">
        <v>2</v>
      </c>
      <c r="I6" s="54">
        <v>1</v>
      </c>
      <c r="J6" s="50">
        <f t="shared" si="0"/>
        <v>1.8</v>
      </c>
      <c r="K6" s="40" t="s">
        <v>243</v>
      </c>
      <c r="L6" s="56" t="s">
        <v>244</v>
      </c>
      <c r="M6" s="44" t="s">
        <v>245</v>
      </c>
    </row>
    <row r="7" spans="1:14" ht="195" hidden="1">
      <c r="A7" s="40" t="s">
        <v>105</v>
      </c>
      <c r="B7" s="45"/>
      <c r="C7" s="40" t="s">
        <v>111</v>
      </c>
      <c r="D7" s="68" t="s">
        <v>123</v>
      </c>
      <c r="E7" s="83">
        <v>3</v>
      </c>
      <c r="F7" s="84">
        <v>2</v>
      </c>
      <c r="G7" s="83">
        <v>3</v>
      </c>
      <c r="H7" s="84">
        <v>3</v>
      </c>
      <c r="I7" s="83">
        <v>3</v>
      </c>
      <c r="J7" s="50">
        <f t="shared" si="0"/>
        <v>2.8</v>
      </c>
      <c r="K7" s="40" t="s">
        <v>246</v>
      </c>
      <c r="L7" s="52" t="s">
        <v>247</v>
      </c>
      <c r="M7" s="44" t="s">
        <v>248</v>
      </c>
    </row>
    <row r="8" spans="1:14" ht="409.6" hidden="1">
      <c r="A8" s="40" t="s">
        <v>59</v>
      </c>
      <c r="B8" s="45"/>
      <c r="C8" s="40" t="s">
        <v>186</v>
      </c>
      <c r="D8" s="40" t="s">
        <v>123</v>
      </c>
      <c r="E8" s="54">
        <v>3</v>
      </c>
      <c r="F8" s="49">
        <v>3</v>
      </c>
      <c r="G8" s="54">
        <v>3</v>
      </c>
      <c r="H8" s="54">
        <v>3</v>
      </c>
      <c r="I8" s="40">
        <v>4</v>
      </c>
      <c r="J8" s="50">
        <f t="shared" si="0"/>
        <v>3.2</v>
      </c>
      <c r="K8" s="40" t="s">
        <v>246</v>
      </c>
      <c r="L8" s="57" t="s">
        <v>249</v>
      </c>
      <c r="M8" s="44" t="s">
        <v>250</v>
      </c>
    </row>
    <row r="9" spans="1:14" ht="409.6" hidden="1">
      <c r="A9" s="40" t="s">
        <v>101</v>
      </c>
      <c r="B9" s="45"/>
      <c r="C9" s="40" t="s">
        <v>186</v>
      </c>
      <c r="D9" s="40" t="s">
        <v>123</v>
      </c>
      <c r="E9" s="48">
        <v>2</v>
      </c>
      <c r="F9" s="49">
        <v>1</v>
      </c>
      <c r="G9" s="49">
        <v>1</v>
      </c>
      <c r="H9" s="49">
        <v>2</v>
      </c>
      <c r="I9" s="40">
        <v>2</v>
      </c>
      <c r="J9" s="50">
        <f t="shared" si="0"/>
        <v>1.6</v>
      </c>
      <c r="K9" s="40" t="s">
        <v>251</v>
      </c>
      <c r="L9" s="55" t="s">
        <v>252</v>
      </c>
      <c r="M9" s="44" t="s">
        <v>253</v>
      </c>
    </row>
    <row r="10" spans="1:14" ht="370" hidden="1">
      <c r="A10" s="40" t="s">
        <v>79</v>
      </c>
      <c r="B10" s="45"/>
      <c r="C10" s="40" t="s">
        <v>119</v>
      </c>
      <c r="D10" s="40" t="s">
        <v>132</v>
      </c>
      <c r="E10" s="59">
        <v>3</v>
      </c>
      <c r="F10" s="54">
        <v>3</v>
      </c>
      <c r="G10" s="54">
        <v>0</v>
      </c>
      <c r="H10" s="54">
        <v>4</v>
      </c>
      <c r="I10" s="54">
        <v>4</v>
      </c>
      <c r="J10" s="50">
        <f t="shared" si="0"/>
        <v>2.8</v>
      </c>
      <c r="K10" s="72">
        <v>1</v>
      </c>
      <c r="L10" s="55" t="s">
        <v>254</v>
      </c>
      <c r="M10" s="44" t="s">
        <v>255</v>
      </c>
    </row>
    <row r="11" spans="1:14" ht="409.6" hidden="1">
      <c r="A11" s="40" t="s">
        <v>56</v>
      </c>
      <c r="B11" s="45"/>
      <c r="C11" s="40" t="s">
        <v>135</v>
      </c>
      <c r="D11" s="40" t="s">
        <v>132</v>
      </c>
      <c r="E11" s="54">
        <v>4</v>
      </c>
      <c r="F11" s="54">
        <v>3</v>
      </c>
      <c r="G11" s="54">
        <v>2</v>
      </c>
      <c r="H11" s="54">
        <v>4</v>
      </c>
      <c r="I11" s="40">
        <v>3</v>
      </c>
      <c r="J11" s="50">
        <f t="shared" si="0"/>
        <v>3.2</v>
      </c>
      <c r="K11" s="51">
        <v>0.8</v>
      </c>
      <c r="L11" s="55" t="s">
        <v>256</v>
      </c>
      <c r="M11" s="53" t="s">
        <v>257</v>
      </c>
    </row>
    <row r="12" spans="1:14" ht="210" hidden="1">
      <c r="A12" s="40" t="s">
        <v>89</v>
      </c>
      <c r="B12" s="45"/>
      <c r="C12" s="40" t="s">
        <v>119</v>
      </c>
      <c r="D12" s="68" t="s">
        <v>132</v>
      </c>
      <c r="E12" s="54">
        <v>3</v>
      </c>
      <c r="F12" s="54">
        <v>3</v>
      </c>
      <c r="G12" s="54">
        <v>3</v>
      </c>
      <c r="H12" s="54">
        <v>3</v>
      </c>
      <c r="I12" s="54">
        <v>3</v>
      </c>
      <c r="J12" s="50">
        <f>AVERAGE(E12:I12)-1</f>
        <v>2</v>
      </c>
      <c r="K12" s="54" t="s">
        <v>213</v>
      </c>
      <c r="L12" s="55" t="s">
        <v>258</v>
      </c>
      <c r="M12" s="55" t="s">
        <v>259</v>
      </c>
      <c r="N12" s="85" t="s">
        <v>260</v>
      </c>
    </row>
    <row r="13" spans="1:14" ht="356" hidden="1">
      <c r="A13" s="40" t="s">
        <v>61</v>
      </c>
      <c r="B13" s="45"/>
      <c r="C13" s="40" t="s">
        <v>148</v>
      </c>
      <c r="D13" s="40" t="s">
        <v>132</v>
      </c>
      <c r="E13" s="59">
        <v>2</v>
      </c>
      <c r="F13" s="54">
        <v>4</v>
      </c>
      <c r="G13" s="54">
        <v>2</v>
      </c>
      <c r="H13" s="54">
        <v>4</v>
      </c>
      <c r="I13" s="40">
        <v>2</v>
      </c>
      <c r="J13" s="50">
        <f>AVERAGE(E13:I13)</f>
        <v>2.8</v>
      </c>
      <c r="K13" s="51">
        <v>1</v>
      </c>
      <c r="L13" s="74" t="s">
        <v>261</v>
      </c>
      <c r="M13" s="44" t="s">
        <v>262</v>
      </c>
      <c r="N13" s="86" t="s">
        <v>263</v>
      </c>
    </row>
    <row r="14" spans="1:14" ht="409.6" hidden="1">
      <c r="A14" s="40" t="s">
        <v>71</v>
      </c>
      <c r="B14" s="45"/>
      <c r="C14" s="40" t="s">
        <v>135</v>
      </c>
      <c r="D14" s="68" t="s">
        <v>143</v>
      </c>
      <c r="E14" s="54">
        <v>5</v>
      </c>
      <c r="F14" s="54">
        <v>4</v>
      </c>
      <c r="G14" s="54">
        <v>3</v>
      </c>
      <c r="H14" s="54">
        <v>4</v>
      </c>
      <c r="I14" s="40">
        <v>3</v>
      </c>
      <c r="J14" s="50">
        <f>AVERAGE(E14:I14)</f>
        <v>3.8</v>
      </c>
      <c r="K14" s="51">
        <v>0.7</v>
      </c>
      <c r="L14" s="55" t="s">
        <v>264</v>
      </c>
      <c r="M14" s="44" t="s">
        <v>265</v>
      </c>
    </row>
    <row r="15" spans="1:14" ht="409.6" hidden="1">
      <c r="A15" s="40" t="s">
        <v>73</v>
      </c>
      <c r="B15" s="45"/>
      <c r="C15" s="40" t="s">
        <v>135</v>
      </c>
      <c r="D15" s="68" t="s">
        <v>143</v>
      </c>
      <c r="E15" s="48">
        <v>4</v>
      </c>
      <c r="F15" s="49">
        <v>3</v>
      </c>
      <c r="G15" s="49">
        <v>3</v>
      </c>
      <c r="H15" s="49">
        <v>3</v>
      </c>
      <c r="I15" s="40">
        <v>4</v>
      </c>
      <c r="J15" s="50">
        <f t="shared" ref="J15:J20" si="1">AVERAGE(E15:I15)</f>
        <v>3.4</v>
      </c>
      <c r="K15" s="40" t="s">
        <v>266</v>
      </c>
      <c r="L15" s="55" t="s">
        <v>267</v>
      </c>
      <c r="M15" s="44" t="s">
        <v>268</v>
      </c>
    </row>
    <row r="16" spans="1:14" ht="384" hidden="1">
      <c r="A16" s="40" t="s">
        <v>81</v>
      </c>
      <c r="B16" s="45"/>
      <c r="C16" s="40" t="s">
        <v>148</v>
      </c>
      <c r="D16" s="40" t="s">
        <v>143</v>
      </c>
      <c r="E16" s="48">
        <v>3</v>
      </c>
      <c r="F16" s="49">
        <v>2</v>
      </c>
      <c r="G16" s="49">
        <v>2</v>
      </c>
      <c r="H16" s="49">
        <v>3</v>
      </c>
      <c r="I16" s="40">
        <v>1</v>
      </c>
      <c r="J16" s="50">
        <f t="shared" si="1"/>
        <v>2.2000000000000002</v>
      </c>
      <c r="K16" s="55" t="s">
        <v>269</v>
      </c>
      <c r="L16" s="75" t="s">
        <v>270</v>
      </c>
      <c r="M16" s="44" t="s">
        <v>271</v>
      </c>
    </row>
    <row r="17" spans="1:14" ht="180">
      <c r="A17" s="40" t="s">
        <v>65</v>
      </c>
      <c r="B17" s="45"/>
      <c r="C17" s="40" t="s">
        <v>111</v>
      </c>
      <c r="D17" s="68" t="s">
        <v>143</v>
      </c>
      <c r="E17" s="54">
        <v>4</v>
      </c>
      <c r="F17" s="54">
        <v>3</v>
      </c>
      <c r="G17" s="54">
        <v>4</v>
      </c>
      <c r="H17" s="54">
        <v>3</v>
      </c>
      <c r="I17" s="58">
        <v>3</v>
      </c>
      <c r="J17" s="50">
        <f t="shared" si="1"/>
        <v>3.4</v>
      </c>
      <c r="K17" s="40" t="s">
        <v>272</v>
      </c>
      <c r="L17" s="55" t="s">
        <v>273</v>
      </c>
      <c r="M17" s="61" t="s">
        <v>274</v>
      </c>
    </row>
    <row r="18" spans="1:14" ht="409.6" hidden="1">
      <c r="A18" s="40" t="s">
        <v>99</v>
      </c>
      <c r="B18" s="45"/>
      <c r="C18" s="40" t="s">
        <v>186</v>
      </c>
      <c r="D18" s="40" t="s">
        <v>153</v>
      </c>
      <c r="E18" s="54">
        <v>4</v>
      </c>
      <c r="F18" s="54">
        <v>4</v>
      </c>
      <c r="G18" s="54">
        <v>3</v>
      </c>
      <c r="H18" s="54">
        <v>3</v>
      </c>
      <c r="I18" s="40">
        <v>3</v>
      </c>
      <c r="J18" s="50">
        <f t="shared" si="1"/>
        <v>3.4</v>
      </c>
      <c r="K18" s="40" t="s">
        <v>275</v>
      </c>
      <c r="L18" s="52" t="s">
        <v>276</v>
      </c>
      <c r="M18" s="44" t="s">
        <v>277</v>
      </c>
    </row>
    <row r="19" spans="1:14" ht="328" hidden="1">
      <c r="A19" s="40" t="s">
        <v>97</v>
      </c>
      <c r="B19" s="45"/>
      <c r="C19" s="40" t="s">
        <v>119</v>
      </c>
      <c r="D19" s="40" t="s">
        <v>153</v>
      </c>
      <c r="E19" s="54">
        <v>3</v>
      </c>
      <c r="F19" s="54">
        <v>3</v>
      </c>
      <c r="G19" s="54">
        <v>1</v>
      </c>
      <c r="H19" s="54">
        <v>3</v>
      </c>
      <c r="I19" s="54">
        <v>4</v>
      </c>
      <c r="J19" s="50">
        <f t="shared" si="1"/>
        <v>2.8</v>
      </c>
      <c r="K19" s="72">
        <v>1</v>
      </c>
      <c r="L19" s="55" t="s">
        <v>278</v>
      </c>
      <c r="M19" s="44" t="s">
        <v>279</v>
      </c>
    </row>
    <row r="20" spans="1:14" ht="300" hidden="1">
      <c r="A20" s="40" t="s">
        <v>87</v>
      </c>
      <c r="B20" s="45"/>
      <c r="C20" s="40" t="s">
        <v>148</v>
      </c>
      <c r="D20" s="40" t="s">
        <v>153</v>
      </c>
      <c r="E20" s="54">
        <v>2</v>
      </c>
      <c r="F20" s="54">
        <v>3</v>
      </c>
      <c r="G20" s="54">
        <v>3</v>
      </c>
      <c r="H20" s="54">
        <v>3</v>
      </c>
      <c r="I20" s="40">
        <v>2</v>
      </c>
      <c r="J20" s="50">
        <f t="shared" si="1"/>
        <v>2.6</v>
      </c>
      <c r="K20" s="51">
        <v>1</v>
      </c>
      <c r="L20" s="74" t="s">
        <v>280</v>
      </c>
      <c r="M20" s="44" t="s">
        <v>281</v>
      </c>
    </row>
    <row r="21" spans="1:14" ht="270" hidden="1">
      <c r="A21" s="40" t="s">
        <v>107</v>
      </c>
      <c r="B21" s="45"/>
      <c r="C21" s="40" t="s">
        <v>135</v>
      </c>
      <c r="D21" s="68" t="s">
        <v>153</v>
      </c>
      <c r="E21" s="48">
        <v>4</v>
      </c>
      <c r="F21" s="49">
        <v>4</v>
      </c>
      <c r="G21" s="49">
        <v>2</v>
      </c>
      <c r="H21" s="49">
        <v>3</v>
      </c>
      <c r="I21" s="40">
        <v>4</v>
      </c>
      <c r="J21" s="50">
        <f>AVERAGE(E21:I21)</f>
        <v>3.4</v>
      </c>
      <c r="K21" s="51">
        <v>1</v>
      </c>
      <c r="L21" s="55" t="s">
        <v>282</v>
      </c>
      <c r="M21" s="44" t="s">
        <v>283</v>
      </c>
    </row>
    <row r="22" spans="1:14" ht="150" hidden="1">
      <c r="A22" s="40" t="s">
        <v>69</v>
      </c>
      <c r="B22" s="45"/>
      <c r="C22" s="40" t="s">
        <v>135</v>
      </c>
      <c r="D22" s="40" t="s">
        <v>153</v>
      </c>
      <c r="E22" s="54">
        <v>3</v>
      </c>
      <c r="F22" s="54">
        <v>3</v>
      </c>
      <c r="G22" s="54">
        <v>1</v>
      </c>
      <c r="H22" s="54">
        <v>3</v>
      </c>
      <c r="I22" s="40">
        <v>2</v>
      </c>
      <c r="J22" s="50">
        <f>AVERAGE(E22:I22)</f>
        <v>2.4</v>
      </c>
      <c r="K22" s="40" t="s">
        <v>177</v>
      </c>
      <c r="L22" s="55" t="s">
        <v>284</v>
      </c>
      <c r="M22" s="44" t="s">
        <v>285</v>
      </c>
    </row>
    <row r="23" spans="1:14" ht="285" hidden="1">
      <c r="A23" s="40" t="s">
        <v>83</v>
      </c>
      <c r="B23" s="45"/>
      <c r="C23" s="40" t="s">
        <v>119</v>
      </c>
      <c r="D23" s="68" t="s">
        <v>164</v>
      </c>
      <c r="E23" s="54">
        <v>3</v>
      </c>
      <c r="F23" s="54">
        <v>2</v>
      </c>
      <c r="G23" s="54">
        <v>1</v>
      </c>
      <c r="H23" s="54">
        <v>3</v>
      </c>
      <c r="I23" s="54">
        <v>3</v>
      </c>
      <c r="J23" s="50">
        <f>AVERAGE(E23:I23)-1</f>
        <v>1.4</v>
      </c>
      <c r="K23" s="54" t="s">
        <v>286</v>
      </c>
      <c r="L23" s="52" t="s">
        <v>287</v>
      </c>
      <c r="M23" s="44" t="s">
        <v>288</v>
      </c>
      <c r="N23" s="85" t="s">
        <v>289</v>
      </c>
    </row>
    <row r="24" spans="1:14" ht="409.6" hidden="1">
      <c r="A24" s="40" t="s">
        <v>75</v>
      </c>
      <c r="B24" s="45"/>
      <c r="C24" s="40" t="s">
        <v>186</v>
      </c>
      <c r="D24" s="40" t="s">
        <v>164</v>
      </c>
      <c r="E24" s="54">
        <v>1</v>
      </c>
      <c r="F24" s="54">
        <v>0</v>
      </c>
      <c r="G24" s="54">
        <v>2</v>
      </c>
      <c r="H24" s="54">
        <v>2</v>
      </c>
      <c r="I24" s="54">
        <v>1</v>
      </c>
      <c r="J24" s="50">
        <f t="shared" ref="J24:J27" si="2">AVERAGE(E24:I24)</f>
        <v>1.2</v>
      </c>
      <c r="K24" s="40" t="s">
        <v>251</v>
      </c>
      <c r="L24" s="52" t="s">
        <v>290</v>
      </c>
      <c r="M24" s="44" t="s">
        <v>291</v>
      </c>
      <c r="N24" s="87" t="s">
        <v>292</v>
      </c>
    </row>
    <row r="25" spans="1:14" ht="135">
      <c r="A25" s="40" t="s">
        <v>77</v>
      </c>
      <c r="B25" s="45"/>
      <c r="C25" s="40" t="s">
        <v>111</v>
      </c>
      <c r="D25" s="40" t="s">
        <v>164</v>
      </c>
      <c r="E25" s="54">
        <v>2</v>
      </c>
      <c r="F25" s="54">
        <v>1</v>
      </c>
      <c r="G25" s="54">
        <v>2</v>
      </c>
      <c r="H25" s="54">
        <v>3</v>
      </c>
      <c r="I25" s="40">
        <v>3</v>
      </c>
      <c r="J25" s="50">
        <f t="shared" si="2"/>
        <v>2.2000000000000002</v>
      </c>
      <c r="K25" s="40" t="s">
        <v>293</v>
      </c>
      <c r="L25" s="55" t="s">
        <v>294</v>
      </c>
      <c r="M25" s="44" t="s">
        <v>295</v>
      </c>
      <c r="N25" s="85" t="s">
        <v>268</v>
      </c>
    </row>
    <row r="26" spans="1:14" ht="300" hidden="1">
      <c r="A26" s="40" t="s">
        <v>95</v>
      </c>
      <c r="B26" s="45"/>
      <c r="C26" s="40" t="s">
        <v>148</v>
      </c>
      <c r="D26" s="37" t="s">
        <v>164</v>
      </c>
      <c r="E26" s="59">
        <v>3</v>
      </c>
      <c r="F26" s="54">
        <v>4</v>
      </c>
      <c r="G26" s="54">
        <v>3</v>
      </c>
      <c r="H26" s="54">
        <v>4</v>
      </c>
      <c r="I26" s="40">
        <v>4</v>
      </c>
      <c r="J26" s="50">
        <f t="shared" si="2"/>
        <v>3.6</v>
      </c>
      <c r="K26" s="40" t="s">
        <v>293</v>
      </c>
      <c r="L26" s="74" t="s">
        <v>296</v>
      </c>
      <c r="M26" s="88" t="s">
        <v>297</v>
      </c>
      <c r="N26" s="44" t="s">
        <v>298</v>
      </c>
    </row>
    <row r="27" spans="1:14" ht="328" hidden="1">
      <c r="A27" s="40" t="s">
        <v>67</v>
      </c>
      <c r="B27" s="45"/>
      <c r="C27" s="40" t="s">
        <v>148</v>
      </c>
      <c r="D27" s="40" t="s">
        <v>164</v>
      </c>
      <c r="E27" s="54">
        <v>3</v>
      </c>
      <c r="F27" s="54">
        <v>4</v>
      </c>
      <c r="G27" s="54">
        <v>2</v>
      </c>
      <c r="H27" s="54">
        <v>3</v>
      </c>
      <c r="I27" s="40">
        <v>3</v>
      </c>
      <c r="J27" s="50">
        <f t="shared" si="2"/>
        <v>3</v>
      </c>
      <c r="K27" s="40" t="s">
        <v>293</v>
      </c>
      <c r="L27" s="74" t="s">
        <v>299</v>
      </c>
      <c r="M27" s="44" t="s">
        <v>300</v>
      </c>
    </row>
    <row r="28" spans="1:14" ht="14">
      <c r="C28" s="45"/>
      <c r="D28" s="26"/>
      <c r="E28" s="41"/>
      <c r="F28" s="41"/>
      <c r="G28" s="41"/>
      <c r="H28" s="41"/>
      <c r="I28" s="41"/>
      <c r="K28" s="41"/>
      <c r="L28" s="64"/>
      <c r="M28" s="65"/>
    </row>
    <row r="29" spans="1:14" ht="14">
      <c r="C29" s="45"/>
      <c r="D29" s="26"/>
      <c r="E29" s="41"/>
      <c r="F29" s="41"/>
      <c r="G29" s="41"/>
      <c r="H29" s="41"/>
      <c r="I29" s="41"/>
      <c r="K29" s="41"/>
      <c r="L29" s="64"/>
      <c r="M29" s="65"/>
    </row>
    <row r="30" spans="1:14" ht="14">
      <c r="C30" s="45"/>
      <c r="D30" s="26"/>
      <c r="E30" s="41"/>
      <c r="F30" s="41"/>
      <c r="G30" s="41"/>
      <c r="H30" s="41"/>
      <c r="I30" s="41"/>
      <c r="K30" s="41"/>
      <c r="L30" s="64"/>
      <c r="M30" s="65"/>
    </row>
    <row r="31" spans="1:14" ht="14">
      <c r="C31" s="45"/>
      <c r="D31" s="26"/>
      <c r="E31" s="41"/>
      <c r="F31" s="41"/>
      <c r="G31" s="41"/>
      <c r="H31" s="41"/>
      <c r="I31" s="41"/>
      <c r="K31" s="41"/>
      <c r="L31" s="64"/>
      <c r="M31" s="65"/>
    </row>
    <row r="32" spans="1:14" ht="14">
      <c r="C32" s="45"/>
      <c r="D32" s="26"/>
      <c r="E32" s="41"/>
      <c r="F32" s="41"/>
      <c r="G32" s="41"/>
      <c r="H32" s="41"/>
      <c r="I32" s="41"/>
      <c r="K32" s="41"/>
      <c r="L32" s="64"/>
      <c r="M32" s="65"/>
    </row>
    <row r="33" spans="3:13" ht="14">
      <c r="C33" s="45"/>
      <c r="D33" s="26"/>
      <c r="E33" s="41"/>
      <c r="F33" s="41"/>
      <c r="G33" s="41"/>
      <c r="H33" s="41"/>
      <c r="I33" s="41"/>
      <c r="K33" s="41"/>
      <c r="L33" s="64"/>
      <c r="M33" s="65"/>
    </row>
    <row r="34" spans="3:13" ht="14">
      <c r="C34" s="45"/>
      <c r="D34" s="26"/>
      <c r="E34" s="41"/>
      <c r="F34" s="41"/>
      <c r="G34" s="41"/>
      <c r="H34" s="41"/>
      <c r="I34" s="41"/>
      <c r="K34" s="41"/>
      <c r="L34" s="64"/>
      <c r="M34" s="65"/>
    </row>
    <row r="35" spans="3:13" ht="14">
      <c r="C35" s="45"/>
      <c r="D35" s="26"/>
      <c r="E35" s="41"/>
      <c r="F35" s="41"/>
      <c r="G35" s="41"/>
      <c r="H35" s="41"/>
      <c r="I35" s="41"/>
      <c r="K35" s="41"/>
      <c r="L35" s="64"/>
      <c r="M35" s="65"/>
    </row>
    <row r="36" spans="3:13" ht="14">
      <c r="C36" s="45"/>
      <c r="D36" s="26"/>
      <c r="E36" s="41"/>
      <c r="F36" s="41"/>
      <c r="G36" s="41"/>
      <c r="H36" s="41"/>
      <c r="I36" s="41"/>
      <c r="K36" s="41"/>
      <c r="L36" s="64"/>
      <c r="M36" s="65"/>
    </row>
    <row r="37" spans="3:13" ht="14">
      <c r="C37" s="45"/>
      <c r="D37" s="26"/>
      <c r="E37" s="41"/>
      <c r="F37" s="41"/>
      <c r="G37" s="41"/>
      <c r="H37" s="41"/>
      <c r="I37" s="41"/>
      <c r="K37" s="41"/>
      <c r="L37" s="64"/>
      <c r="M37" s="65"/>
    </row>
    <row r="38" spans="3:13" ht="14">
      <c r="C38" s="45"/>
      <c r="D38" s="26"/>
      <c r="E38" s="41"/>
      <c r="F38" s="41"/>
      <c r="G38" s="41"/>
      <c r="H38" s="41"/>
      <c r="I38" s="41"/>
      <c r="K38" s="41"/>
      <c r="L38" s="64"/>
      <c r="M38" s="65"/>
    </row>
    <row r="39" spans="3:13" ht="14">
      <c r="C39" s="45"/>
      <c r="D39" s="26"/>
      <c r="E39" s="41"/>
      <c r="F39" s="41"/>
      <c r="G39" s="41"/>
      <c r="H39" s="41"/>
      <c r="I39" s="41"/>
      <c r="K39" s="41"/>
      <c r="L39" s="64"/>
      <c r="M39" s="65"/>
    </row>
    <row r="40" spans="3:13" ht="14">
      <c r="C40" s="45"/>
      <c r="D40" s="26"/>
      <c r="E40" s="41"/>
      <c r="F40" s="41"/>
      <c r="G40" s="41"/>
      <c r="H40" s="41"/>
      <c r="I40" s="41"/>
      <c r="K40" s="41"/>
      <c r="L40" s="64"/>
      <c r="M40" s="65"/>
    </row>
    <row r="41" spans="3:13" ht="14">
      <c r="C41" s="45"/>
      <c r="D41" s="26"/>
      <c r="E41" s="41"/>
      <c r="F41" s="41"/>
      <c r="G41" s="41"/>
      <c r="H41" s="41"/>
      <c r="I41" s="41"/>
      <c r="K41" s="41"/>
      <c r="L41" s="64"/>
      <c r="M41" s="65"/>
    </row>
    <row r="42" spans="3:13" ht="14">
      <c r="C42" s="45"/>
      <c r="D42" s="26"/>
      <c r="E42" s="41"/>
      <c r="F42" s="41"/>
      <c r="G42" s="41"/>
      <c r="H42" s="41"/>
      <c r="I42" s="41"/>
      <c r="K42" s="41"/>
      <c r="L42" s="64"/>
      <c r="M42" s="65"/>
    </row>
    <row r="43" spans="3:13" ht="14">
      <c r="C43" s="45"/>
      <c r="D43" s="26"/>
      <c r="E43" s="41"/>
      <c r="F43" s="41"/>
      <c r="G43" s="41"/>
      <c r="H43" s="41"/>
      <c r="I43" s="41"/>
      <c r="K43" s="41"/>
      <c r="L43" s="64"/>
      <c r="M43" s="65"/>
    </row>
    <row r="44" spans="3:13" ht="14">
      <c r="C44" s="45"/>
      <c r="D44" s="26"/>
      <c r="E44" s="41"/>
      <c r="F44" s="41"/>
      <c r="G44" s="41"/>
      <c r="H44" s="41"/>
      <c r="I44" s="41"/>
      <c r="K44" s="41"/>
      <c r="L44" s="64"/>
      <c r="M44" s="65"/>
    </row>
    <row r="45" spans="3:13" ht="14">
      <c r="C45" s="45"/>
      <c r="D45" s="26"/>
      <c r="E45" s="41"/>
      <c r="F45" s="41"/>
      <c r="G45" s="41"/>
      <c r="H45" s="41"/>
      <c r="I45" s="41"/>
      <c r="K45" s="41"/>
      <c r="L45" s="64"/>
      <c r="M45" s="65"/>
    </row>
    <row r="46" spans="3:13" ht="14">
      <c r="C46" s="45"/>
      <c r="D46" s="26"/>
      <c r="E46" s="41"/>
      <c r="F46" s="41"/>
      <c r="G46" s="41"/>
      <c r="H46" s="41"/>
      <c r="I46" s="41"/>
      <c r="K46" s="41"/>
      <c r="L46" s="64"/>
      <c r="M46" s="65"/>
    </row>
    <row r="47" spans="3:13" ht="14">
      <c r="C47" s="45"/>
      <c r="D47" s="26"/>
      <c r="E47" s="41"/>
      <c r="F47" s="41"/>
      <c r="G47" s="41"/>
      <c r="H47" s="41"/>
      <c r="I47" s="41"/>
      <c r="K47" s="41"/>
      <c r="L47" s="64"/>
      <c r="M47" s="65"/>
    </row>
    <row r="48" spans="3:13" ht="14">
      <c r="C48" s="45"/>
      <c r="D48" s="26"/>
      <c r="E48" s="41"/>
      <c r="F48" s="41"/>
      <c r="G48" s="41"/>
      <c r="H48" s="41"/>
      <c r="I48" s="41"/>
      <c r="K48" s="41"/>
      <c r="L48" s="64"/>
      <c r="M48" s="65"/>
    </row>
    <row r="49" spans="3:13" ht="14">
      <c r="C49" s="45"/>
      <c r="D49" s="26"/>
      <c r="E49" s="41"/>
      <c r="F49" s="41"/>
      <c r="G49" s="41"/>
      <c r="H49" s="41"/>
      <c r="I49" s="41"/>
      <c r="K49" s="41"/>
      <c r="L49" s="64"/>
      <c r="M49" s="65"/>
    </row>
    <row r="50" spans="3:13" ht="14">
      <c r="C50" s="45"/>
      <c r="D50" s="26"/>
      <c r="E50" s="41"/>
      <c r="F50" s="41"/>
      <c r="G50" s="41"/>
      <c r="H50" s="41"/>
      <c r="I50" s="41"/>
      <c r="K50" s="41"/>
      <c r="L50" s="64"/>
      <c r="M50" s="65"/>
    </row>
    <row r="51" spans="3:13" ht="14">
      <c r="C51" s="45"/>
      <c r="D51" s="26"/>
      <c r="E51" s="41"/>
      <c r="F51" s="41"/>
      <c r="G51" s="41"/>
      <c r="H51" s="41"/>
      <c r="I51" s="41"/>
      <c r="K51" s="41"/>
      <c r="L51" s="64"/>
      <c r="M51" s="65"/>
    </row>
    <row r="52" spans="3:13" ht="13">
      <c r="C52" s="63"/>
      <c r="E52" s="41"/>
      <c r="F52" s="41"/>
      <c r="G52" s="41"/>
      <c r="H52" s="41"/>
      <c r="I52" s="41"/>
      <c r="K52" s="41"/>
      <c r="L52" s="64"/>
      <c r="M52" s="65"/>
    </row>
    <row r="53" spans="3:13" ht="13">
      <c r="C53" s="63"/>
      <c r="E53" s="41"/>
      <c r="F53" s="41"/>
      <c r="G53" s="41"/>
      <c r="H53" s="41"/>
      <c r="I53" s="41"/>
      <c r="K53" s="41"/>
      <c r="L53" s="64"/>
      <c r="M53" s="65"/>
    </row>
    <row r="54" spans="3:13" ht="13">
      <c r="C54" s="63"/>
      <c r="E54" s="41"/>
      <c r="F54" s="41"/>
      <c r="G54" s="41"/>
      <c r="H54" s="41"/>
      <c r="I54" s="41"/>
      <c r="K54" s="41"/>
      <c r="L54" s="64"/>
      <c r="M54" s="65"/>
    </row>
    <row r="55" spans="3:13" ht="13">
      <c r="C55" s="63"/>
      <c r="E55" s="41"/>
      <c r="F55" s="41"/>
      <c r="G55" s="41"/>
      <c r="H55" s="41"/>
      <c r="I55" s="41"/>
      <c r="K55" s="41"/>
      <c r="L55" s="64"/>
      <c r="M55" s="65"/>
    </row>
    <row r="56" spans="3:13" ht="13">
      <c r="C56" s="63"/>
      <c r="E56" s="41"/>
      <c r="F56" s="41"/>
      <c r="G56" s="41"/>
      <c r="H56" s="41"/>
      <c r="I56" s="41"/>
      <c r="K56" s="41"/>
      <c r="L56" s="64"/>
      <c r="M56" s="65"/>
    </row>
    <row r="57" spans="3:13" ht="13">
      <c r="C57" s="63"/>
      <c r="E57" s="41"/>
      <c r="F57" s="41"/>
      <c r="G57" s="41"/>
      <c r="H57" s="41"/>
      <c r="I57" s="41"/>
      <c r="K57" s="41"/>
      <c r="L57" s="64"/>
      <c r="M57" s="65"/>
    </row>
    <row r="58" spans="3:13" ht="13">
      <c r="C58" s="63"/>
      <c r="E58" s="41"/>
      <c r="F58" s="41"/>
      <c r="G58" s="41"/>
      <c r="H58" s="41"/>
      <c r="I58" s="41"/>
      <c r="K58" s="41"/>
      <c r="L58" s="64"/>
      <c r="M58" s="65"/>
    </row>
    <row r="59" spans="3:13" ht="13">
      <c r="C59" s="63"/>
      <c r="E59" s="41"/>
      <c r="F59" s="41"/>
      <c r="G59" s="41"/>
      <c r="H59" s="41"/>
      <c r="I59" s="41"/>
      <c r="K59" s="41"/>
      <c r="L59" s="64"/>
      <c r="M59" s="65"/>
    </row>
    <row r="60" spans="3:13" ht="13">
      <c r="C60" s="63"/>
      <c r="E60" s="41"/>
      <c r="F60" s="41"/>
      <c r="G60" s="41"/>
      <c r="H60" s="41"/>
      <c r="I60" s="41"/>
      <c r="K60" s="41"/>
      <c r="L60" s="64"/>
      <c r="M60" s="65"/>
    </row>
    <row r="61" spans="3:13" ht="13">
      <c r="C61" s="63"/>
      <c r="E61" s="41"/>
      <c r="F61" s="41"/>
      <c r="G61" s="41"/>
      <c r="H61" s="41"/>
      <c r="I61" s="41"/>
      <c r="K61" s="41"/>
      <c r="L61" s="64"/>
      <c r="M61" s="65"/>
    </row>
    <row r="62" spans="3:13" ht="13">
      <c r="C62" s="63"/>
      <c r="E62" s="41"/>
      <c r="F62" s="41"/>
      <c r="G62" s="41"/>
      <c r="H62" s="41"/>
      <c r="I62" s="41"/>
      <c r="K62" s="41"/>
      <c r="L62" s="64"/>
      <c r="M62" s="65"/>
    </row>
    <row r="63" spans="3:13" ht="13">
      <c r="C63" s="63"/>
      <c r="E63" s="41"/>
      <c r="F63" s="41"/>
      <c r="G63" s="41"/>
      <c r="H63" s="41"/>
      <c r="I63" s="41"/>
      <c r="K63" s="41"/>
      <c r="L63" s="64"/>
      <c r="M63" s="65"/>
    </row>
    <row r="64" spans="3:13" ht="13">
      <c r="C64" s="63"/>
      <c r="E64" s="41"/>
      <c r="F64" s="41"/>
      <c r="G64" s="41"/>
      <c r="H64" s="41"/>
      <c r="I64" s="41"/>
      <c r="K64" s="41"/>
      <c r="L64" s="64"/>
      <c r="M64" s="65"/>
    </row>
    <row r="65" spans="3:13" ht="13">
      <c r="C65" s="63"/>
      <c r="E65" s="41"/>
      <c r="F65" s="41"/>
      <c r="G65" s="41"/>
      <c r="H65" s="41"/>
      <c r="I65" s="41"/>
      <c r="K65" s="41"/>
      <c r="L65" s="64"/>
      <c r="M65" s="65"/>
    </row>
    <row r="66" spans="3:13" ht="13">
      <c r="C66" s="63"/>
      <c r="E66" s="41"/>
      <c r="F66" s="41"/>
      <c r="G66" s="41"/>
      <c r="H66" s="41"/>
      <c r="I66" s="41"/>
      <c r="K66" s="41"/>
      <c r="L66" s="64"/>
      <c r="M66" s="65"/>
    </row>
    <row r="67" spans="3:13" ht="13">
      <c r="C67" s="63"/>
      <c r="E67" s="41"/>
      <c r="F67" s="41"/>
      <c r="G67" s="41"/>
      <c r="H67" s="41"/>
      <c r="I67" s="41"/>
      <c r="K67" s="41"/>
      <c r="L67" s="64"/>
      <c r="M67" s="65"/>
    </row>
    <row r="68" spans="3:13" ht="13">
      <c r="C68" s="63"/>
      <c r="E68" s="41"/>
      <c r="F68" s="41"/>
      <c r="G68" s="41"/>
      <c r="H68" s="41"/>
      <c r="I68" s="41"/>
      <c r="K68" s="41"/>
      <c r="L68" s="64"/>
      <c r="M68" s="65"/>
    </row>
    <row r="69" spans="3:13" ht="13">
      <c r="C69" s="63"/>
      <c r="E69" s="41"/>
      <c r="F69" s="41"/>
      <c r="G69" s="41"/>
      <c r="H69" s="41"/>
      <c r="I69" s="41"/>
      <c r="K69" s="41"/>
      <c r="L69" s="64"/>
      <c r="M69" s="65"/>
    </row>
    <row r="70" spans="3:13" ht="13">
      <c r="C70" s="63"/>
      <c r="E70" s="41"/>
      <c r="F70" s="41"/>
      <c r="G70" s="41"/>
      <c r="H70" s="41"/>
      <c r="I70" s="41"/>
      <c r="K70" s="41"/>
      <c r="L70" s="64"/>
      <c r="M70" s="65"/>
    </row>
    <row r="71" spans="3:13" ht="13">
      <c r="C71" s="63"/>
      <c r="E71" s="41"/>
      <c r="F71" s="41"/>
      <c r="G71" s="41"/>
      <c r="H71" s="41"/>
      <c r="I71" s="41"/>
      <c r="K71" s="41"/>
      <c r="L71" s="64"/>
      <c r="M71" s="65"/>
    </row>
    <row r="72" spans="3:13" ht="13">
      <c r="C72" s="63"/>
      <c r="E72" s="41"/>
      <c r="F72" s="41"/>
      <c r="G72" s="41"/>
      <c r="H72" s="41"/>
      <c r="I72" s="41"/>
      <c r="K72" s="41"/>
      <c r="L72" s="64"/>
      <c r="M72" s="65"/>
    </row>
    <row r="73" spans="3:13" ht="13">
      <c r="C73" s="63"/>
      <c r="E73" s="41"/>
      <c r="F73" s="41"/>
      <c r="G73" s="41"/>
      <c r="H73" s="41"/>
      <c r="I73" s="41"/>
      <c r="K73" s="41"/>
      <c r="L73" s="64"/>
      <c r="M73" s="65"/>
    </row>
    <row r="74" spans="3:13" ht="13">
      <c r="C74" s="63"/>
      <c r="E74" s="41"/>
      <c r="F74" s="41"/>
      <c r="G74" s="41"/>
      <c r="H74" s="41"/>
      <c r="I74" s="41"/>
      <c r="K74" s="41"/>
      <c r="L74" s="64"/>
      <c r="M74" s="65"/>
    </row>
    <row r="75" spans="3:13" ht="13">
      <c r="C75" s="63"/>
      <c r="E75" s="41"/>
      <c r="F75" s="41"/>
      <c r="G75" s="41"/>
      <c r="H75" s="41"/>
      <c r="I75" s="41"/>
      <c r="K75" s="41"/>
      <c r="L75" s="64"/>
      <c r="M75" s="65"/>
    </row>
    <row r="76" spans="3:13" ht="13">
      <c r="C76" s="63"/>
      <c r="E76" s="41"/>
      <c r="F76" s="41"/>
      <c r="G76" s="41"/>
      <c r="H76" s="41"/>
      <c r="I76" s="41"/>
      <c r="K76" s="41"/>
      <c r="L76" s="64"/>
      <c r="M76" s="65"/>
    </row>
    <row r="77" spans="3:13" ht="13">
      <c r="C77" s="63"/>
      <c r="E77" s="41"/>
      <c r="F77" s="41"/>
      <c r="G77" s="41"/>
      <c r="H77" s="41"/>
      <c r="I77" s="41"/>
      <c r="K77" s="41"/>
      <c r="L77" s="64"/>
      <c r="M77" s="65"/>
    </row>
    <row r="78" spans="3:13" ht="13">
      <c r="C78" s="63"/>
      <c r="E78" s="41"/>
      <c r="F78" s="41"/>
      <c r="G78" s="41"/>
      <c r="H78" s="41"/>
      <c r="I78" s="41"/>
      <c r="K78" s="41"/>
      <c r="L78" s="64"/>
      <c r="M78" s="65"/>
    </row>
    <row r="79" spans="3:13" ht="13">
      <c r="C79" s="63"/>
      <c r="E79" s="41"/>
      <c r="F79" s="41"/>
      <c r="G79" s="41"/>
      <c r="H79" s="41"/>
      <c r="I79" s="41"/>
      <c r="K79" s="41"/>
      <c r="L79" s="64"/>
      <c r="M79" s="65"/>
    </row>
    <row r="80" spans="3:13" ht="13">
      <c r="C80" s="63"/>
      <c r="E80" s="41"/>
      <c r="F80" s="41"/>
      <c r="G80" s="41"/>
      <c r="H80" s="41"/>
      <c r="I80" s="41"/>
      <c r="K80" s="41"/>
      <c r="L80" s="64"/>
      <c r="M80" s="65"/>
    </row>
    <row r="81" spans="3:13" ht="13">
      <c r="C81" s="63"/>
      <c r="E81" s="41"/>
      <c r="F81" s="41"/>
      <c r="G81" s="41"/>
      <c r="H81" s="41"/>
      <c r="I81" s="41"/>
      <c r="K81" s="41"/>
      <c r="L81" s="64"/>
      <c r="M81" s="65"/>
    </row>
    <row r="82" spans="3:13" ht="13">
      <c r="C82" s="63"/>
      <c r="E82" s="41"/>
      <c r="F82" s="41"/>
      <c r="G82" s="41"/>
      <c r="H82" s="41"/>
      <c r="I82" s="41"/>
      <c r="K82" s="41"/>
      <c r="L82" s="64"/>
      <c r="M82" s="65"/>
    </row>
    <row r="83" spans="3:13" ht="13">
      <c r="C83" s="63"/>
      <c r="E83" s="41"/>
      <c r="F83" s="41"/>
      <c r="G83" s="41"/>
      <c r="H83" s="41"/>
      <c r="I83" s="41"/>
      <c r="K83" s="41"/>
      <c r="L83" s="64"/>
      <c r="M83" s="65"/>
    </row>
    <row r="84" spans="3:13" ht="13">
      <c r="C84" s="63"/>
      <c r="E84" s="41"/>
      <c r="F84" s="41"/>
      <c r="G84" s="41"/>
      <c r="H84" s="41"/>
      <c r="I84" s="41"/>
      <c r="K84" s="41"/>
      <c r="L84" s="64"/>
      <c r="M84" s="65"/>
    </row>
    <row r="85" spans="3:13" ht="13">
      <c r="C85" s="63"/>
      <c r="E85" s="41"/>
      <c r="F85" s="41"/>
      <c r="G85" s="41"/>
      <c r="H85" s="41"/>
      <c r="I85" s="41"/>
      <c r="K85" s="41"/>
      <c r="L85" s="64"/>
      <c r="M85" s="65"/>
    </row>
    <row r="86" spans="3:13" ht="13">
      <c r="C86" s="63"/>
      <c r="E86" s="41"/>
      <c r="F86" s="41"/>
      <c r="G86" s="41"/>
      <c r="H86" s="41"/>
      <c r="I86" s="41"/>
      <c r="K86" s="41"/>
      <c r="L86" s="64"/>
      <c r="M86" s="65"/>
    </row>
    <row r="87" spans="3:13" ht="13">
      <c r="C87" s="63"/>
      <c r="E87" s="41"/>
      <c r="F87" s="41"/>
      <c r="G87" s="41"/>
      <c r="H87" s="41"/>
      <c r="I87" s="41"/>
      <c r="K87" s="41"/>
      <c r="L87" s="64"/>
      <c r="M87" s="65"/>
    </row>
    <row r="88" spans="3:13" ht="13">
      <c r="C88" s="63"/>
      <c r="E88" s="41"/>
      <c r="F88" s="41"/>
      <c r="G88" s="41"/>
      <c r="H88" s="41"/>
      <c r="I88" s="41"/>
      <c r="K88" s="41"/>
      <c r="L88" s="64"/>
      <c r="M88" s="65"/>
    </row>
    <row r="89" spans="3:13" ht="13">
      <c r="C89" s="63"/>
      <c r="E89" s="41"/>
      <c r="F89" s="41"/>
      <c r="G89" s="41"/>
      <c r="H89" s="41"/>
      <c r="I89" s="41"/>
      <c r="K89" s="41"/>
      <c r="L89" s="64"/>
      <c r="M89" s="65"/>
    </row>
    <row r="90" spans="3:13" ht="13">
      <c r="C90" s="63"/>
      <c r="E90" s="41"/>
      <c r="F90" s="41"/>
      <c r="G90" s="41"/>
      <c r="H90" s="41"/>
      <c r="I90" s="41"/>
      <c r="K90" s="41"/>
      <c r="L90" s="64"/>
      <c r="M90" s="65"/>
    </row>
    <row r="91" spans="3:13" ht="13">
      <c r="C91" s="63"/>
      <c r="E91" s="41"/>
      <c r="F91" s="41"/>
      <c r="G91" s="41"/>
      <c r="H91" s="41"/>
      <c r="I91" s="41"/>
      <c r="K91" s="41"/>
      <c r="L91" s="64"/>
      <c r="M91" s="65"/>
    </row>
    <row r="92" spans="3:13" ht="13">
      <c r="C92" s="63"/>
      <c r="E92" s="41"/>
      <c r="F92" s="41"/>
      <c r="G92" s="41"/>
      <c r="H92" s="41"/>
      <c r="I92" s="41"/>
      <c r="K92" s="41"/>
      <c r="L92" s="64"/>
      <c r="M92" s="65"/>
    </row>
    <row r="93" spans="3:13" ht="13">
      <c r="C93" s="63"/>
      <c r="E93" s="41"/>
      <c r="F93" s="41"/>
      <c r="G93" s="41"/>
      <c r="H93" s="41"/>
      <c r="I93" s="41"/>
      <c r="K93" s="41"/>
      <c r="L93" s="64"/>
      <c r="M93" s="65"/>
    </row>
    <row r="94" spans="3:13" ht="13">
      <c r="C94" s="63"/>
      <c r="E94" s="41"/>
      <c r="F94" s="41"/>
      <c r="G94" s="41"/>
      <c r="H94" s="41"/>
      <c r="I94" s="41"/>
      <c r="K94" s="41"/>
      <c r="L94" s="64"/>
      <c r="M94" s="65"/>
    </row>
    <row r="95" spans="3:13" ht="13">
      <c r="C95" s="63"/>
      <c r="E95" s="41"/>
      <c r="F95" s="41"/>
      <c r="G95" s="41"/>
      <c r="H95" s="41"/>
      <c r="I95" s="41"/>
      <c r="K95" s="41"/>
      <c r="L95" s="64"/>
      <c r="M95" s="65"/>
    </row>
    <row r="96" spans="3:13" ht="13">
      <c r="C96" s="63"/>
      <c r="E96" s="41"/>
      <c r="F96" s="41"/>
      <c r="G96" s="41"/>
      <c r="H96" s="41"/>
      <c r="I96" s="41"/>
      <c r="K96" s="41"/>
      <c r="L96" s="64"/>
      <c r="M96" s="65"/>
    </row>
    <row r="97" spans="3:13" ht="13">
      <c r="C97" s="63"/>
      <c r="E97" s="41"/>
      <c r="F97" s="41"/>
      <c r="G97" s="41"/>
      <c r="H97" s="41"/>
      <c r="I97" s="41"/>
      <c r="K97" s="41"/>
      <c r="L97" s="64"/>
      <c r="M97" s="65"/>
    </row>
    <row r="98" spans="3:13" ht="13">
      <c r="C98" s="63"/>
      <c r="E98" s="41"/>
      <c r="F98" s="41"/>
      <c r="G98" s="41"/>
      <c r="H98" s="41"/>
      <c r="I98" s="41"/>
      <c r="K98" s="41"/>
      <c r="L98" s="64"/>
      <c r="M98" s="65"/>
    </row>
    <row r="99" spans="3:13" ht="13">
      <c r="C99" s="63"/>
      <c r="E99" s="41"/>
      <c r="F99" s="41"/>
      <c r="G99" s="41"/>
      <c r="H99" s="41"/>
      <c r="I99" s="41"/>
      <c r="K99" s="41"/>
      <c r="L99" s="64"/>
      <c r="M99" s="65"/>
    </row>
    <row r="100" spans="3:13" ht="13">
      <c r="C100" s="63"/>
      <c r="E100" s="41"/>
      <c r="F100" s="41"/>
      <c r="G100" s="41"/>
      <c r="H100" s="41"/>
      <c r="I100" s="41"/>
      <c r="K100" s="41"/>
      <c r="L100" s="64"/>
      <c r="M100" s="65"/>
    </row>
    <row r="101" spans="3:13" ht="13">
      <c r="C101" s="63"/>
      <c r="E101" s="41"/>
      <c r="F101" s="41"/>
      <c r="G101" s="41"/>
      <c r="H101" s="41"/>
      <c r="I101" s="41"/>
      <c r="K101" s="41"/>
      <c r="L101" s="64"/>
      <c r="M101" s="65"/>
    </row>
    <row r="102" spans="3:13" ht="13">
      <c r="C102" s="63"/>
      <c r="E102" s="41"/>
      <c r="F102" s="41"/>
      <c r="G102" s="41"/>
      <c r="H102" s="41"/>
      <c r="I102" s="41"/>
      <c r="K102" s="41"/>
      <c r="L102" s="64"/>
      <c r="M102" s="65"/>
    </row>
    <row r="103" spans="3:13" ht="13">
      <c r="C103" s="63"/>
      <c r="E103" s="41"/>
      <c r="F103" s="41"/>
      <c r="G103" s="41"/>
      <c r="H103" s="41"/>
      <c r="I103" s="41"/>
      <c r="K103" s="41"/>
      <c r="L103" s="64"/>
      <c r="M103" s="65"/>
    </row>
    <row r="104" spans="3:13" ht="13">
      <c r="C104" s="63"/>
      <c r="E104" s="41"/>
      <c r="F104" s="41"/>
      <c r="G104" s="41"/>
      <c r="H104" s="41"/>
      <c r="I104" s="41"/>
      <c r="K104" s="41"/>
      <c r="L104" s="64"/>
      <c r="M104" s="65"/>
    </row>
    <row r="105" spans="3:13" ht="13">
      <c r="C105" s="63"/>
      <c r="E105" s="41"/>
      <c r="F105" s="41"/>
      <c r="G105" s="41"/>
      <c r="H105" s="41"/>
      <c r="I105" s="41"/>
      <c r="K105" s="41"/>
      <c r="L105" s="64"/>
      <c r="M105" s="65"/>
    </row>
    <row r="106" spans="3:13" ht="13">
      <c r="C106" s="63"/>
      <c r="E106" s="41"/>
      <c r="F106" s="41"/>
      <c r="G106" s="41"/>
      <c r="H106" s="41"/>
      <c r="I106" s="41"/>
      <c r="K106" s="41"/>
      <c r="L106" s="64"/>
      <c r="M106" s="65"/>
    </row>
    <row r="107" spans="3:13" ht="13">
      <c r="C107" s="63"/>
      <c r="E107" s="41"/>
      <c r="F107" s="41"/>
      <c r="G107" s="41"/>
      <c r="H107" s="41"/>
      <c r="I107" s="41"/>
      <c r="K107" s="41"/>
      <c r="L107" s="64"/>
      <c r="M107" s="65"/>
    </row>
    <row r="108" spans="3:13" ht="13">
      <c r="C108" s="63"/>
      <c r="E108" s="41"/>
      <c r="F108" s="41"/>
      <c r="G108" s="41"/>
      <c r="H108" s="41"/>
      <c r="I108" s="41"/>
      <c r="K108" s="41"/>
      <c r="L108" s="64"/>
      <c r="M108" s="65"/>
    </row>
    <row r="109" spans="3:13" ht="13">
      <c r="C109" s="63"/>
      <c r="E109" s="41"/>
      <c r="F109" s="41"/>
      <c r="G109" s="41"/>
      <c r="H109" s="41"/>
      <c r="I109" s="41"/>
      <c r="K109" s="41"/>
      <c r="L109" s="64"/>
      <c r="M109" s="65"/>
    </row>
    <row r="110" spans="3:13" ht="13">
      <c r="C110" s="63"/>
      <c r="E110" s="41"/>
      <c r="F110" s="41"/>
      <c r="G110" s="41"/>
      <c r="H110" s="41"/>
      <c r="I110" s="41"/>
      <c r="K110" s="41"/>
      <c r="L110" s="64"/>
      <c r="M110" s="65"/>
    </row>
    <row r="111" spans="3:13" ht="13">
      <c r="C111" s="63"/>
      <c r="E111" s="41"/>
      <c r="F111" s="41"/>
      <c r="G111" s="41"/>
      <c r="H111" s="41"/>
      <c r="I111" s="41"/>
      <c r="K111" s="41"/>
      <c r="L111" s="64"/>
      <c r="M111" s="65"/>
    </row>
    <row r="112" spans="3:13" ht="13">
      <c r="C112" s="63"/>
      <c r="E112" s="41"/>
      <c r="F112" s="41"/>
      <c r="G112" s="41"/>
      <c r="H112" s="41"/>
      <c r="I112" s="41"/>
      <c r="K112" s="41"/>
      <c r="L112" s="64"/>
      <c r="M112" s="65"/>
    </row>
    <row r="113" spans="3:13" ht="13">
      <c r="C113" s="63"/>
      <c r="E113" s="41"/>
      <c r="F113" s="41"/>
      <c r="G113" s="41"/>
      <c r="H113" s="41"/>
      <c r="I113" s="41"/>
      <c r="K113" s="41"/>
      <c r="L113" s="64"/>
      <c r="M113" s="65"/>
    </row>
    <row r="114" spans="3:13" ht="13">
      <c r="C114" s="63"/>
      <c r="E114" s="41"/>
      <c r="F114" s="41"/>
      <c r="G114" s="41"/>
      <c r="H114" s="41"/>
      <c r="I114" s="41"/>
      <c r="K114" s="41"/>
      <c r="L114" s="64"/>
      <c r="M114" s="65"/>
    </row>
    <row r="115" spans="3:13" ht="13">
      <c r="C115" s="63"/>
      <c r="E115" s="41"/>
      <c r="F115" s="41"/>
      <c r="G115" s="41"/>
      <c r="H115" s="41"/>
      <c r="I115" s="41"/>
      <c r="K115" s="41"/>
      <c r="L115" s="64"/>
      <c r="M115" s="65"/>
    </row>
    <row r="116" spans="3:13" ht="13">
      <c r="C116" s="63"/>
      <c r="E116" s="41"/>
      <c r="F116" s="41"/>
      <c r="G116" s="41"/>
      <c r="H116" s="41"/>
      <c r="I116" s="41"/>
      <c r="K116" s="41"/>
      <c r="L116" s="64"/>
      <c r="M116" s="65"/>
    </row>
    <row r="117" spans="3:13" ht="13">
      <c r="C117" s="63"/>
      <c r="E117" s="41"/>
      <c r="F117" s="41"/>
      <c r="G117" s="41"/>
      <c r="H117" s="41"/>
      <c r="I117" s="41"/>
      <c r="K117" s="41"/>
      <c r="L117" s="64"/>
      <c r="M117" s="65"/>
    </row>
    <row r="118" spans="3:13" ht="13">
      <c r="C118" s="63"/>
      <c r="E118" s="41"/>
      <c r="F118" s="41"/>
      <c r="G118" s="41"/>
      <c r="H118" s="41"/>
      <c r="I118" s="41"/>
      <c r="K118" s="41"/>
      <c r="L118" s="64"/>
      <c r="M118" s="65"/>
    </row>
    <row r="119" spans="3:13" ht="13">
      <c r="C119" s="63"/>
      <c r="E119" s="41"/>
      <c r="F119" s="41"/>
      <c r="G119" s="41"/>
      <c r="H119" s="41"/>
      <c r="I119" s="41"/>
      <c r="K119" s="41"/>
      <c r="L119" s="64"/>
      <c r="M119" s="65"/>
    </row>
    <row r="120" spans="3:13" ht="13">
      <c r="C120" s="63"/>
      <c r="E120" s="41"/>
      <c r="F120" s="41"/>
      <c r="G120" s="41"/>
      <c r="H120" s="41"/>
      <c r="I120" s="41"/>
      <c r="K120" s="41"/>
      <c r="L120" s="64"/>
      <c r="M120" s="65"/>
    </row>
    <row r="121" spans="3:13" ht="13">
      <c r="C121" s="63"/>
      <c r="E121" s="41"/>
      <c r="F121" s="41"/>
      <c r="G121" s="41"/>
      <c r="H121" s="41"/>
      <c r="I121" s="41"/>
      <c r="K121" s="41"/>
      <c r="L121" s="64"/>
      <c r="M121" s="65"/>
    </row>
    <row r="122" spans="3:13" ht="13">
      <c r="C122" s="63"/>
      <c r="E122" s="41"/>
      <c r="F122" s="41"/>
      <c r="G122" s="41"/>
      <c r="H122" s="41"/>
      <c r="I122" s="41"/>
      <c r="K122" s="41"/>
      <c r="L122" s="64"/>
      <c r="M122" s="65"/>
    </row>
    <row r="123" spans="3:13" ht="13">
      <c r="C123" s="63"/>
      <c r="E123" s="41"/>
      <c r="F123" s="41"/>
      <c r="G123" s="41"/>
      <c r="H123" s="41"/>
      <c r="I123" s="41"/>
      <c r="K123" s="41"/>
      <c r="L123" s="64"/>
      <c r="M123" s="65"/>
    </row>
    <row r="124" spans="3:13" ht="13">
      <c r="C124" s="63"/>
      <c r="E124" s="41"/>
      <c r="F124" s="41"/>
      <c r="G124" s="41"/>
      <c r="H124" s="41"/>
      <c r="I124" s="41"/>
      <c r="K124" s="41"/>
      <c r="L124" s="64"/>
      <c r="M124" s="65"/>
    </row>
    <row r="125" spans="3:13" ht="13">
      <c r="C125" s="63"/>
      <c r="E125" s="41"/>
      <c r="F125" s="41"/>
      <c r="G125" s="41"/>
      <c r="H125" s="41"/>
      <c r="I125" s="41"/>
      <c r="K125" s="41"/>
      <c r="L125" s="64"/>
      <c r="M125" s="65"/>
    </row>
    <row r="126" spans="3:13" ht="13">
      <c r="C126" s="63"/>
      <c r="E126" s="41"/>
      <c r="F126" s="41"/>
      <c r="G126" s="41"/>
      <c r="H126" s="41"/>
      <c r="I126" s="41"/>
      <c r="K126" s="41"/>
      <c r="L126" s="64"/>
      <c r="M126" s="65"/>
    </row>
    <row r="127" spans="3:13" ht="13">
      <c r="C127" s="63"/>
      <c r="E127" s="41"/>
      <c r="F127" s="41"/>
      <c r="G127" s="41"/>
      <c r="H127" s="41"/>
      <c r="I127" s="41"/>
      <c r="K127" s="41"/>
      <c r="L127" s="64"/>
      <c r="M127" s="65"/>
    </row>
    <row r="128" spans="3:13" ht="13">
      <c r="C128" s="63"/>
      <c r="E128" s="41"/>
      <c r="F128" s="41"/>
      <c r="G128" s="41"/>
      <c r="H128" s="41"/>
      <c r="I128" s="41"/>
      <c r="K128" s="41"/>
      <c r="L128" s="64"/>
      <c r="M128" s="65"/>
    </row>
    <row r="129" spans="3:13" ht="13">
      <c r="C129" s="63"/>
      <c r="E129" s="41"/>
      <c r="F129" s="41"/>
      <c r="G129" s="41"/>
      <c r="H129" s="41"/>
      <c r="I129" s="41"/>
      <c r="K129" s="41"/>
      <c r="L129" s="64"/>
      <c r="M129" s="65"/>
    </row>
    <row r="130" spans="3:13" ht="13">
      <c r="C130" s="63"/>
      <c r="E130" s="41"/>
      <c r="F130" s="41"/>
      <c r="G130" s="41"/>
      <c r="H130" s="41"/>
      <c r="I130" s="41"/>
      <c r="K130" s="41"/>
      <c r="L130" s="64"/>
      <c r="M130" s="65"/>
    </row>
    <row r="131" spans="3:13" ht="13">
      <c r="C131" s="63"/>
      <c r="E131" s="41"/>
      <c r="F131" s="41"/>
      <c r="G131" s="41"/>
      <c r="H131" s="41"/>
      <c r="I131" s="41"/>
      <c r="K131" s="41"/>
      <c r="L131" s="64"/>
      <c r="M131" s="65"/>
    </row>
    <row r="132" spans="3:13" ht="13">
      <c r="C132" s="63"/>
      <c r="E132" s="41"/>
      <c r="F132" s="41"/>
      <c r="G132" s="41"/>
      <c r="H132" s="41"/>
      <c r="I132" s="41"/>
      <c r="K132" s="41"/>
      <c r="L132" s="64"/>
      <c r="M132" s="65"/>
    </row>
    <row r="133" spans="3:13" ht="13">
      <c r="C133" s="63"/>
      <c r="E133" s="41"/>
      <c r="F133" s="41"/>
      <c r="G133" s="41"/>
      <c r="H133" s="41"/>
      <c r="I133" s="41"/>
      <c r="K133" s="41"/>
      <c r="L133" s="64"/>
      <c r="M133" s="65"/>
    </row>
    <row r="134" spans="3:13" ht="13">
      <c r="C134" s="63"/>
      <c r="E134" s="41"/>
      <c r="F134" s="41"/>
      <c r="G134" s="41"/>
      <c r="H134" s="41"/>
      <c r="I134" s="41"/>
      <c r="K134" s="41"/>
      <c r="L134" s="64"/>
      <c r="M134" s="65"/>
    </row>
    <row r="135" spans="3:13" ht="13">
      <c r="C135" s="63"/>
      <c r="E135" s="41"/>
      <c r="F135" s="41"/>
      <c r="G135" s="41"/>
      <c r="H135" s="41"/>
      <c r="I135" s="41"/>
      <c r="K135" s="41"/>
      <c r="L135" s="64"/>
      <c r="M135" s="65"/>
    </row>
    <row r="136" spans="3:13" ht="13">
      <c r="C136" s="63"/>
      <c r="E136" s="41"/>
      <c r="F136" s="41"/>
      <c r="G136" s="41"/>
      <c r="H136" s="41"/>
      <c r="I136" s="41"/>
      <c r="K136" s="41"/>
      <c r="L136" s="64"/>
      <c r="M136" s="65"/>
    </row>
    <row r="137" spans="3:13" ht="13">
      <c r="C137" s="63"/>
      <c r="E137" s="41"/>
      <c r="F137" s="41"/>
      <c r="G137" s="41"/>
      <c r="H137" s="41"/>
      <c r="I137" s="41"/>
      <c r="K137" s="41"/>
      <c r="L137" s="64"/>
      <c r="M137" s="65"/>
    </row>
    <row r="138" spans="3:13" ht="13">
      <c r="C138" s="63"/>
      <c r="E138" s="41"/>
      <c r="F138" s="41"/>
      <c r="G138" s="41"/>
      <c r="H138" s="41"/>
      <c r="I138" s="41"/>
      <c r="K138" s="41"/>
      <c r="L138" s="64"/>
      <c r="M138" s="65"/>
    </row>
    <row r="139" spans="3:13" ht="13">
      <c r="C139" s="63"/>
      <c r="E139" s="41"/>
      <c r="F139" s="41"/>
      <c r="G139" s="41"/>
      <c r="H139" s="41"/>
      <c r="I139" s="41"/>
      <c r="K139" s="41"/>
      <c r="L139" s="64"/>
      <c r="M139" s="65"/>
    </row>
    <row r="140" spans="3:13" ht="13">
      <c r="C140" s="63"/>
      <c r="E140" s="41"/>
      <c r="F140" s="41"/>
      <c r="G140" s="41"/>
      <c r="H140" s="41"/>
      <c r="I140" s="41"/>
      <c r="K140" s="41"/>
      <c r="L140" s="64"/>
      <c r="M140" s="65"/>
    </row>
    <row r="141" spans="3:13" ht="13">
      <c r="C141" s="63"/>
      <c r="E141" s="41"/>
      <c r="F141" s="41"/>
      <c r="G141" s="41"/>
      <c r="H141" s="41"/>
      <c r="I141" s="41"/>
      <c r="K141" s="41"/>
      <c r="L141" s="64"/>
      <c r="M141" s="65"/>
    </row>
    <row r="142" spans="3:13" ht="13">
      <c r="C142" s="63"/>
      <c r="E142" s="41"/>
      <c r="F142" s="41"/>
      <c r="G142" s="41"/>
      <c r="H142" s="41"/>
      <c r="I142" s="41"/>
      <c r="K142" s="41"/>
      <c r="L142" s="64"/>
      <c r="M142" s="65"/>
    </row>
    <row r="143" spans="3:13" ht="13">
      <c r="C143" s="63"/>
      <c r="E143" s="41"/>
      <c r="F143" s="41"/>
      <c r="G143" s="41"/>
      <c r="H143" s="41"/>
      <c r="I143" s="41"/>
      <c r="K143" s="41"/>
      <c r="L143" s="64"/>
      <c r="M143" s="65"/>
    </row>
    <row r="144" spans="3:13" ht="13">
      <c r="C144" s="63"/>
      <c r="E144" s="41"/>
      <c r="F144" s="41"/>
      <c r="G144" s="41"/>
      <c r="H144" s="41"/>
      <c r="I144" s="41"/>
      <c r="K144" s="41"/>
      <c r="L144" s="64"/>
      <c r="M144" s="65"/>
    </row>
    <row r="145" spans="3:13" ht="13">
      <c r="C145" s="63"/>
      <c r="E145" s="41"/>
      <c r="F145" s="41"/>
      <c r="G145" s="41"/>
      <c r="H145" s="41"/>
      <c r="I145" s="41"/>
      <c r="K145" s="41"/>
      <c r="L145" s="64"/>
      <c r="M145" s="65"/>
    </row>
    <row r="146" spans="3:13" ht="13">
      <c r="C146" s="63"/>
      <c r="E146" s="41"/>
      <c r="F146" s="41"/>
      <c r="G146" s="41"/>
      <c r="H146" s="41"/>
      <c r="I146" s="41"/>
      <c r="K146" s="41"/>
      <c r="L146" s="64"/>
      <c r="M146" s="65"/>
    </row>
    <row r="147" spans="3:13" ht="13">
      <c r="C147" s="63"/>
      <c r="E147" s="41"/>
      <c r="F147" s="41"/>
      <c r="G147" s="41"/>
      <c r="H147" s="41"/>
      <c r="I147" s="41"/>
      <c r="K147" s="41"/>
      <c r="L147" s="64"/>
      <c r="M147" s="65"/>
    </row>
    <row r="148" spans="3:13" ht="13">
      <c r="C148" s="63"/>
      <c r="E148" s="41"/>
      <c r="F148" s="41"/>
      <c r="G148" s="41"/>
      <c r="H148" s="41"/>
      <c r="I148" s="41"/>
      <c r="K148" s="41"/>
      <c r="L148" s="64"/>
      <c r="M148" s="65"/>
    </row>
    <row r="149" spans="3:13" ht="13">
      <c r="C149" s="63"/>
      <c r="E149" s="41"/>
      <c r="F149" s="41"/>
      <c r="G149" s="41"/>
      <c r="H149" s="41"/>
      <c r="I149" s="41"/>
      <c r="K149" s="41"/>
      <c r="L149" s="64"/>
      <c r="M149" s="65"/>
    </row>
    <row r="150" spans="3:13" ht="13">
      <c r="C150" s="63"/>
      <c r="E150" s="41"/>
      <c r="F150" s="41"/>
      <c r="G150" s="41"/>
      <c r="H150" s="41"/>
      <c r="I150" s="41"/>
      <c r="K150" s="41"/>
      <c r="L150" s="64"/>
      <c r="M150" s="65"/>
    </row>
    <row r="151" spans="3:13" ht="13">
      <c r="C151" s="63"/>
      <c r="E151" s="41"/>
      <c r="F151" s="41"/>
      <c r="G151" s="41"/>
      <c r="H151" s="41"/>
      <c r="I151" s="41"/>
      <c r="K151" s="41"/>
      <c r="L151" s="64"/>
      <c r="M151" s="65"/>
    </row>
    <row r="152" spans="3:13" ht="13">
      <c r="C152" s="63"/>
      <c r="E152" s="41"/>
      <c r="F152" s="41"/>
      <c r="G152" s="41"/>
      <c r="H152" s="41"/>
      <c r="I152" s="41"/>
      <c r="K152" s="41"/>
      <c r="L152" s="64"/>
      <c r="M152" s="65"/>
    </row>
    <row r="153" spans="3:13" ht="13">
      <c r="C153" s="63"/>
      <c r="E153" s="41"/>
      <c r="F153" s="41"/>
      <c r="G153" s="41"/>
      <c r="H153" s="41"/>
      <c r="I153" s="41"/>
      <c r="K153" s="41"/>
      <c r="L153" s="64"/>
      <c r="M153" s="65"/>
    </row>
    <row r="154" spans="3:13" ht="13">
      <c r="C154" s="63"/>
      <c r="E154" s="41"/>
      <c r="F154" s="41"/>
      <c r="G154" s="41"/>
      <c r="H154" s="41"/>
      <c r="I154" s="41"/>
      <c r="K154" s="41"/>
      <c r="L154" s="64"/>
      <c r="M154" s="65"/>
    </row>
    <row r="155" spans="3:13" ht="13">
      <c r="C155" s="63"/>
      <c r="E155" s="41"/>
      <c r="F155" s="41"/>
      <c r="G155" s="41"/>
      <c r="H155" s="41"/>
      <c r="I155" s="41"/>
      <c r="K155" s="41"/>
      <c r="L155" s="64"/>
      <c r="M155" s="65"/>
    </row>
    <row r="156" spans="3:13" ht="13">
      <c r="C156" s="63"/>
      <c r="E156" s="41"/>
      <c r="F156" s="41"/>
      <c r="G156" s="41"/>
      <c r="H156" s="41"/>
      <c r="I156" s="41"/>
      <c r="K156" s="41"/>
      <c r="L156" s="64"/>
      <c r="M156" s="65"/>
    </row>
    <row r="157" spans="3:13" ht="13">
      <c r="C157" s="63"/>
      <c r="E157" s="41"/>
      <c r="F157" s="41"/>
      <c r="G157" s="41"/>
      <c r="H157" s="41"/>
      <c r="I157" s="41"/>
      <c r="K157" s="41"/>
      <c r="L157" s="64"/>
      <c r="M157" s="65"/>
    </row>
    <row r="158" spans="3:13" ht="13">
      <c r="C158" s="63"/>
      <c r="E158" s="41"/>
      <c r="F158" s="41"/>
      <c r="G158" s="41"/>
      <c r="H158" s="41"/>
      <c r="I158" s="41"/>
      <c r="K158" s="41"/>
      <c r="L158" s="64"/>
      <c r="M158" s="65"/>
    </row>
    <row r="159" spans="3:13" ht="13">
      <c r="C159" s="63"/>
      <c r="E159" s="41"/>
      <c r="F159" s="41"/>
      <c r="G159" s="41"/>
      <c r="H159" s="41"/>
      <c r="I159" s="41"/>
      <c r="K159" s="41"/>
      <c r="L159" s="64"/>
      <c r="M159" s="65"/>
    </row>
    <row r="160" spans="3:13" ht="13">
      <c r="C160" s="63"/>
      <c r="E160" s="41"/>
      <c r="F160" s="41"/>
      <c r="G160" s="41"/>
      <c r="H160" s="41"/>
      <c r="I160" s="41"/>
      <c r="K160" s="41"/>
      <c r="L160" s="64"/>
      <c r="M160" s="65"/>
    </row>
    <row r="161" spans="3:13" ht="13">
      <c r="C161" s="63"/>
      <c r="E161" s="41"/>
      <c r="F161" s="41"/>
      <c r="G161" s="41"/>
      <c r="H161" s="41"/>
      <c r="I161" s="41"/>
      <c r="K161" s="41"/>
      <c r="L161" s="64"/>
      <c r="M161" s="65"/>
    </row>
    <row r="162" spans="3:13" ht="13">
      <c r="C162" s="63"/>
      <c r="E162" s="41"/>
      <c r="F162" s="41"/>
      <c r="G162" s="41"/>
      <c r="H162" s="41"/>
      <c r="I162" s="41"/>
      <c r="K162" s="41"/>
      <c r="L162" s="64"/>
      <c r="M162" s="65"/>
    </row>
    <row r="163" spans="3:13" ht="13">
      <c r="C163" s="63"/>
      <c r="E163" s="41"/>
      <c r="F163" s="41"/>
      <c r="G163" s="41"/>
      <c r="H163" s="41"/>
      <c r="I163" s="41"/>
      <c r="K163" s="41"/>
      <c r="L163" s="64"/>
      <c r="M163" s="65"/>
    </row>
    <row r="164" spans="3:13" ht="13">
      <c r="C164" s="63"/>
      <c r="E164" s="41"/>
      <c r="F164" s="41"/>
      <c r="G164" s="41"/>
      <c r="H164" s="41"/>
      <c r="I164" s="41"/>
      <c r="K164" s="41"/>
      <c r="L164" s="64"/>
      <c r="M164" s="65"/>
    </row>
    <row r="165" spans="3:13" ht="13">
      <c r="C165" s="63"/>
      <c r="E165" s="41"/>
      <c r="F165" s="41"/>
      <c r="G165" s="41"/>
      <c r="H165" s="41"/>
      <c r="I165" s="41"/>
      <c r="K165" s="41"/>
      <c r="L165" s="64"/>
      <c r="M165" s="65"/>
    </row>
    <row r="166" spans="3:13" ht="13">
      <c r="C166" s="63"/>
      <c r="E166" s="41"/>
      <c r="F166" s="41"/>
      <c r="G166" s="41"/>
      <c r="H166" s="41"/>
      <c r="I166" s="41"/>
      <c r="K166" s="41"/>
      <c r="L166" s="64"/>
      <c r="M166" s="65"/>
    </row>
    <row r="167" spans="3:13" ht="13">
      <c r="C167" s="63"/>
      <c r="E167" s="41"/>
      <c r="F167" s="41"/>
      <c r="G167" s="41"/>
      <c r="H167" s="41"/>
      <c r="I167" s="41"/>
      <c r="K167" s="41"/>
      <c r="L167" s="64"/>
      <c r="M167" s="65"/>
    </row>
    <row r="168" spans="3:13" ht="13">
      <c r="C168" s="63"/>
      <c r="E168" s="41"/>
      <c r="F168" s="41"/>
      <c r="G168" s="41"/>
      <c r="H168" s="41"/>
      <c r="I168" s="41"/>
      <c r="K168" s="41"/>
      <c r="L168" s="64"/>
      <c r="M168" s="65"/>
    </row>
    <row r="169" spans="3:13" ht="13">
      <c r="C169" s="63"/>
      <c r="E169" s="41"/>
      <c r="F169" s="41"/>
      <c r="G169" s="41"/>
      <c r="H169" s="41"/>
      <c r="I169" s="41"/>
      <c r="K169" s="41"/>
      <c r="L169" s="64"/>
      <c r="M169" s="65"/>
    </row>
    <row r="170" spans="3:13" ht="13">
      <c r="C170" s="63"/>
      <c r="E170" s="41"/>
      <c r="F170" s="41"/>
      <c r="G170" s="41"/>
      <c r="H170" s="41"/>
      <c r="I170" s="41"/>
      <c r="K170" s="41"/>
      <c r="L170" s="64"/>
      <c r="M170" s="65"/>
    </row>
    <row r="171" spans="3:13" ht="13">
      <c r="C171" s="63"/>
      <c r="E171" s="41"/>
      <c r="F171" s="41"/>
      <c r="G171" s="41"/>
      <c r="H171" s="41"/>
      <c r="I171" s="41"/>
      <c r="K171" s="41"/>
      <c r="L171" s="64"/>
      <c r="M171" s="65"/>
    </row>
    <row r="172" spans="3:13" ht="13">
      <c r="C172" s="63"/>
      <c r="E172" s="41"/>
      <c r="F172" s="41"/>
      <c r="G172" s="41"/>
      <c r="H172" s="41"/>
      <c r="I172" s="41"/>
      <c r="K172" s="41"/>
      <c r="L172" s="64"/>
      <c r="M172" s="65"/>
    </row>
    <row r="173" spans="3:13" ht="13">
      <c r="C173" s="63"/>
      <c r="E173" s="41"/>
      <c r="F173" s="41"/>
      <c r="G173" s="41"/>
      <c r="H173" s="41"/>
      <c r="I173" s="41"/>
      <c r="K173" s="41"/>
      <c r="L173" s="64"/>
      <c r="M173" s="65"/>
    </row>
    <row r="174" spans="3:13" ht="13">
      <c r="C174" s="63"/>
      <c r="E174" s="41"/>
      <c r="F174" s="41"/>
      <c r="G174" s="41"/>
      <c r="H174" s="41"/>
      <c r="I174" s="41"/>
      <c r="K174" s="41"/>
      <c r="L174" s="64"/>
      <c r="M174" s="65"/>
    </row>
    <row r="175" spans="3:13" ht="13">
      <c r="C175" s="63"/>
      <c r="E175" s="41"/>
      <c r="F175" s="41"/>
      <c r="G175" s="41"/>
      <c r="H175" s="41"/>
      <c r="I175" s="41"/>
      <c r="K175" s="41"/>
      <c r="L175" s="64"/>
      <c r="M175" s="65"/>
    </row>
    <row r="176" spans="3:13" ht="13">
      <c r="C176" s="63"/>
      <c r="E176" s="41"/>
      <c r="F176" s="41"/>
      <c r="G176" s="41"/>
      <c r="H176" s="41"/>
      <c r="I176" s="41"/>
      <c r="K176" s="41"/>
      <c r="L176" s="64"/>
      <c r="M176" s="65"/>
    </row>
    <row r="177" spans="3:13" ht="13">
      <c r="C177" s="63"/>
      <c r="E177" s="41"/>
      <c r="F177" s="41"/>
      <c r="G177" s="41"/>
      <c r="H177" s="41"/>
      <c r="I177" s="41"/>
      <c r="K177" s="41"/>
      <c r="L177" s="64"/>
      <c r="M177" s="65"/>
    </row>
    <row r="178" spans="3:13" ht="13">
      <c r="C178" s="63"/>
      <c r="E178" s="41"/>
      <c r="F178" s="41"/>
      <c r="G178" s="41"/>
      <c r="H178" s="41"/>
      <c r="I178" s="41"/>
      <c r="K178" s="41"/>
      <c r="L178" s="64"/>
      <c r="M178" s="65"/>
    </row>
    <row r="179" spans="3:13" ht="13">
      <c r="C179" s="63"/>
      <c r="E179" s="41"/>
      <c r="F179" s="41"/>
      <c r="G179" s="41"/>
      <c r="H179" s="41"/>
      <c r="I179" s="41"/>
      <c r="K179" s="41"/>
      <c r="L179" s="64"/>
      <c r="M179" s="65"/>
    </row>
    <row r="180" spans="3:13" ht="13">
      <c r="C180" s="63"/>
      <c r="E180" s="41"/>
      <c r="F180" s="41"/>
      <c r="G180" s="41"/>
      <c r="H180" s="41"/>
      <c r="I180" s="41"/>
      <c r="K180" s="41"/>
      <c r="L180" s="64"/>
      <c r="M180" s="65"/>
    </row>
    <row r="181" spans="3:13" ht="13">
      <c r="C181" s="63"/>
      <c r="E181" s="41"/>
      <c r="F181" s="41"/>
      <c r="G181" s="41"/>
      <c r="H181" s="41"/>
      <c r="I181" s="41"/>
      <c r="K181" s="41"/>
      <c r="L181" s="64"/>
      <c r="M181" s="65"/>
    </row>
    <row r="182" spans="3:13" ht="13">
      <c r="C182" s="63"/>
      <c r="E182" s="41"/>
      <c r="F182" s="41"/>
      <c r="G182" s="41"/>
      <c r="H182" s="41"/>
      <c r="I182" s="41"/>
      <c r="K182" s="41"/>
      <c r="L182" s="64"/>
      <c r="M182" s="65"/>
    </row>
    <row r="183" spans="3:13" ht="13">
      <c r="C183" s="63"/>
      <c r="E183" s="41"/>
      <c r="F183" s="41"/>
      <c r="G183" s="41"/>
      <c r="H183" s="41"/>
      <c r="I183" s="41"/>
      <c r="K183" s="41"/>
      <c r="L183" s="64"/>
      <c r="M183" s="65"/>
    </row>
    <row r="184" spans="3:13" ht="13">
      <c r="C184" s="63"/>
      <c r="E184" s="41"/>
      <c r="F184" s="41"/>
      <c r="G184" s="41"/>
      <c r="H184" s="41"/>
      <c r="I184" s="41"/>
      <c r="K184" s="41"/>
      <c r="L184" s="64"/>
      <c r="M184" s="65"/>
    </row>
    <row r="185" spans="3:13" ht="13">
      <c r="C185" s="63"/>
      <c r="E185" s="41"/>
      <c r="F185" s="41"/>
      <c r="G185" s="41"/>
      <c r="H185" s="41"/>
      <c r="I185" s="41"/>
      <c r="K185" s="41"/>
      <c r="L185" s="64"/>
      <c r="M185" s="65"/>
    </row>
    <row r="186" spans="3:13" ht="13">
      <c r="C186" s="63"/>
      <c r="E186" s="41"/>
      <c r="F186" s="41"/>
      <c r="G186" s="41"/>
      <c r="H186" s="41"/>
      <c r="I186" s="41"/>
      <c r="K186" s="41"/>
      <c r="L186" s="64"/>
      <c r="M186" s="65"/>
    </row>
    <row r="187" spans="3:13" ht="13">
      <c r="C187" s="63"/>
      <c r="E187" s="41"/>
      <c r="F187" s="41"/>
      <c r="G187" s="41"/>
      <c r="H187" s="41"/>
      <c r="I187" s="41"/>
      <c r="K187" s="41"/>
      <c r="L187" s="64"/>
      <c r="M187" s="65"/>
    </row>
    <row r="188" spans="3:13" ht="13">
      <c r="C188" s="63"/>
      <c r="E188" s="41"/>
      <c r="F188" s="41"/>
      <c r="G188" s="41"/>
      <c r="H188" s="41"/>
      <c r="I188" s="41"/>
      <c r="K188" s="41"/>
      <c r="L188" s="64"/>
      <c r="M188" s="65"/>
    </row>
    <row r="189" spans="3:13" ht="13">
      <c r="C189" s="63"/>
      <c r="E189" s="41"/>
      <c r="F189" s="41"/>
      <c r="G189" s="41"/>
      <c r="H189" s="41"/>
      <c r="I189" s="41"/>
      <c r="K189" s="41"/>
      <c r="L189" s="64"/>
      <c r="M189" s="65"/>
    </row>
    <row r="190" spans="3:13" ht="13">
      <c r="C190" s="63"/>
      <c r="E190" s="41"/>
      <c r="F190" s="41"/>
      <c r="G190" s="41"/>
      <c r="H190" s="41"/>
      <c r="I190" s="41"/>
      <c r="K190" s="41"/>
      <c r="L190" s="64"/>
      <c r="M190" s="65"/>
    </row>
    <row r="191" spans="3:13" ht="13">
      <c r="C191" s="63"/>
      <c r="E191" s="41"/>
      <c r="F191" s="41"/>
      <c r="G191" s="41"/>
      <c r="H191" s="41"/>
      <c r="I191" s="41"/>
      <c r="K191" s="41"/>
      <c r="L191" s="64"/>
      <c r="M191" s="65"/>
    </row>
    <row r="192" spans="3:13" ht="13">
      <c r="C192" s="63"/>
      <c r="E192" s="41"/>
      <c r="F192" s="41"/>
      <c r="G192" s="41"/>
      <c r="H192" s="41"/>
      <c r="I192" s="41"/>
      <c r="K192" s="41"/>
      <c r="L192" s="64"/>
      <c r="M192" s="65"/>
    </row>
    <row r="193" spans="3:13" ht="13">
      <c r="C193" s="63"/>
      <c r="E193" s="41"/>
      <c r="F193" s="41"/>
      <c r="G193" s="41"/>
      <c r="H193" s="41"/>
      <c r="I193" s="41"/>
      <c r="K193" s="41"/>
      <c r="L193" s="64"/>
      <c r="M193" s="65"/>
    </row>
    <row r="194" spans="3:13" ht="13">
      <c r="C194" s="63"/>
      <c r="E194" s="41"/>
      <c r="F194" s="41"/>
      <c r="G194" s="41"/>
      <c r="H194" s="41"/>
      <c r="I194" s="41"/>
      <c r="K194" s="41"/>
      <c r="L194" s="64"/>
      <c r="M194" s="65"/>
    </row>
    <row r="195" spans="3:13" ht="13">
      <c r="C195" s="63"/>
      <c r="E195" s="41"/>
      <c r="F195" s="41"/>
      <c r="G195" s="41"/>
      <c r="H195" s="41"/>
      <c r="I195" s="41"/>
      <c r="K195" s="41"/>
      <c r="L195" s="64"/>
      <c r="M195" s="65"/>
    </row>
    <row r="196" spans="3:13" ht="13">
      <c r="C196" s="63"/>
      <c r="E196" s="41"/>
      <c r="F196" s="41"/>
      <c r="G196" s="41"/>
      <c r="H196" s="41"/>
      <c r="I196" s="41"/>
      <c r="K196" s="41"/>
      <c r="L196" s="64"/>
      <c r="M196" s="65"/>
    </row>
    <row r="197" spans="3:13" ht="13">
      <c r="C197" s="63"/>
      <c r="E197" s="41"/>
      <c r="F197" s="41"/>
      <c r="G197" s="41"/>
      <c r="H197" s="41"/>
      <c r="I197" s="41"/>
      <c r="K197" s="41"/>
      <c r="L197" s="64"/>
      <c r="M197" s="65"/>
    </row>
    <row r="198" spans="3:13" ht="13">
      <c r="C198" s="63"/>
      <c r="E198" s="41"/>
      <c r="F198" s="41"/>
      <c r="G198" s="41"/>
      <c r="H198" s="41"/>
      <c r="I198" s="41"/>
      <c r="K198" s="41"/>
      <c r="L198" s="64"/>
      <c r="M198" s="65"/>
    </row>
    <row r="199" spans="3:13" ht="13">
      <c r="C199" s="63"/>
      <c r="E199" s="41"/>
      <c r="F199" s="41"/>
      <c r="G199" s="41"/>
      <c r="H199" s="41"/>
      <c r="I199" s="41"/>
      <c r="K199" s="41"/>
      <c r="L199" s="64"/>
      <c r="M199" s="65"/>
    </row>
    <row r="200" spans="3:13" ht="13">
      <c r="C200" s="63"/>
      <c r="E200" s="41"/>
      <c r="F200" s="41"/>
      <c r="G200" s="41"/>
      <c r="H200" s="41"/>
      <c r="I200" s="41"/>
      <c r="K200" s="41"/>
      <c r="L200" s="64"/>
      <c r="M200" s="65"/>
    </row>
    <row r="201" spans="3:13" ht="13">
      <c r="C201" s="63"/>
      <c r="E201" s="41"/>
      <c r="F201" s="41"/>
      <c r="G201" s="41"/>
      <c r="H201" s="41"/>
      <c r="I201" s="41"/>
      <c r="K201" s="41"/>
      <c r="L201" s="64"/>
      <c r="M201" s="65"/>
    </row>
    <row r="202" spans="3:13" ht="13">
      <c r="C202" s="63"/>
      <c r="E202" s="41"/>
      <c r="F202" s="41"/>
      <c r="G202" s="41"/>
      <c r="H202" s="41"/>
      <c r="I202" s="41"/>
      <c r="K202" s="41"/>
      <c r="L202" s="64"/>
      <c r="M202" s="65"/>
    </row>
    <row r="203" spans="3:13" ht="13">
      <c r="C203" s="63"/>
      <c r="E203" s="41"/>
      <c r="F203" s="41"/>
      <c r="G203" s="41"/>
      <c r="H203" s="41"/>
      <c r="I203" s="41"/>
      <c r="K203" s="41"/>
      <c r="L203" s="64"/>
      <c r="M203" s="65"/>
    </row>
    <row r="204" spans="3:13" ht="13">
      <c r="C204" s="63"/>
      <c r="E204" s="41"/>
      <c r="F204" s="41"/>
      <c r="G204" s="41"/>
      <c r="H204" s="41"/>
      <c r="I204" s="41"/>
      <c r="K204" s="41"/>
      <c r="L204" s="64"/>
      <c r="M204" s="65"/>
    </row>
    <row r="205" spans="3:13" ht="13">
      <c r="C205" s="63"/>
      <c r="E205" s="41"/>
      <c r="F205" s="41"/>
      <c r="G205" s="41"/>
      <c r="H205" s="41"/>
      <c r="I205" s="41"/>
      <c r="K205" s="41"/>
      <c r="L205" s="64"/>
      <c r="M205" s="65"/>
    </row>
    <row r="206" spans="3:13" ht="13">
      <c r="C206" s="63"/>
      <c r="E206" s="41"/>
      <c r="F206" s="41"/>
      <c r="G206" s="41"/>
      <c r="H206" s="41"/>
      <c r="I206" s="41"/>
      <c r="K206" s="41"/>
      <c r="L206" s="64"/>
      <c r="M206" s="65"/>
    </row>
    <row r="207" spans="3:13" ht="13">
      <c r="C207" s="63"/>
      <c r="E207" s="41"/>
      <c r="F207" s="41"/>
      <c r="G207" s="41"/>
      <c r="H207" s="41"/>
      <c r="I207" s="41"/>
      <c r="K207" s="41"/>
      <c r="L207" s="64"/>
      <c r="M207" s="65"/>
    </row>
    <row r="208" spans="3:13" ht="13">
      <c r="C208" s="63"/>
      <c r="E208" s="41"/>
      <c r="F208" s="41"/>
      <c r="G208" s="41"/>
      <c r="H208" s="41"/>
      <c r="I208" s="41"/>
      <c r="K208" s="41"/>
      <c r="L208" s="64"/>
      <c r="M208" s="65"/>
    </row>
    <row r="209" spans="3:13" ht="13">
      <c r="C209" s="63"/>
      <c r="E209" s="41"/>
      <c r="F209" s="41"/>
      <c r="G209" s="41"/>
      <c r="H209" s="41"/>
      <c r="I209" s="41"/>
      <c r="K209" s="41"/>
      <c r="L209" s="64"/>
      <c r="M209" s="65"/>
    </row>
    <row r="210" spans="3:13" ht="13">
      <c r="C210" s="63"/>
      <c r="E210" s="41"/>
      <c r="F210" s="41"/>
      <c r="G210" s="41"/>
      <c r="H210" s="41"/>
      <c r="I210" s="41"/>
      <c r="K210" s="41"/>
      <c r="L210" s="64"/>
      <c r="M210" s="65"/>
    </row>
    <row r="211" spans="3:13" ht="13">
      <c r="C211" s="63"/>
      <c r="E211" s="41"/>
      <c r="F211" s="41"/>
      <c r="G211" s="41"/>
      <c r="H211" s="41"/>
      <c r="I211" s="41"/>
      <c r="K211" s="41"/>
      <c r="L211" s="64"/>
      <c r="M211" s="65"/>
    </row>
    <row r="212" spans="3:13" ht="13">
      <c r="C212" s="63"/>
      <c r="E212" s="41"/>
      <c r="F212" s="41"/>
      <c r="G212" s="41"/>
      <c r="H212" s="41"/>
      <c r="I212" s="41"/>
      <c r="K212" s="41"/>
      <c r="L212" s="64"/>
      <c r="M212" s="65"/>
    </row>
    <row r="213" spans="3:13" ht="13">
      <c r="C213" s="63"/>
      <c r="E213" s="41"/>
      <c r="F213" s="41"/>
      <c r="G213" s="41"/>
      <c r="H213" s="41"/>
      <c r="I213" s="41"/>
      <c r="K213" s="41"/>
      <c r="L213" s="64"/>
      <c r="M213" s="65"/>
    </row>
    <row r="214" spans="3:13" ht="13">
      <c r="C214" s="63"/>
      <c r="E214" s="41"/>
      <c r="F214" s="41"/>
      <c r="G214" s="41"/>
      <c r="H214" s="41"/>
      <c r="I214" s="41"/>
      <c r="K214" s="41"/>
      <c r="L214" s="64"/>
      <c r="M214" s="65"/>
    </row>
    <row r="215" spans="3:13" ht="13">
      <c r="C215" s="63"/>
      <c r="E215" s="41"/>
      <c r="F215" s="41"/>
      <c r="G215" s="41"/>
      <c r="H215" s="41"/>
      <c r="I215" s="41"/>
      <c r="K215" s="41"/>
      <c r="L215" s="64"/>
      <c r="M215" s="65"/>
    </row>
    <row r="216" spans="3:13" ht="13">
      <c r="C216" s="63"/>
      <c r="E216" s="41"/>
      <c r="F216" s="41"/>
      <c r="G216" s="41"/>
      <c r="H216" s="41"/>
      <c r="I216" s="41"/>
      <c r="K216" s="41"/>
      <c r="L216" s="64"/>
      <c r="M216" s="65"/>
    </row>
    <row r="217" spans="3:13" ht="13">
      <c r="C217" s="63"/>
      <c r="E217" s="41"/>
      <c r="F217" s="41"/>
      <c r="G217" s="41"/>
      <c r="H217" s="41"/>
      <c r="I217" s="41"/>
      <c r="K217" s="41"/>
      <c r="L217" s="64"/>
      <c r="M217" s="65"/>
    </row>
    <row r="218" spans="3:13" ht="13">
      <c r="C218" s="63"/>
      <c r="E218" s="41"/>
      <c r="F218" s="41"/>
      <c r="G218" s="41"/>
      <c r="H218" s="41"/>
      <c r="I218" s="41"/>
      <c r="K218" s="41"/>
      <c r="L218" s="64"/>
      <c r="M218" s="65"/>
    </row>
    <row r="219" spans="3:13" ht="13">
      <c r="C219" s="63"/>
      <c r="E219" s="41"/>
      <c r="F219" s="41"/>
      <c r="G219" s="41"/>
      <c r="H219" s="41"/>
      <c r="I219" s="41"/>
      <c r="K219" s="41"/>
      <c r="L219" s="64"/>
      <c r="M219" s="65"/>
    </row>
    <row r="220" spans="3:13" ht="13">
      <c r="C220" s="63"/>
      <c r="E220" s="41"/>
      <c r="F220" s="41"/>
      <c r="G220" s="41"/>
      <c r="H220" s="41"/>
      <c r="I220" s="41"/>
      <c r="K220" s="41"/>
      <c r="L220" s="64"/>
      <c r="M220" s="65"/>
    </row>
    <row r="221" spans="3:13" ht="13">
      <c r="C221" s="63"/>
      <c r="E221" s="41"/>
      <c r="F221" s="41"/>
      <c r="G221" s="41"/>
      <c r="H221" s="41"/>
      <c r="I221" s="41"/>
      <c r="K221" s="41"/>
      <c r="L221" s="64"/>
      <c r="M221" s="65"/>
    </row>
    <row r="222" spans="3:13" ht="13">
      <c r="C222" s="63"/>
      <c r="E222" s="41"/>
      <c r="F222" s="41"/>
      <c r="G222" s="41"/>
      <c r="H222" s="41"/>
      <c r="I222" s="41"/>
      <c r="K222" s="41"/>
      <c r="L222" s="64"/>
      <c r="M222" s="65"/>
    </row>
    <row r="223" spans="3:13" ht="13">
      <c r="C223" s="63"/>
      <c r="E223" s="41"/>
      <c r="F223" s="41"/>
      <c r="G223" s="41"/>
      <c r="H223" s="41"/>
      <c r="I223" s="41"/>
      <c r="K223" s="41"/>
      <c r="L223" s="64"/>
      <c r="M223" s="65"/>
    </row>
    <row r="224" spans="3:13" ht="13">
      <c r="C224" s="63"/>
      <c r="E224" s="41"/>
      <c r="F224" s="41"/>
      <c r="G224" s="41"/>
      <c r="H224" s="41"/>
      <c r="I224" s="41"/>
      <c r="K224" s="41"/>
      <c r="L224" s="64"/>
      <c r="M224" s="65"/>
    </row>
    <row r="225" spans="3:13" ht="13">
      <c r="C225" s="63"/>
      <c r="E225" s="41"/>
      <c r="F225" s="41"/>
      <c r="G225" s="41"/>
      <c r="H225" s="41"/>
      <c r="I225" s="41"/>
      <c r="K225" s="41"/>
      <c r="L225" s="64"/>
      <c r="M225" s="65"/>
    </row>
    <row r="226" spans="3:13" ht="13">
      <c r="C226" s="63"/>
      <c r="E226" s="41"/>
      <c r="F226" s="41"/>
      <c r="G226" s="41"/>
      <c r="H226" s="41"/>
      <c r="I226" s="41"/>
      <c r="K226" s="41"/>
      <c r="L226" s="64"/>
      <c r="M226" s="65"/>
    </row>
    <row r="227" spans="3:13" ht="13">
      <c r="C227" s="63"/>
      <c r="E227" s="41"/>
      <c r="F227" s="41"/>
      <c r="G227" s="41"/>
      <c r="H227" s="41"/>
      <c r="I227" s="41"/>
      <c r="K227" s="41"/>
      <c r="L227" s="64"/>
      <c r="M227" s="65"/>
    </row>
    <row r="228" spans="3:13" ht="13">
      <c r="C228" s="63"/>
      <c r="E228" s="41"/>
      <c r="F228" s="41"/>
      <c r="G228" s="41"/>
      <c r="H228" s="41"/>
      <c r="I228" s="41"/>
      <c r="K228" s="41"/>
      <c r="L228" s="64"/>
      <c r="M228" s="65"/>
    </row>
    <row r="229" spans="3:13" ht="13">
      <c r="C229" s="63"/>
      <c r="E229" s="41"/>
      <c r="F229" s="41"/>
      <c r="G229" s="41"/>
      <c r="H229" s="41"/>
      <c r="I229" s="41"/>
      <c r="K229" s="41"/>
      <c r="L229" s="64"/>
      <c r="M229" s="65"/>
    </row>
    <row r="230" spans="3:13" ht="13">
      <c r="C230" s="63"/>
      <c r="E230" s="41"/>
      <c r="F230" s="41"/>
      <c r="G230" s="41"/>
      <c r="H230" s="41"/>
      <c r="I230" s="41"/>
      <c r="K230" s="41"/>
      <c r="L230" s="64"/>
      <c r="M230" s="65"/>
    </row>
    <row r="231" spans="3:13" ht="13">
      <c r="C231" s="63"/>
      <c r="E231" s="41"/>
      <c r="F231" s="41"/>
      <c r="G231" s="41"/>
      <c r="H231" s="41"/>
      <c r="I231" s="41"/>
      <c r="K231" s="41"/>
      <c r="L231" s="64"/>
      <c r="M231" s="65"/>
    </row>
    <row r="232" spans="3:13" ht="13">
      <c r="C232" s="63"/>
      <c r="E232" s="41"/>
      <c r="F232" s="41"/>
      <c r="G232" s="41"/>
      <c r="H232" s="41"/>
      <c r="I232" s="41"/>
      <c r="K232" s="41"/>
      <c r="L232" s="64"/>
      <c r="M232" s="65"/>
    </row>
    <row r="233" spans="3:13" ht="13">
      <c r="C233" s="63"/>
      <c r="E233" s="41"/>
      <c r="F233" s="41"/>
      <c r="G233" s="41"/>
      <c r="H233" s="41"/>
      <c r="I233" s="41"/>
      <c r="K233" s="41"/>
      <c r="L233" s="64"/>
      <c r="M233" s="65"/>
    </row>
    <row r="234" spans="3:13" ht="13">
      <c r="C234" s="63"/>
      <c r="E234" s="41"/>
      <c r="F234" s="41"/>
      <c r="G234" s="41"/>
      <c r="H234" s="41"/>
      <c r="I234" s="41"/>
      <c r="K234" s="41"/>
      <c r="L234" s="64"/>
      <c r="M234" s="65"/>
    </row>
    <row r="235" spans="3:13" ht="13">
      <c r="C235" s="63"/>
      <c r="E235" s="41"/>
      <c r="F235" s="41"/>
      <c r="G235" s="41"/>
      <c r="H235" s="41"/>
      <c r="I235" s="41"/>
      <c r="K235" s="41"/>
      <c r="L235" s="64"/>
      <c r="M235" s="65"/>
    </row>
    <row r="236" spans="3:13" ht="13">
      <c r="C236" s="63"/>
      <c r="E236" s="41"/>
      <c r="F236" s="41"/>
      <c r="G236" s="41"/>
      <c r="H236" s="41"/>
      <c r="I236" s="41"/>
      <c r="K236" s="41"/>
      <c r="L236" s="64"/>
      <c r="M236" s="65"/>
    </row>
    <row r="237" spans="3:13" ht="13">
      <c r="C237" s="63"/>
      <c r="E237" s="41"/>
      <c r="F237" s="41"/>
      <c r="G237" s="41"/>
      <c r="H237" s="41"/>
      <c r="I237" s="41"/>
      <c r="K237" s="41"/>
      <c r="L237" s="64"/>
      <c r="M237" s="65"/>
    </row>
    <row r="238" spans="3:13" ht="13">
      <c r="C238" s="63"/>
      <c r="E238" s="41"/>
      <c r="F238" s="41"/>
      <c r="G238" s="41"/>
      <c r="H238" s="41"/>
      <c r="I238" s="41"/>
      <c r="K238" s="41"/>
      <c r="L238" s="64"/>
      <c r="M238" s="65"/>
    </row>
    <row r="239" spans="3:13" ht="13">
      <c r="C239" s="63"/>
      <c r="E239" s="41"/>
      <c r="F239" s="41"/>
      <c r="G239" s="41"/>
      <c r="H239" s="41"/>
      <c r="I239" s="41"/>
      <c r="K239" s="41"/>
      <c r="L239" s="64"/>
      <c r="M239" s="65"/>
    </row>
    <row r="240" spans="3:13" ht="13">
      <c r="C240" s="63"/>
      <c r="E240" s="41"/>
      <c r="F240" s="41"/>
      <c r="G240" s="41"/>
      <c r="H240" s="41"/>
      <c r="I240" s="41"/>
      <c r="K240" s="41"/>
      <c r="L240" s="64"/>
      <c r="M240" s="65"/>
    </row>
    <row r="241" spans="3:13" ht="13">
      <c r="C241" s="63"/>
      <c r="E241" s="41"/>
      <c r="F241" s="41"/>
      <c r="G241" s="41"/>
      <c r="H241" s="41"/>
      <c r="I241" s="41"/>
      <c r="K241" s="41"/>
      <c r="L241" s="64"/>
      <c r="M241" s="65"/>
    </row>
    <row r="242" spans="3:13" ht="13">
      <c r="C242" s="63"/>
      <c r="E242" s="41"/>
      <c r="F242" s="41"/>
      <c r="G242" s="41"/>
      <c r="H242" s="41"/>
      <c r="I242" s="41"/>
      <c r="K242" s="41"/>
      <c r="L242" s="64"/>
      <c r="M242" s="65"/>
    </row>
    <row r="243" spans="3:13" ht="13">
      <c r="C243" s="63"/>
      <c r="E243" s="41"/>
      <c r="F243" s="41"/>
      <c r="G243" s="41"/>
      <c r="H243" s="41"/>
      <c r="I243" s="41"/>
      <c r="K243" s="41"/>
      <c r="L243" s="64"/>
      <c r="M243" s="65"/>
    </row>
    <row r="244" spans="3:13" ht="13">
      <c r="C244" s="63"/>
      <c r="E244" s="41"/>
      <c r="F244" s="41"/>
      <c r="G244" s="41"/>
      <c r="H244" s="41"/>
      <c r="I244" s="41"/>
      <c r="K244" s="41"/>
      <c r="L244" s="64"/>
      <c r="M244" s="65"/>
    </row>
    <row r="245" spans="3:13" ht="13">
      <c r="C245" s="63"/>
      <c r="E245" s="41"/>
      <c r="F245" s="41"/>
      <c r="G245" s="41"/>
      <c r="H245" s="41"/>
      <c r="I245" s="41"/>
      <c r="K245" s="41"/>
      <c r="L245" s="64"/>
      <c r="M245" s="65"/>
    </row>
    <row r="246" spans="3:13" ht="13">
      <c r="C246" s="63"/>
      <c r="E246" s="41"/>
      <c r="F246" s="41"/>
      <c r="G246" s="41"/>
      <c r="H246" s="41"/>
      <c r="I246" s="41"/>
      <c r="K246" s="41"/>
      <c r="L246" s="64"/>
      <c r="M246" s="65"/>
    </row>
    <row r="247" spans="3:13" ht="13">
      <c r="C247" s="63"/>
      <c r="E247" s="41"/>
      <c r="F247" s="41"/>
      <c r="G247" s="41"/>
      <c r="H247" s="41"/>
      <c r="I247" s="41"/>
      <c r="K247" s="41"/>
      <c r="L247" s="64"/>
      <c r="M247" s="65"/>
    </row>
    <row r="248" spans="3:13" ht="13">
      <c r="C248" s="63"/>
      <c r="E248" s="41"/>
      <c r="F248" s="41"/>
      <c r="G248" s="41"/>
      <c r="H248" s="41"/>
      <c r="I248" s="41"/>
      <c r="K248" s="41"/>
      <c r="L248" s="64"/>
      <c r="M248" s="65"/>
    </row>
    <row r="249" spans="3:13" ht="13">
      <c r="C249" s="63"/>
      <c r="E249" s="41"/>
      <c r="F249" s="41"/>
      <c r="G249" s="41"/>
      <c r="H249" s="41"/>
      <c r="I249" s="41"/>
      <c r="K249" s="41"/>
      <c r="L249" s="64"/>
      <c r="M249" s="65"/>
    </row>
    <row r="250" spans="3:13" ht="13">
      <c r="C250" s="63"/>
      <c r="E250" s="41"/>
      <c r="F250" s="41"/>
      <c r="G250" s="41"/>
      <c r="H250" s="41"/>
      <c r="I250" s="41"/>
      <c r="K250" s="41"/>
      <c r="L250" s="64"/>
      <c r="M250" s="65"/>
    </row>
    <row r="251" spans="3:13" ht="13">
      <c r="C251" s="63"/>
      <c r="E251" s="41"/>
      <c r="F251" s="41"/>
      <c r="G251" s="41"/>
      <c r="H251" s="41"/>
      <c r="I251" s="41"/>
      <c r="K251" s="41"/>
      <c r="L251" s="64"/>
      <c r="M251" s="65"/>
    </row>
    <row r="252" spans="3:13" ht="13">
      <c r="C252" s="63"/>
      <c r="E252" s="41"/>
      <c r="F252" s="41"/>
      <c r="G252" s="41"/>
      <c r="H252" s="41"/>
      <c r="I252" s="41"/>
      <c r="K252" s="41"/>
      <c r="L252" s="64"/>
      <c r="M252" s="65"/>
    </row>
    <row r="253" spans="3:13" ht="13">
      <c r="C253" s="63"/>
      <c r="E253" s="41"/>
      <c r="F253" s="41"/>
      <c r="G253" s="41"/>
      <c r="H253" s="41"/>
      <c r="I253" s="41"/>
      <c r="K253" s="41"/>
      <c r="L253" s="64"/>
      <c r="M253" s="65"/>
    </row>
    <row r="254" spans="3:13" ht="13">
      <c r="C254" s="63"/>
      <c r="E254" s="41"/>
      <c r="F254" s="41"/>
      <c r="G254" s="41"/>
      <c r="H254" s="41"/>
      <c r="I254" s="41"/>
      <c r="K254" s="41"/>
      <c r="L254" s="64"/>
      <c r="M254" s="65"/>
    </row>
    <row r="255" spans="3:13" ht="13">
      <c r="C255" s="63"/>
      <c r="E255" s="41"/>
      <c r="F255" s="41"/>
      <c r="G255" s="41"/>
      <c r="H255" s="41"/>
      <c r="I255" s="41"/>
      <c r="K255" s="41"/>
      <c r="L255" s="64"/>
      <c r="M255" s="65"/>
    </row>
    <row r="256" spans="3:13" ht="13">
      <c r="C256" s="63"/>
      <c r="E256" s="41"/>
      <c r="F256" s="41"/>
      <c r="G256" s="41"/>
      <c r="H256" s="41"/>
      <c r="I256" s="41"/>
      <c r="K256" s="41"/>
      <c r="L256" s="64"/>
      <c r="M256" s="65"/>
    </row>
    <row r="257" spans="3:13" ht="13">
      <c r="C257" s="63"/>
      <c r="E257" s="41"/>
      <c r="F257" s="41"/>
      <c r="G257" s="41"/>
      <c r="H257" s="41"/>
      <c r="I257" s="41"/>
      <c r="K257" s="41"/>
      <c r="L257" s="64"/>
      <c r="M257" s="65"/>
    </row>
    <row r="258" spans="3:13" ht="13">
      <c r="C258" s="63"/>
      <c r="E258" s="41"/>
      <c r="F258" s="41"/>
      <c r="G258" s="41"/>
      <c r="H258" s="41"/>
      <c r="I258" s="41"/>
      <c r="K258" s="41"/>
      <c r="L258" s="64"/>
      <c r="M258" s="65"/>
    </row>
    <row r="259" spans="3:13" ht="13">
      <c r="C259" s="63"/>
      <c r="E259" s="41"/>
      <c r="F259" s="41"/>
      <c r="G259" s="41"/>
      <c r="H259" s="41"/>
      <c r="I259" s="41"/>
      <c r="K259" s="41"/>
      <c r="L259" s="64"/>
      <c r="M259" s="65"/>
    </row>
    <row r="260" spans="3:13" ht="13">
      <c r="C260" s="63"/>
      <c r="E260" s="41"/>
      <c r="F260" s="41"/>
      <c r="G260" s="41"/>
      <c r="H260" s="41"/>
      <c r="I260" s="41"/>
      <c r="K260" s="41"/>
      <c r="L260" s="64"/>
      <c r="M260" s="65"/>
    </row>
    <row r="261" spans="3:13" ht="13">
      <c r="C261" s="63"/>
      <c r="E261" s="41"/>
      <c r="F261" s="41"/>
      <c r="G261" s="41"/>
      <c r="H261" s="41"/>
      <c r="I261" s="41"/>
      <c r="K261" s="41"/>
      <c r="L261" s="64"/>
      <c r="M261" s="65"/>
    </row>
    <row r="262" spans="3:13" ht="13">
      <c r="C262" s="63"/>
      <c r="E262" s="41"/>
      <c r="F262" s="41"/>
      <c r="G262" s="41"/>
      <c r="H262" s="41"/>
      <c r="I262" s="41"/>
      <c r="K262" s="41"/>
      <c r="L262" s="64"/>
      <c r="M262" s="65"/>
    </row>
    <row r="263" spans="3:13" ht="13">
      <c r="C263" s="63"/>
      <c r="E263" s="41"/>
      <c r="F263" s="41"/>
      <c r="G263" s="41"/>
      <c r="H263" s="41"/>
      <c r="I263" s="41"/>
      <c r="K263" s="41"/>
      <c r="L263" s="64"/>
      <c r="M263" s="65"/>
    </row>
    <row r="264" spans="3:13" ht="13">
      <c r="C264" s="63"/>
      <c r="E264" s="41"/>
      <c r="F264" s="41"/>
      <c r="G264" s="41"/>
      <c r="H264" s="41"/>
      <c r="I264" s="41"/>
      <c r="K264" s="41"/>
      <c r="L264" s="64"/>
      <c r="M264" s="65"/>
    </row>
    <row r="265" spans="3:13" ht="13">
      <c r="C265" s="63"/>
      <c r="E265" s="41"/>
      <c r="F265" s="41"/>
      <c r="G265" s="41"/>
      <c r="H265" s="41"/>
      <c r="I265" s="41"/>
      <c r="K265" s="41"/>
      <c r="L265" s="64"/>
      <c r="M265" s="65"/>
    </row>
    <row r="266" spans="3:13" ht="13">
      <c r="C266" s="63"/>
      <c r="E266" s="41"/>
      <c r="F266" s="41"/>
      <c r="G266" s="41"/>
      <c r="H266" s="41"/>
      <c r="I266" s="41"/>
      <c r="K266" s="41"/>
      <c r="L266" s="64"/>
      <c r="M266" s="65"/>
    </row>
    <row r="267" spans="3:13" ht="13">
      <c r="C267" s="63"/>
      <c r="E267" s="41"/>
      <c r="F267" s="41"/>
      <c r="G267" s="41"/>
      <c r="H267" s="41"/>
      <c r="I267" s="41"/>
      <c r="K267" s="41"/>
      <c r="L267" s="64"/>
      <c r="M267" s="65"/>
    </row>
    <row r="268" spans="3:13" ht="13">
      <c r="C268" s="63"/>
      <c r="E268" s="41"/>
      <c r="F268" s="41"/>
      <c r="G268" s="41"/>
      <c r="H268" s="41"/>
      <c r="I268" s="41"/>
      <c r="K268" s="41"/>
      <c r="L268" s="64"/>
      <c r="M268" s="65"/>
    </row>
    <row r="269" spans="3:13" ht="13">
      <c r="C269" s="63"/>
      <c r="E269" s="41"/>
      <c r="F269" s="41"/>
      <c r="G269" s="41"/>
      <c r="H269" s="41"/>
      <c r="I269" s="41"/>
      <c r="K269" s="41"/>
      <c r="L269" s="64"/>
      <c r="M269" s="65"/>
    </row>
    <row r="270" spans="3:13" ht="13">
      <c r="C270" s="63"/>
      <c r="E270" s="41"/>
      <c r="F270" s="41"/>
      <c r="G270" s="41"/>
      <c r="H270" s="41"/>
      <c r="I270" s="41"/>
      <c r="K270" s="41"/>
      <c r="L270" s="64"/>
      <c r="M270" s="65"/>
    </row>
    <row r="271" spans="3:13" ht="13">
      <c r="C271" s="63"/>
      <c r="E271" s="41"/>
      <c r="F271" s="41"/>
      <c r="G271" s="41"/>
      <c r="H271" s="41"/>
      <c r="I271" s="41"/>
      <c r="K271" s="41"/>
      <c r="L271" s="64"/>
      <c r="M271" s="65"/>
    </row>
    <row r="272" spans="3:13" ht="13">
      <c r="C272" s="63"/>
      <c r="E272" s="41"/>
      <c r="F272" s="41"/>
      <c r="G272" s="41"/>
      <c r="H272" s="41"/>
      <c r="I272" s="41"/>
      <c r="K272" s="41"/>
      <c r="L272" s="64"/>
      <c r="M272" s="65"/>
    </row>
    <row r="273" spans="3:13" ht="13">
      <c r="C273" s="63"/>
      <c r="E273" s="41"/>
      <c r="F273" s="41"/>
      <c r="G273" s="41"/>
      <c r="H273" s="41"/>
      <c r="I273" s="41"/>
      <c r="K273" s="41"/>
      <c r="L273" s="64"/>
      <c r="M273" s="65"/>
    </row>
    <row r="274" spans="3:13" ht="13">
      <c r="C274" s="63"/>
      <c r="E274" s="41"/>
      <c r="F274" s="41"/>
      <c r="G274" s="41"/>
      <c r="H274" s="41"/>
      <c r="I274" s="41"/>
      <c r="K274" s="41"/>
      <c r="L274" s="64"/>
      <c r="M274" s="65"/>
    </row>
    <row r="275" spans="3:13" ht="13">
      <c r="C275" s="63"/>
      <c r="E275" s="41"/>
      <c r="F275" s="41"/>
      <c r="G275" s="41"/>
      <c r="H275" s="41"/>
      <c r="I275" s="41"/>
      <c r="K275" s="41"/>
      <c r="L275" s="64"/>
      <c r="M275" s="65"/>
    </row>
    <row r="276" spans="3:13" ht="13">
      <c r="C276" s="63"/>
      <c r="E276" s="41"/>
      <c r="F276" s="41"/>
      <c r="G276" s="41"/>
      <c r="H276" s="41"/>
      <c r="I276" s="41"/>
      <c r="K276" s="41"/>
      <c r="L276" s="64"/>
      <c r="M276" s="65"/>
    </row>
    <row r="277" spans="3:13" ht="13">
      <c r="C277" s="63"/>
      <c r="E277" s="41"/>
      <c r="F277" s="41"/>
      <c r="G277" s="41"/>
      <c r="H277" s="41"/>
      <c r="I277" s="41"/>
      <c r="K277" s="41"/>
      <c r="L277" s="64"/>
      <c r="M277" s="65"/>
    </row>
    <row r="278" spans="3:13" ht="13">
      <c r="C278" s="63"/>
      <c r="E278" s="41"/>
      <c r="F278" s="41"/>
      <c r="G278" s="41"/>
      <c r="H278" s="41"/>
      <c r="I278" s="41"/>
      <c r="K278" s="41"/>
      <c r="L278" s="64"/>
      <c r="M278" s="65"/>
    </row>
    <row r="279" spans="3:13" ht="13">
      <c r="C279" s="63"/>
      <c r="E279" s="41"/>
      <c r="F279" s="41"/>
      <c r="G279" s="41"/>
      <c r="H279" s="41"/>
      <c r="I279" s="41"/>
      <c r="K279" s="41"/>
      <c r="L279" s="64"/>
      <c r="M279" s="65"/>
    </row>
    <row r="280" spans="3:13" ht="13">
      <c r="C280" s="63"/>
      <c r="E280" s="41"/>
      <c r="F280" s="41"/>
      <c r="G280" s="41"/>
      <c r="H280" s="41"/>
      <c r="I280" s="41"/>
      <c r="K280" s="41"/>
      <c r="L280" s="64"/>
      <c r="M280" s="65"/>
    </row>
    <row r="281" spans="3:13" ht="13">
      <c r="C281" s="63"/>
      <c r="E281" s="41"/>
      <c r="F281" s="41"/>
      <c r="G281" s="41"/>
      <c r="H281" s="41"/>
      <c r="I281" s="41"/>
      <c r="K281" s="41"/>
      <c r="L281" s="64"/>
      <c r="M281" s="65"/>
    </row>
    <row r="282" spans="3:13" ht="13">
      <c r="C282" s="63"/>
      <c r="E282" s="41"/>
      <c r="F282" s="41"/>
      <c r="G282" s="41"/>
      <c r="H282" s="41"/>
      <c r="I282" s="41"/>
      <c r="K282" s="41"/>
      <c r="L282" s="64"/>
      <c r="M282" s="65"/>
    </row>
    <row r="283" spans="3:13" ht="13">
      <c r="C283" s="63"/>
      <c r="E283" s="41"/>
      <c r="F283" s="41"/>
      <c r="G283" s="41"/>
      <c r="H283" s="41"/>
      <c r="I283" s="41"/>
      <c r="K283" s="41"/>
      <c r="L283" s="64"/>
      <c r="M283" s="65"/>
    </row>
    <row r="284" spans="3:13" ht="13">
      <c r="C284" s="63"/>
      <c r="E284" s="41"/>
      <c r="F284" s="41"/>
      <c r="G284" s="41"/>
      <c r="H284" s="41"/>
      <c r="I284" s="41"/>
      <c r="K284" s="41"/>
      <c r="L284" s="64"/>
      <c r="M284" s="65"/>
    </row>
    <row r="285" spans="3:13" ht="13">
      <c r="C285" s="63"/>
      <c r="E285" s="41"/>
      <c r="F285" s="41"/>
      <c r="G285" s="41"/>
      <c r="H285" s="41"/>
      <c r="I285" s="41"/>
      <c r="K285" s="41"/>
      <c r="L285" s="64"/>
      <c r="M285" s="65"/>
    </row>
    <row r="286" spans="3:13" ht="13">
      <c r="C286" s="63"/>
      <c r="E286" s="41"/>
      <c r="F286" s="41"/>
      <c r="G286" s="41"/>
      <c r="H286" s="41"/>
      <c r="I286" s="41"/>
      <c r="K286" s="41"/>
      <c r="L286" s="64"/>
      <c r="M286" s="65"/>
    </row>
    <row r="287" spans="3:13" ht="13">
      <c r="C287" s="63"/>
      <c r="E287" s="41"/>
      <c r="F287" s="41"/>
      <c r="G287" s="41"/>
      <c r="H287" s="41"/>
      <c r="I287" s="41"/>
      <c r="K287" s="41"/>
      <c r="L287" s="64"/>
      <c r="M287" s="65"/>
    </row>
    <row r="288" spans="3:13" ht="13">
      <c r="C288" s="63"/>
      <c r="E288" s="41"/>
      <c r="F288" s="41"/>
      <c r="G288" s="41"/>
      <c r="H288" s="41"/>
      <c r="I288" s="41"/>
      <c r="K288" s="41"/>
      <c r="L288" s="64"/>
      <c r="M288" s="65"/>
    </row>
    <row r="289" spans="3:13" ht="13">
      <c r="C289" s="63"/>
      <c r="E289" s="41"/>
      <c r="F289" s="41"/>
      <c r="G289" s="41"/>
      <c r="H289" s="41"/>
      <c r="I289" s="41"/>
      <c r="K289" s="41"/>
      <c r="L289" s="64"/>
      <c r="M289" s="65"/>
    </row>
    <row r="290" spans="3:13" ht="13">
      <c r="C290" s="63"/>
      <c r="E290" s="41"/>
      <c r="F290" s="41"/>
      <c r="G290" s="41"/>
      <c r="H290" s="41"/>
      <c r="I290" s="41"/>
      <c r="K290" s="41"/>
      <c r="L290" s="64"/>
      <c r="M290" s="65"/>
    </row>
    <row r="291" spans="3:13" ht="13">
      <c r="C291" s="63"/>
      <c r="E291" s="41"/>
      <c r="F291" s="41"/>
      <c r="G291" s="41"/>
      <c r="H291" s="41"/>
      <c r="I291" s="41"/>
      <c r="K291" s="41"/>
      <c r="L291" s="64"/>
      <c r="M291" s="65"/>
    </row>
    <row r="292" spans="3:13" ht="13">
      <c r="C292" s="63"/>
      <c r="E292" s="41"/>
      <c r="F292" s="41"/>
      <c r="G292" s="41"/>
      <c r="H292" s="41"/>
      <c r="I292" s="41"/>
      <c r="K292" s="41"/>
      <c r="L292" s="64"/>
      <c r="M292" s="65"/>
    </row>
    <row r="293" spans="3:13" ht="13">
      <c r="C293" s="63"/>
      <c r="E293" s="41"/>
      <c r="F293" s="41"/>
      <c r="G293" s="41"/>
      <c r="H293" s="41"/>
      <c r="I293" s="41"/>
      <c r="K293" s="41"/>
      <c r="L293" s="64"/>
      <c r="M293" s="65"/>
    </row>
    <row r="294" spans="3:13" ht="13">
      <c r="C294" s="63"/>
      <c r="E294" s="41"/>
      <c r="F294" s="41"/>
      <c r="G294" s="41"/>
      <c r="H294" s="41"/>
      <c r="I294" s="41"/>
      <c r="K294" s="41"/>
      <c r="L294" s="64"/>
      <c r="M294" s="65"/>
    </row>
    <row r="295" spans="3:13" ht="13">
      <c r="C295" s="63"/>
      <c r="E295" s="41"/>
      <c r="F295" s="41"/>
      <c r="G295" s="41"/>
      <c r="H295" s="41"/>
      <c r="I295" s="41"/>
      <c r="K295" s="41"/>
      <c r="L295" s="64"/>
      <c r="M295" s="65"/>
    </row>
    <row r="296" spans="3:13" ht="13">
      <c r="C296" s="63"/>
      <c r="E296" s="41"/>
      <c r="F296" s="41"/>
      <c r="G296" s="41"/>
      <c r="H296" s="41"/>
      <c r="I296" s="41"/>
      <c r="K296" s="41"/>
      <c r="L296" s="64"/>
      <c r="M296" s="65"/>
    </row>
    <row r="297" spans="3:13" ht="13">
      <c r="C297" s="63"/>
      <c r="E297" s="41"/>
      <c r="F297" s="41"/>
      <c r="G297" s="41"/>
      <c r="H297" s="41"/>
      <c r="I297" s="41"/>
      <c r="K297" s="41"/>
      <c r="L297" s="64"/>
      <c r="M297" s="65"/>
    </row>
    <row r="298" spans="3:13" ht="13">
      <c r="C298" s="63"/>
      <c r="E298" s="41"/>
      <c r="F298" s="41"/>
      <c r="G298" s="41"/>
      <c r="H298" s="41"/>
      <c r="I298" s="41"/>
      <c r="K298" s="41"/>
      <c r="L298" s="64"/>
      <c r="M298" s="65"/>
    </row>
    <row r="299" spans="3:13" ht="13">
      <c r="C299" s="63"/>
      <c r="E299" s="41"/>
      <c r="F299" s="41"/>
      <c r="G299" s="41"/>
      <c r="H299" s="41"/>
      <c r="I299" s="41"/>
      <c r="K299" s="41"/>
      <c r="L299" s="64"/>
      <c r="M299" s="65"/>
    </row>
    <row r="300" spans="3:13" ht="13">
      <c r="C300" s="63"/>
      <c r="E300" s="41"/>
      <c r="F300" s="41"/>
      <c r="G300" s="41"/>
      <c r="H300" s="41"/>
      <c r="I300" s="41"/>
      <c r="K300" s="41"/>
      <c r="L300" s="64"/>
      <c r="M300" s="65"/>
    </row>
    <row r="301" spans="3:13" ht="13">
      <c r="C301" s="63"/>
      <c r="E301" s="41"/>
      <c r="F301" s="41"/>
      <c r="G301" s="41"/>
      <c r="H301" s="41"/>
      <c r="I301" s="41"/>
      <c r="K301" s="41"/>
      <c r="L301" s="64"/>
      <c r="M301" s="65"/>
    </row>
    <row r="302" spans="3:13" ht="13">
      <c r="C302" s="63"/>
      <c r="E302" s="41"/>
      <c r="F302" s="41"/>
      <c r="G302" s="41"/>
      <c r="H302" s="41"/>
      <c r="I302" s="41"/>
      <c r="K302" s="41"/>
      <c r="L302" s="64"/>
      <c r="M302" s="65"/>
    </row>
    <row r="303" spans="3:13" ht="13">
      <c r="C303" s="63"/>
      <c r="E303" s="41"/>
      <c r="F303" s="41"/>
      <c r="G303" s="41"/>
      <c r="H303" s="41"/>
      <c r="I303" s="41"/>
      <c r="K303" s="41"/>
      <c r="L303" s="64"/>
      <c r="M303" s="65"/>
    </row>
    <row r="304" spans="3:13" ht="13">
      <c r="C304" s="63"/>
      <c r="E304" s="41"/>
      <c r="F304" s="41"/>
      <c r="G304" s="41"/>
      <c r="H304" s="41"/>
      <c r="I304" s="41"/>
      <c r="K304" s="41"/>
      <c r="L304" s="64"/>
      <c r="M304" s="65"/>
    </row>
    <row r="305" spans="3:13" ht="13">
      <c r="C305" s="63"/>
      <c r="E305" s="41"/>
      <c r="F305" s="41"/>
      <c r="G305" s="41"/>
      <c r="H305" s="41"/>
      <c r="I305" s="41"/>
      <c r="K305" s="41"/>
      <c r="L305" s="64"/>
      <c r="M305" s="65"/>
    </row>
    <row r="306" spans="3:13" ht="13">
      <c r="C306" s="63"/>
      <c r="E306" s="41"/>
      <c r="F306" s="41"/>
      <c r="G306" s="41"/>
      <c r="H306" s="41"/>
      <c r="I306" s="41"/>
      <c r="K306" s="41"/>
      <c r="L306" s="64"/>
      <c r="M306" s="65"/>
    </row>
    <row r="307" spans="3:13" ht="13">
      <c r="C307" s="63"/>
      <c r="E307" s="41"/>
      <c r="F307" s="41"/>
      <c r="G307" s="41"/>
      <c r="H307" s="41"/>
      <c r="I307" s="41"/>
      <c r="K307" s="41"/>
      <c r="L307" s="64"/>
      <c r="M307" s="65"/>
    </row>
    <row r="308" spans="3:13" ht="13">
      <c r="C308" s="63"/>
      <c r="E308" s="41"/>
      <c r="F308" s="41"/>
      <c r="G308" s="41"/>
      <c r="H308" s="41"/>
      <c r="I308" s="41"/>
      <c r="K308" s="41"/>
      <c r="L308" s="64"/>
      <c r="M308" s="65"/>
    </row>
    <row r="309" spans="3:13" ht="13">
      <c r="C309" s="63"/>
      <c r="E309" s="41"/>
      <c r="F309" s="41"/>
      <c r="G309" s="41"/>
      <c r="H309" s="41"/>
      <c r="I309" s="41"/>
      <c r="K309" s="41"/>
      <c r="L309" s="64"/>
      <c r="M309" s="65"/>
    </row>
    <row r="310" spans="3:13" ht="13">
      <c r="C310" s="63"/>
      <c r="E310" s="41"/>
      <c r="F310" s="41"/>
      <c r="G310" s="41"/>
      <c r="H310" s="41"/>
      <c r="I310" s="41"/>
      <c r="K310" s="41"/>
      <c r="L310" s="64"/>
      <c r="M310" s="65"/>
    </row>
    <row r="311" spans="3:13" ht="13">
      <c r="C311" s="63"/>
      <c r="E311" s="41"/>
      <c r="F311" s="41"/>
      <c r="G311" s="41"/>
      <c r="H311" s="41"/>
      <c r="I311" s="41"/>
      <c r="K311" s="41"/>
      <c r="L311" s="64"/>
      <c r="M311" s="65"/>
    </row>
    <row r="312" spans="3:13" ht="13">
      <c r="C312" s="63"/>
      <c r="E312" s="41"/>
      <c r="F312" s="41"/>
      <c r="G312" s="41"/>
      <c r="H312" s="41"/>
      <c r="I312" s="41"/>
      <c r="K312" s="41"/>
      <c r="L312" s="64"/>
      <c r="M312" s="65"/>
    </row>
    <row r="313" spans="3:13" ht="13">
      <c r="C313" s="63"/>
      <c r="E313" s="41"/>
      <c r="F313" s="41"/>
      <c r="G313" s="41"/>
      <c r="H313" s="41"/>
      <c r="I313" s="41"/>
      <c r="K313" s="41"/>
      <c r="L313" s="64"/>
      <c r="M313" s="65"/>
    </row>
    <row r="314" spans="3:13" ht="13">
      <c r="C314" s="63"/>
      <c r="E314" s="41"/>
      <c r="F314" s="41"/>
      <c r="G314" s="41"/>
      <c r="H314" s="41"/>
      <c r="I314" s="41"/>
      <c r="K314" s="41"/>
      <c r="L314" s="64"/>
      <c r="M314" s="65"/>
    </row>
    <row r="315" spans="3:13" ht="13">
      <c r="C315" s="63"/>
      <c r="E315" s="41"/>
      <c r="F315" s="41"/>
      <c r="G315" s="41"/>
      <c r="H315" s="41"/>
      <c r="I315" s="41"/>
      <c r="K315" s="41"/>
      <c r="L315" s="64"/>
      <c r="M315" s="65"/>
    </row>
    <row r="316" spans="3:13" ht="13">
      <c r="C316" s="63"/>
      <c r="E316" s="41"/>
      <c r="F316" s="41"/>
      <c r="G316" s="41"/>
      <c r="H316" s="41"/>
      <c r="I316" s="41"/>
      <c r="K316" s="41"/>
      <c r="L316" s="64"/>
      <c r="M316" s="65"/>
    </row>
    <row r="317" spans="3:13" ht="13">
      <c r="C317" s="63"/>
      <c r="E317" s="41"/>
      <c r="F317" s="41"/>
      <c r="G317" s="41"/>
      <c r="H317" s="41"/>
      <c r="I317" s="41"/>
      <c r="K317" s="41"/>
      <c r="L317" s="64"/>
      <c r="M317" s="65"/>
    </row>
    <row r="318" spans="3:13" ht="13">
      <c r="C318" s="63"/>
      <c r="E318" s="41"/>
      <c r="F318" s="41"/>
      <c r="G318" s="41"/>
      <c r="H318" s="41"/>
      <c r="I318" s="41"/>
      <c r="K318" s="41"/>
      <c r="L318" s="64"/>
      <c r="M318" s="65"/>
    </row>
    <row r="319" spans="3:13" ht="13">
      <c r="C319" s="63"/>
      <c r="E319" s="41"/>
      <c r="F319" s="41"/>
      <c r="G319" s="41"/>
      <c r="H319" s="41"/>
      <c r="I319" s="41"/>
      <c r="K319" s="41"/>
      <c r="L319" s="64"/>
      <c r="M319" s="65"/>
    </row>
    <row r="320" spans="3:13" ht="13">
      <c r="C320" s="63"/>
      <c r="E320" s="41"/>
      <c r="F320" s="41"/>
      <c r="G320" s="41"/>
      <c r="H320" s="41"/>
      <c r="I320" s="41"/>
      <c r="K320" s="41"/>
      <c r="L320" s="64"/>
      <c r="M320" s="65"/>
    </row>
    <row r="321" spans="3:13" ht="13">
      <c r="C321" s="63"/>
      <c r="E321" s="41"/>
      <c r="F321" s="41"/>
      <c r="G321" s="41"/>
      <c r="H321" s="41"/>
      <c r="I321" s="41"/>
      <c r="K321" s="41"/>
      <c r="L321" s="64"/>
      <c r="M321" s="65"/>
    </row>
    <row r="322" spans="3:13" ht="13">
      <c r="C322" s="63"/>
      <c r="E322" s="41"/>
      <c r="F322" s="41"/>
      <c r="G322" s="41"/>
      <c r="H322" s="41"/>
      <c r="I322" s="41"/>
      <c r="K322" s="41"/>
      <c r="L322" s="64"/>
      <c r="M322" s="65"/>
    </row>
    <row r="323" spans="3:13" ht="13">
      <c r="C323" s="63"/>
      <c r="E323" s="41"/>
      <c r="F323" s="41"/>
      <c r="G323" s="41"/>
      <c r="H323" s="41"/>
      <c r="I323" s="41"/>
      <c r="K323" s="41"/>
      <c r="L323" s="64"/>
      <c r="M323" s="65"/>
    </row>
    <row r="324" spans="3:13" ht="13">
      <c r="C324" s="63"/>
      <c r="E324" s="41"/>
      <c r="F324" s="41"/>
      <c r="G324" s="41"/>
      <c r="H324" s="41"/>
      <c r="I324" s="41"/>
      <c r="K324" s="41"/>
      <c r="L324" s="64"/>
      <c r="M324" s="65"/>
    </row>
    <row r="325" spans="3:13" ht="13">
      <c r="C325" s="63"/>
      <c r="E325" s="41"/>
      <c r="F325" s="41"/>
      <c r="G325" s="41"/>
      <c r="H325" s="41"/>
      <c r="I325" s="41"/>
      <c r="K325" s="41"/>
      <c r="L325" s="64"/>
      <c r="M325" s="65"/>
    </row>
    <row r="326" spans="3:13" ht="13">
      <c r="C326" s="63"/>
      <c r="E326" s="41"/>
      <c r="F326" s="41"/>
      <c r="G326" s="41"/>
      <c r="H326" s="41"/>
      <c r="I326" s="41"/>
      <c r="K326" s="41"/>
      <c r="L326" s="64"/>
      <c r="M326" s="65"/>
    </row>
    <row r="327" spans="3:13" ht="13">
      <c r="C327" s="63"/>
      <c r="E327" s="41"/>
      <c r="F327" s="41"/>
      <c r="G327" s="41"/>
      <c r="H327" s="41"/>
      <c r="I327" s="41"/>
      <c r="K327" s="41"/>
      <c r="L327" s="64"/>
      <c r="M327" s="65"/>
    </row>
    <row r="328" spans="3:13" ht="13">
      <c r="C328" s="63"/>
      <c r="E328" s="41"/>
      <c r="F328" s="41"/>
      <c r="G328" s="41"/>
      <c r="H328" s="41"/>
      <c r="I328" s="41"/>
      <c r="K328" s="41"/>
      <c r="L328" s="64"/>
      <c r="M328" s="65"/>
    </row>
    <row r="329" spans="3:13" ht="13">
      <c r="C329" s="63"/>
      <c r="E329" s="41"/>
      <c r="F329" s="41"/>
      <c r="G329" s="41"/>
      <c r="H329" s="41"/>
      <c r="I329" s="41"/>
      <c r="K329" s="41"/>
      <c r="L329" s="64"/>
      <c r="M329" s="65"/>
    </row>
    <row r="330" spans="3:13" ht="13">
      <c r="C330" s="63"/>
      <c r="E330" s="41"/>
      <c r="F330" s="41"/>
      <c r="G330" s="41"/>
      <c r="H330" s="41"/>
      <c r="I330" s="41"/>
      <c r="K330" s="41"/>
      <c r="L330" s="64"/>
      <c r="M330" s="65"/>
    </row>
    <row r="331" spans="3:13" ht="13">
      <c r="C331" s="63"/>
      <c r="E331" s="41"/>
      <c r="F331" s="41"/>
      <c r="G331" s="41"/>
      <c r="H331" s="41"/>
      <c r="I331" s="41"/>
      <c r="K331" s="41"/>
      <c r="L331" s="64"/>
      <c r="M331" s="65"/>
    </row>
    <row r="332" spans="3:13" ht="13">
      <c r="C332" s="63"/>
      <c r="E332" s="41"/>
      <c r="F332" s="41"/>
      <c r="G332" s="41"/>
      <c r="H332" s="41"/>
      <c r="I332" s="41"/>
      <c r="K332" s="41"/>
      <c r="L332" s="64"/>
      <c r="M332" s="65"/>
    </row>
    <row r="333" spans="3:13" ht="13">
      <c r="C333" s="63"/>
      <c r="E333" s="41"/>
      <c r="F333" s="41"/>
      <c r="G333" s="41"/>
      <c r="H333" s="41"/>
      <c r="I333" s="41"/>
      <c r="K333" s="41"/>
      <c r="L333" s="64"/>
      <c r="M333" s="65"/>
    </row>
    <row r="334" spans="3:13" ht="13">
      <c r="C334" s="63"/>
      <c r="E334" s="41"/>
      <c r="F334" s="41"/>
      <c r="G334" s="41"/>
      <c r="H334" s="41"/>
      <c r="I334" s="41"/>
      <c r="K334" s="41"/>
      <c r="L334" s="64"/>
      <c r="M334" s="65"/>
    </row>
    <row r="335" spans="3:13" ht="13">
      <c r="C335" s="63"/>
      <c r="E335" s="41"/>
      <c r="F335" s="41"/>
      <c r="G335" s="41"/>
      <c r="H335" s="41"/>
      <c r="I335" s="41"/>
      <c r="K335" s="41"/>
      <c r="L335" s="64"/>
      <c r="M335" s="65"/>
    </row>
    <row r="336" spans="3:13" ht="13">
      <c r="C336" s="63"/>
      <c r="E336" s="41"/>
      <c r="F336" s="41"/>
      <c r="G336" s="41"/>
      <c r="H336" s="41"/>
      <c r="I336" s="41"/>
      <c r="K336" s="41"/>
      <c r="L336" s="64"/>
      <c r="M336" s="65"/>
    </row>
    <row r="337" spans="3:13" ht="13">
      <c r="C337" s="63"/>
      <c r="E337" s="41"/>
      <c r="F337" s="41"/>
      <c r="G337" s="41"/>
      <c r="H337" s="41"/>
      <c r="I337" s="41"/>
      <c r="K337" s="41"/>
      <c r="L337" s="64"/>
      <c r="M337" s="65"/>
    </row>
    <row r="338" spans="3:13" ht="13">
      <c r="C338" s="63"/>
      <c r="E338" s="41"/>
      <c r="F338" s="41"/>
      <c r="G338" s="41"/>
      <c r="H338" s="41"/>
      <c r="I338" s="41"/>
      <c r="K338" s="41"/>
      <c r="L338" s="64"/>
      <c r="M338" s="65"/>
    </row>
    <row r="339" spans="3:13" ht="13">
      <c r="C339" s="63"/>
      <c r="E339" s="41"/>
      <c r="F339" s="41"/>
      <c r="G339" s="41"/>
      <c r="H339" s="41"/>
      <c r="I339" s="41"/>
      <c r="K339" s="41"/>
      <c r="L339" s="64"/>
      <c r="M339" s="65"/>
    </row>
    <row r="340" spans="3:13" ht="13">
      <c r="C340" s="63"/>
      <c r="E340" s="41"/>
      <c r="F340" s="41"/>
      <c r="G340" s="41"/>
      <c r="H340" s="41"/>
      <c r="I340" s="41"/>
      <c r="K340" s="41"/>
      <c r="L340" s="64"/>
      <c r="M340" s="65"/>
    </row>
    <row r="341" spans="3:13" ht="13">
      <c r="C341" s="63"/>
      <c r="E341" s="41"/>
      <c r="F341" s="41"/>
      <c r="G341" s="41"/>
      <c r="H341" s="41"/>
      <c r="I341" s="41"/>
      <c r="K341" s="41"/>
      <c r="L341" s="64"/>
      <c r="M341" s="65"/>
    </row>
    <row r="342" spans="3:13" ht="13">
      <c r="C342" s="63"/>
      <c r="E342" s="41"/>
      <c r="F342" s="41"/>
      <c r="G342" s="41"/>
      <c r="H342" s="41"/>
      <c r="I342" s="41"/>
      <c r="K342" s="41"/>
      <c r="L342" s="64"/>
      <c r="M342" s="65"/>
    </row>
    <row r="343" spans="3:13" ht="13">
      <c r="C343" s="63"/>
      <c r="E343" s="41"/>
      <c r="F343" s="41"/>
      <c r="G343" s="41"/>
      <c r="H343" s="41"/>
      <c r="I343" s="41"/>
      <c r="K343" s="41"/>
      <c r="L343" s="64"/>
      <c r="M343" s="65"/>
    </row>
    <row r="344" spans="3:13" ht="13">
      <c r="C344" s="63"/>
      <c r="E344" s="41"/>
      <c r="F344" s="41"/>
      <c r="G344" s="41"/>
      <c r="H344" s="41"/>
      <c r="I344" s="41"/>
      <c r="K344" s="41"/>
      <c r="L344" s="64"/>
      <c r="M344" s="65"/>
    </row>
    <row r="345" spans="3:13" ht="13">
      <c r="C345" s="63"/>
      <c r="E345" s="41"/>
      <c r="F345" s="41"/>
      <c r="G345" s="41"/>
      <c r="H345" s="41"/>
      <c r="I345" s="41"/>
      <c r="K345" s="41"/>
      <c r="L345" s="64"/>
      <c r="M345" s="65"/>
    </row>
    <row r="346" spans="3:13" ht="13">
      <c r="C346" s="63"/>
      <c r="E346" s="41"/>
      <c r="F346" s="41"/>
      <c r="G346" s="41"/>
      <c r="H346" s="41"/>
      <c r="I346" s="41"/>
      <c r="K346" s="41"/>
      <c r="L346" s="64"/>
      <c r="M346" s="65"/>
    </row>
    <row r="347" spans="3:13" ht="13">
      <c r="C347" s="63"/>
      <c r="E347" s="41"/>
      <c r="F347" s="41"/>
      <c r="G347" s="41"/>
      <c r="H347" s="41"/>
      <c r="I347" s="41"/>
      <c r="K347" s="41"/>
      <c r="L347" s="64"/>
      <c r="M347" s="65"/>
    </row>
    <row r="348" spans="3:13" ht="13">
      <c r="C348" s="63"/>
      <c r="E348" s="41"/>
      <c r="F348" s="41"/>
      <c r="G348" s="41"/>
      <c r="H348" s="41"/>
      <c r="I348" s="41"/>
      <c r="K348" s="41"/>
      <c r="L348" s="64"/>
      <c r="M348" s="65"/>
    </row>
    <row r="349" spans="3:13" ht="13">
      <c r="C349" s="63"/>
      <c r="E349" s="41"/>
      <c r="F349" s="41"/>
      <c r="G349" s="41"/>
      <c r="H349" s="41"/>
      <c r="I349" s="41"/>
      <c r="K349" s="41"/>
      <c r="L349" s="64"/>
      <c r="M349" s="65"/>
    </row>
    <row r="350" spans="3:13" ht="13">
      <c r="C350" s="63"/>
      <c r="E350" s="41"/>
      <c r="F350" s="41"/>
      <c r="G350" s="41"/>
      <c r="H350" s="41"/>
      <c r="I350" s="41"/>
      <c r="K350" s="41"/>
      <c r="L350" s="64"/>
      <c r="M350" s="65"/>
    </row>
    <row r="351" spans="3:13" ht="13">
      <c r="C351" s="63"/>
      <c r="E351" s="41"/>
      <c r="F351" s="41"/>
      <c r="G351" s="41"/>
      <c r="H351" s="41"/>
      <c r="I351" s="41"/>
      <c r="K351" s="41"/>
      <c r="L351" s="64"/>
      <c r="M351" s="65"/>
    </row>
    <row r="352" spans="3:13" ht="13">
      <c r="C352" s="63"/>
      <c r="E352" s="41"/>
      <c r="F352" s="41"/>
      <c r="G352" s="41"/>
      <c r="H352" s="41"/>
      <c r="I352" s="41"/>
      <c r="K352" s="41"/>
      <c r="L352" s="64"/>
      <c r="M352" s="65"/>
    </row>
    <row r="353" spans="3:13" ht="13">
      <c r="C353" s="63"/>
      <c r="E353" s="41"/>
      <c r="F353" s="41"/>
      <c r="G353" s="41"/>
      <c r="H353" s="41"/>
      <c r="I353" s="41"/>
      <c r="K353" s="41"/>
      <c r="L353" s="64"/>
      <c r="M353" s="65"/>
    </row>
    <row r="354" spans="3:13" ht="13">
      <c r="C354" s="63"/>
      <c r="E354" s="41"/>
      <c r="F354" s="41"/>
      <c r="G354" s="41"/>
      <c r="H354" s="41"/>
      <c r="I354" s="41"/>
      <c r="K354" s="41"/>
      <c r="L354" s="64"/>
      <c r="M354" s="65"/>
    </row>
    <row r="355" spans="3:13" ht="13">
      <c r="C355" s="63"/>
      <c r="E355" s="41"/>
      <c r="F355" s="41"/>
      <c r="G355" s="41"/>
      <c r="H355" s="41"/>
      <c r="I355" s="41"/>
      <c r="K355" s="41"/>
      <c r="L355" s="64"/>
      <c r="M355" s="65"/>
    </row>
    <row r="356" spans="3:13" ht="13">
      <c r="C356" s="63"/>
      <c r="E356" s="41"/>
      <c r="F356" s="41"/>
      <c r="G356" s="41"/>
      <c r="H356" s="41"/>
      <c r="I356" s="41"/>
      <c r="K356" s="41"/>
      <c r="L356" s="64"/>
      <c r="M356" s="65"/>
    </row>
    <row r="357" spans="3:13" ht="13">
      <c r="C357" s="63"/>
      <c r="E357" s="41"/>
      <c r="F357" s="41"/>
      <c r="G357" s="41"/>
      <c r="H357" s="41"/>
      <c r="I357" s="41"/>
      <c r="K357" s="41"/>
      <c r="L357" s="64"/>
      <c r="M357" s="65"/>
    </row>
    <row r="358" spans="3:13" ht="13">
      <c r="C358" s="63"/>
      <c r="E358" s="41"/>
      <c r="F358" s="41"/>
      <c r="G358" s="41"/>
      <c r="H358" s="41"/>
      <c r="I358" s="41"/>
      <c r="K358" s="41"/>
      <c r="L358" s="64"/>
      <c r="M358" s="65"/>
    </row>
    <row r="359" spans="3:13" ht="13">
      <c r="C359" s="63"/>
      <c r="E359" s="41"/>
      <c r="F359" s="41"/>
      <c r="G359" s="41"/>
      <c r="H359" s="41"/>
      <c r="I359" s="41"/>
      <c r="K359" s="41"/>
      <c r="L359" s="64"/>
      <c r="M359" s="65"/>
    </row>
    <row r="360" spans="3:13" ht="13">
      <c r="C360" s="63"/>
      <c r="E360" s="41"/>
      <c r="F360" s="41"/>
      <c r="G360" s="41"/>
      <c r="H360" s="41"/>
      <c r="I360" s="41"/>
      <c r="K360" s="41"/>
      <c r="L360" s="64"/>
      <c r="M360" s="65"/>
    </row>
    <row r="361" spans="3:13" ht="13">
      <c r="C361" s="63"/>
      <c r="E361" s="41"/>
      <c r="F361" s="41"/>
      <c r="G361" s="41"/>
      <c r="H361" s="41"/>
      <c r="I361" s="41"/>
      <c r="K361" s="41"/>
      <c r="L361" s="64"/>
      <c r="M361" s="65"/>
    </row>
    <row r="362" spans="3:13" ht="13">
      <c r="C362" s="63"/>
      <c r="E362" s="41"/>
      <c r="F362" s="41"/>
      <c r="G362" s="41"/>
      <c r="H362" s="41"/>
      <c r="I362" s="41"/>
      <c r="K362" s="41"/>
      <c r="L362" s="64"/>
      <c r="M362" s="65"/>
    </row>
    <row r="363" spans="3:13" ht="13">
      <c r="C363" s="63"/>
      <c r="E363" s="41"/>
      <c r="F363" s="41"/>
      <c r="G363" s="41"/>
      <c r="H363" s="41"/>
      <c r="I363" s="41"/>
      <c r="K363" s="41"/>
      <c r="L363" s="64"/>
      <c r="M363" s="65"/>
    </row>
    <row r="364" spans="3:13" ht="13">
      <c r="C364" s="63"/>
      <c r="E364" s="41"/>
      <c r="F364" s="41"/>
      <c r="G364" s="41"/>
      <c r="H364" s="41"/>
      <c r="I364" s="41"/>
      <c r="K364" s="41"/>
      <c r="L364" s="64"/>
      <c r="M364" s="65"/>
    </row>
    <row r="365" spans="3:13" ht="13">
      <c r="C365" s="63"/>
      <c r="E365" s="41"/>
      <c r="F365" s="41"/>
      <c r="G365" s="41"/>
      <c r="H365" s="41"/>
      <c r="I365" s="41"/>
      <c r="K365" s="41"/>
      <c r="L365" s="64"/>
      <c r="M365" s="65"/>
    </row>
    <row r="366" spans="3:13" ht="13">
      <c r="C366" s="63"/>
      <c r="E366" s="41"/>
      <c r="F366" s="41"/>
      <c r="G366" s="41"/>
      <c r="H366" s="41"/>
      <c r="I366" s="41"/>
      <c r="K366" s="41"/>
      <c r="L366" s="64"/>
      <c r="M366" s="65"/>
    </row>
    <row r="367" spans="3:13" ht="13">
      <c r="C367" s="63"/>
      <c r="E367" s="41"/>
      <c r="F367" s="41"/>
      <c r="G367" s="41"/>
      <c r="H367" s="41"/>
      <c r="I367" s="41"/>
      <c r="K367" s="41"/>
      <c r="L367" s="64"/>
      <c r="M367" s="65"/>
    </row>
    <row r="368" spans="3:13" ht="13">
      <c r="C368" s="63"/>
      <c r="E368" s="41"/>
      <c r="F368" s="41"/>
      <c r="G368" s="41"/>
      <c r="H368" s="41"/>
      <c r="I368" s="41"/>
      <c r="K368" s="41"/>
      <c r="L368" s="64"/>
      <c r="M368" s="65"/>
    </row>
    <row r="369" spans="3:13" ht="13">
      <c r="C369" s="63"/>
      <c r="E369" s="41"/>
      <c r="F369" s="41"/>
      <c r="G369" s="41"/>
      <c r="H369" s="41"/>
      <c r="I369" s="41"/>
      <c r="K369" s="41"/>
      <c r="L369" s="64"/>
      <c r="M369" s="65"/>
    </row>
    <row r="370" spans="3:13" ht="13">
      <c r="C370" s="63"/>
      <c r="E370" s="41"/>
      <c r="F370" s="41"/>
      <c r="G370" s="41"/>
      <c r="H370" s="41"/>
      <c r="I370" s="41"/>
      <c r="K370" s="41"/>
      <c r="L370" s="64"/>
      <c r="M370" s="65"/>
    </row>
    <row r="371" spans="3:13" ht="13">
      <c r="C371" s="63"/>
      <c r="E371" s="41"/>
      <c r="F371" s="41"/>
      <c r="G371" s="41"/>
      <c r="H371" s="41"/>
      <c r="I371" s="41"/>
      <c r="K371" s="41"/>
      <c r="L371" s="64"/>
      <c r="M371" s="65"/>
    </row>
    <row r="372" spans="3:13" ht="13">
      <c r="C372" s="63"/>
      <c r="E372" s="41"/>
      <c r="F372" s="41"/>
      <c r="G372" s="41"/>
      <c r="H372" s="41"/>
      <c r="I372" s="41"/>
      <c r="K372" s="41"/>
      <c r="L372" s="64"/>
      <c r="M372" s="65"/>
    </row>
    <row r="373" spans="3:13" ht="13">
      <c r="C373" s="63"/>
      <c r="E373" s="41"/>
      <c r="F373" s="41"/>
      <c r="G373" s="41"/>
      <c r="H373" s="41"/>
      <c r="I373" s="41"/>
      <c r="K373" s="41"/>
      <c r="L373" s="64"/>
      <c r="M373" s="65"/>
    </row>
    <row r="374" spans="3:13" ht="13">
      <c r="C374" s="63"/>
      <c r="E374" s="41"/>
      <c r="F374" s="41"/>
      <c r="G374" s="41"/>
      <c r="H374" s="41"/>
      <c r="I374" s="41"/>
      <c r="K374" s="41"/>
      <c r="L374" s="64"/>
      <c r="M374" s="65"/>
    </row>
    <row r="375" spans="3:13" ht="13">
      <c r="C375" s="63"/>
      <c r="E375" s="41"/>
      <c r="F375" s="41"/>
      <c r="G375" s="41"/>
      <c r="H375" s="41"/>
      <c r="I375" s="41"/>
      <c r="K375" s="41"/>
      <c r="L375" s="64"/>
      <c r="M375" s="65"/>
    </row>
    <row r="376" spans="3:13" ht="13">
      <c r="C376" s="63"/>
      <c r="E376" s="41"/>
      <c r="F376" s="41"/>
      <c r="G376" s="41"/>
      <c r="H376" s="41"/>
      <c r="I376" s="41"/>
      <c r="K376" s="41"/>
      <c r="L376" s="64"/>
      <c r="M376" s="65"/>
    </row>
    <row r="377" spans="3:13" ht="13">
      <c r="C377" s="63"/>
      <c r="E377" s="41"/>
      <c r="F377" s="41"/>
      <c r="G377" s="41"/>
      <c r="H377" s="41"/>
      <c r="I377" s="41"/>
      <c r="K377" s="41"/>
      <c r="L377" s="64"/>
      <c r="M377" s="65"/>
    </row>
    <row r="378" spans="3:13" ht="13">
      <c r="C378" s="63"/>
      <c r="E378" s="41"/>
      <c r="F378" s="41"/>
      <c r="G378" s="41"/>
      <c r="H378" s="41"/>
      <c r="I378" s="41"/>
      <c r="K378" s="41"/>
      <c r="L378" s="64"/>
      <c r="M378" s="65"/>
    </row>
    <row r="379" spans="3:13" ht="13">
      <c r="C379" s="63"/>
      <c r="E379" s="41"/>
      <c r="F379" s="41"/>
      <c r="G379" s="41"/>
      <c r="H379" s="41"/>
      <c r="I379" s="41"/>
      <c r="K379" s="41"/>
      <c r="L379" s="64"/>
      <c r="M379" s="65"/>
    </row>
    <row r="380" spans="3:13" ht="13">
      <c r="C380" s="63"/>
      <c r="E380" s="41"/>
      <c r="F380" s="41"/>
      <c r="G380" s="41"/>
      <c r="H380" s="41"/>
      <c r="I380" s="41"/>
      <c r="K380" s="41"/>
      <c r="L380" s="64"/>
      <c r="M380" s="65"/>
    </row>
    <row r="381" spans="3:13" ht="13">
      <c r="C381" s="63"/>
      <c r="E381" s="41"/>
      <c r="F381" s="41"/>
      <c r="G381" s="41"/>
      <c r="H381" s="41"/>
      <c r="I381" s="41"/>
      <c r="K381" s="41"/>
      <c r="L381" s="64"/>
      <c r="M381" s="65"/>
    </row>
    <row r="382" spans="3:13" ht="13">
      <c r="C382" s="63"/>
      <c r="E382" s="41"/>
      <c r="F382" s="41"/>
      <c r="G382" s="41"/>
      <c r="H382" s="41"/>
      <c r="I382" s="41"/>
      <c r="K382" s="41"/>
      <c r="L382" s="64"/>
      <c r="M382" s="65"/>
    </row>
    <row r="383" spans="3:13" ht="13">
      <c r="C383" s="63"/>
      <c r="E383" s="41"/>
      <c r="F383" s="41"/>
      <c r="G383" s="41"/>
      <c r="H383" s="41"/>
      <c r="I383" s="41"/>
      <c r="K383" s="41"/>
      <c r="L383" s="64"/>
      <c r="M383" s="65"/>
    </row>
    <row r="384" spans="3:13" ht="13">
      <c r="C384" s="63"/>
      <c r="E384" s="41"/>
      <c r="F384" s="41"/>
      <c r="G384" s="41"/>
      <c r="H384" s="41"/>
      <c r="I384" s="41"/>
      <c r="K384" s="41"/>
      <c r="L384" s="64"/>
      <c r="M384" s="65"/>
    </row>
    <row r="385" spans="3:13" ht="13">
      <c r="C385" s="63"/>
      <c r="E385" s="41"/>
      <c r="F385" s="41"/>
      <c r="G385" s="41"/>
      <c r="H385" s="41"/>
      <c r="I385" s="41"/>
      <c r="K385" s="41"/>
      <c r="L385" s="64"/>
      <c r="M385" s="65"/>
    </row>
    <row r="386" spans="3:13" ht="13">
      <c r="C386" s="63"/>
      <c r="E386" s="41"/>
      <c r="F386" s="41"/>
      <c r="G386" s="41"/>
      <c r="H386" s="41"/>
      <c r="I386" s="41"/>
      <c r="K386" s="41"/>
      <c r="L386" s="64"/>
      <c r="M386" s="65"/>
    </row>
    <row r="387" spans="3:13" ht="13">
      <c r="C387" s="63"/>
      <c r="E387" s="41"/>
      <c r="F387" s="41"/>
      <c r="G387" s="41"/>
      <c r="H387" s="41"/>
      <c r="I387" s="41"/>
      <c r="K387" s="41"/>
      <c r="L387" s="64"/>
      <c r="M387" s="65"/>
    </row>
    <row r="388" spans="3:13" ht="13">
      <c r="C388" s="63"/>
      <c r="E388" s="41"/>
      <c r="F388" s="41"/>
      <c r="G388" s="41"/>
      <c r="H388" s="41"/>
      <c r="I388" s="41"/>
      <c r="K388" s="41"/>
      <c r="L388" s="64"/>
      <c r="M388" s="65"/>
    </row>
    <row r="389" spans="3:13" ht="13">
      <c r="C389" s="63"/>
      <c r="E389" s="41"/>
      <c r="F389" s="41"/>
      <c r="G389" s="41"/>
      <c r="H389" s="41"/>
      <c r="I389" s="41"/>
      <c r="K389" s="41"/>
      <c r="L389" s="64"/>
      <c r="M389" s="65"/>
    </row>
    <row r="390" spans="3:13" ht="13">
      <c r="C390" s="63"/>
      <c r="E390" s="41"/>
      <c r="F390" s="41"/>
      <c r="G390" s="41"/>
      <c r="H390" s="41"/>
      <c r="I390" s="41"/>
      <c r="K390" s="41"/>
      <c r="L390" s="64"/>
      <c r="M390" s="65"/>
    </row>
    <row r="391" spans="3:13" ht="13">
      <c r="C391" s="63"/>
      <c r="E391" s="41"/>
      <c r="F391" s="41"/>
      <c r="G391" s="41"/>
      <c r="H391" s="41"/>
      <c r="I391" s="41"/>
      <c r="K391" s="41"/>
      <c r="L391" s="64"/>
      <c r="M391" s="65"/>
    </row>
    <row r="392" spans="3:13" ht="13">
      <c r="C392" s="63"/>
      <c r="E392" s="41"/>
      <c r="F392" s="41"/>
      <c r="G392" s="41"/>
      <c r="H392" s="41"/>
      <c r="I392" s="41"/>
      <c r="K392" s="41"/>
      <c r="L392" s="64"/>
      <c r="M392" s="65"/>
    </row>
    <row r="393" spans="3:13" ht="13">
      <c r="C393" s="63"/>
      <c r="E393" s="41"/>
      <c r="F393" s="41"/>
      <c r="G393" s="41"/>
      <c r="H393" s="41"/>
      <c r="I393" s="41"/>
      <c r="K393" s="41"/>
      <c r="L393" s="64"/>
      <c r="M393" s="65"/>
    </row>
    <row r="394" spans="3:13" ht="13">
      <c r="C394" s="63"/>
      <c r="E394" s="41"/>
      <c r="F394" s="41"/>
      <c r="G394" s="41"/>
      <c r="H394" s="41"/>
      <c r="I394" s="41"/>
      <c r="K394" s="41"/>
      <c r="L394" s="64"/>
      <c r="M394" s="65"/>
    </row>
    <row r="395" spans="3:13" ht="13">
      <c r="C395" s="63"/>
      <c r="E395" s="41"/>
      <c r="F395" s="41"/>
      <c r="G395" s="41"/>
      <c r="H395" s="41"/>
      <c r="I395" s="41"/>
      <c r="K395" s="41"/>
      <c r="L395" s="64"/>
      <c r="M395" s="65"/>
    </row>
    <row r="396" spans="3:13" ht="13">
      <c r="C396" s="63"/>
      <c r="E396" s="41"/>
      <c r="F396" s="41"/>
      <c r="G396" s="41"/>
      <c r="H396" s="41"/>
      <c r="I396" s="41"/>
      <c r="K396" s="41"/>
      <c r="L396" s="64"/>
      <c r="M396" s="65"/>
    </row>
    <row r="397" spans="3:13" ht="13">
      <c r="C397" s="63"/>
      <c r="E397" s="41"/>
      <c r="F397" s="41"/>
      <c r="G397" s="41"/>
      <c r="H397" s="41"/>
      <c r="I397" s="41"/>
      <c r="K397" s="41"/>
      <c r="L397" s="64"/>
      <c r="M397" s="65"/>
    </row>
    <row r="398" spans="3:13" ht="13">
      <c r="C398" s="63"/>
      <c r="E398" s="41"/>
      <c r="F398" s="41"/>
      <c r="G398" s="41"/>
      <c r="H398" s="41"/>
      <c r="I398" s="41"/>
      <c r="K398" s="41"/>
      <c r="L398" s="64"/>
      <c r="M398" s="65"/>
    </row>
    <row r="399" spans="3:13" ht="13">
      <c r="C399" s="63"/>
      <c r="E399" s="41"/>
      <c r="F399" s="41"/>
      <c r="G399" s="41"/>
      <c r="H399" s="41"/>
      <c r="I399" s="41"/>
      <c r="K399" s="41"/>
      <c r="L399" s="64"/>
      <c r="M399" s="65"/>
    </row>
    <row r="400" spans="3:13" ht="13">
      <c r="C400" s="63"/>
      <c r="E400" s="41"/>
      <c r="F400" s="41"/>
      <c r="G400" s="41"/>
      <c r="H400" s="41"/>
      <c r="I400" s="41"/>
      <c r="K400" s="41"/>
      <c r="L400" s="64"/>
      <c r="M400" s="65"/>
    </row>
    <row r="401" spans="3:13" ht="13">
      <c r="C401" s="63"/>
      <c r="E401" s="41"/>
      <c r="F401" s="41"/>
      <c r="G401" s="41"/>
      <c r="H401" s="41"/>
      <c r="I401" s="41"/>
      <c r="K401" s="41"/>
      <c r="L401" s="64"/>
      <c r="M401" s="65"/>
    </row>
    <row r="402" spans="3:13" ht="13">
      <c r="C402" s="63"/>
      <c r="E402" s="41"/>
      <c r="F402" s="41"/>
      <c r="G402" s="41"/>
      <c r="H402" s="41"/>
      <c r="I402" s="41"/>
      <c r="K402" s="41"/>
      <c r="L402" s="64"/>
      <c r="M402" s="65"/>
    </row>
    <row r="403" spans="3:13" ht="13">
      <c r="C403" s="63"/>
      <c r="E403" s="41"/>
      <c r="F403" s="41"/>
      <c r="G403" s="41"/>
      <c r="H403" s="41"/>
      <c r="I403" s="41"/>
      <c r="K403" s="41"/>
      <c r="L403" s="64"/>
      <c r="M403" s="65"/>
    </row>
    <row r="404" spans="3:13" ht="13">
      <c r="C404" s="63"/>
      <c r="E404" s="41"/>
      <c r="F404" s="41"/>
      <c r="G404" s="41"/>
      <c r="H404" s="41"/>
      <c r="I404" s="41"/>
      <c r="K404" s="41"/>
      <c r="L404" s="64"/>
      <c r="M404" s="65"/>
    </row>
    <row r="405" spans="3:13" ht="13">
      <c r="C405" s="63"/>
      <c r="E405" s="41"/>
      <c r="F405" s="41"/>
      <c r="G405" s="41"/>
      <c r="H405" s="41"/>
      <c r="I405" s="41"/>
      <c r="K405" s="41"/>
      <c r="L405" s="64"/>
      <c r="M405" s="65"/>
    </row>
    <row r="406" spans="3:13" ht="13">
      <c r="C406" s="63"/>
      <c r="E406" s="41"/>
      <c r="F406" s="41"/>
      <c r="G406" s="41"/>
      <c r="H406" s="41"/>
      <c r="I406" s="41"/>
      <c r="K406" s="41"/>
      <c r="L406" s="64"/>
      <c r="M406" s="65"/>
    </row>
    <row r="407" spans="3:13" ht="13">
      <c r="C407" s="63"/>
      <c r="E407" s="41"/>
      <c r="F407" s="41"/>
      <c r="G407" s="41"/>
      <c r="H407" s="41"/>
      <c r="I407" s="41"/>
      <c r="K407" s="41"/>
      <c r="L407" s="64"/>
      <c r="M407" s="65"/>
    </row>
    <row r="408" spans="3:13" ht="13">
      <c r="C408" s="63"/>
      <c r="E408" s="41"/>
      <c r="F408" s="41"/>
      <c r="G408" s="41"/>
      <c r="H408" s="41"/>
      <c r="I408" s="41"/>
      <c r="K408" s="41"/>
      <c r="L408" s="64"/>
      <c r="M408" s="65"/>
    </row>
    <row r="409" spans="3:13" ht="13">
      <c r="C409" s="63"/>
      <c r="E409" s="41"/>
      <c r="F409" s="41"/>
      <c r="G409" s="41"/>
      <c r="H409" s="41"/>
      <c r="I409" s="41"/>
      <c r="K409" s="41"/>
      <c r="L409" s="64"/>
      <c r="M409" s="65"/>
    </row>
    <row r="410" spans="3:13" ht="13">
      <c r="C410" s="63"/>
      <c r="E410" s="41"/>
      <c r="F410" s="41"/>
      <c r="G410" s="41"/>
      <c r="H410" s="41"/>
      <c r="I410" s="41"/>
      <c r="K410" s="41"/>
      <c r="L410" s="64"/>
      <c r="M410" s="65"/>
    </row>
    <row r="411" spans="3:13" ht="13">
      <c r="C411" s="63"/>
      <c r="E411" s="41"/>
      <c r="F411" s="41"/>
      <c r="G411" s="41"/>
      <c r="H411" s="41"/>
      <c r="I411" s="41"/>
      <c r="K411" s="41"/>
      <c r="L411" s="64"/>
      <c r="M411" s="65"/>
    </row>
    <row r="412" spans="3:13" ht="13">
      <c r="C412" s="63"/>
      <c r="E412" s="41"/>
      <c r="F412" s="41"/>
      <c r="G412" s="41"/>
      <c r="H412" s="41"/>
      <c r="I412" s="41"/>
      <c r="K412" s="41"/>
      <c r="L412" s="64"/>
      <c r="M412" s="65"/>
    </row>
    <row r="413" spans="3:13" ht="13">
      <c r="C413" s="63"/>
      <c r="E413" s="41"/>
      <c r="F413" s="41"/>
      <c r="G413" s="41"/>
      <c r="H413" s="41"/>
      <c r="I413" s="41"/>
      <c r="K413" s="41"/>
      <c r="L413" s="64"/>
      <c r="M413" s="65"/>
    </row>
    <row r="414" spans="3:13" ht="13">
      <c r="C414" s="63"/>
      <c r="E414" s="41"/>
      <c r="F414" s="41"/>
      <c r="G414" s="41"/>
      <c r="H414" s="41"/>
      <c r="I414" s="41"/>
      <c r="K414" s="41"/>
      <c r="L414" s="64"/>
      <c r="M414" s="65"/>
    </row>
    <row r="415" spans="3:13" ht="13">
      <c r="C415" s="63"/>
      <c r="E415" s="41"/>
      <c r="F415" s="41"/>
      <c r="G415" s="41"/>
      <c r="H415" s="41"/>
      <c r="I415" s="41"/>
      <c r="K415" s="41"/>
      <c r="L415" s="64"/>
      <c r="M415" s="65"/>
    </row>
    <row r="416" spans="3:13" ht="13">
      <c r="C416" s="63"/>
      <c r="E416" s="41"/>
      <c r="F416" s="41"/>
      <c r="G416" s="41"/>
      <c r="H416" s="41"/>
      <c r="I416" s="41"/>
      <c r="K416" s="41"/>
      <c r="L416" s="64"/>
      <c r="M416" s="65"/>
    </row>
    <row r="417" spans="3:13" ht="13">
      <c r="C417" s="63"/>
      <c r="E417" s="41"/>
      <c r="F417" s="41"/>
      <c r="G417" s="41"/>
      <c r="H417" s="41"/>
      <c r="I417" s="41"/>
      <c r="K417" s="41"/>
      <c r="L417" s="64"/>
      <c r="M417" s="65"/>
    </row>
    <row r="418" spans="3:13" ht="13">
      <c r="C418" s="63"/>
      <c r="E418" s="41"/>
      <c r="F418" s="41"/>
      <c r="G418" s="41"/>
      <c r="H418" s="41"/>
      <c r="I418" s="41"/>
      <c r="K418" s="41"/>
      <c r="L418" s="64"/>
      <c r="M418" s="65"/>
    </row>
    <row r="419" spans="3:13" ht="13">
      <c r="C419" s="63"/>
      <c r="E419" s="41"/>
      <c r="F419" s="41"/>
      <c r="G419" s="41"/>
      <c r="H419" s="41"/>
      <c r="I419" s="41"/>
      <c r="K419" s="41"/>
      <c r="L419" s="64"/>
      <c r="M419" s="65"/>
    </row>
    <row r="420" spans="3:13" ht="13">
      <c r="C420" s="63"/>
      <c r="E420" s="41"/>
      <c r="F420" s="41"/>
      <c r="G420" s="41"/>
      <c r="H420" s="41"/>
      <c r="I420" s="41"/>
      <c r="K420" s="41"/>
      <c r="L420" s="64"/>
      <c r="M420" s="65"/>
    </row>
    <row r="421" spans="3:13" ht="13">
      <c r="C421" s="63"/>
      <c r="E421" s="41"/>
      <c r="F421" s="41"/>
      <c r="G421" s="41"/>
      <c r="H421" s="41"/>
      <c r="I421" s="41"/>
      <c r="K421" s="41"/>
      <c r="L421" s="64"/>
      <c r="M421" s="65"/>
    </row>
    <row r="422" spans="3:13" ht="13">
      <c r="C422" s="63"/>
      <c r="E422" s="41"/>
      <c r="F422" s="41"/>
      <c r="G422" s="41"/>
      <c r="H422" s="41"/>
      <c r="I422" s="41"/>
      <c r="K422" s="41"/>
      <c r="L422" s="64"/>
      <c r="M422" s="65"/>
    </row>
    <row r="423" spans="3:13" ht="13">
      <c r="C423" s="63"/>
      <c r="E423" s="41"/>
      <c r="F423" s="41"/>
      <c r="G423" s="41"/>
      <c r="H423" s="41"/>
      <c r="I423" s="41"/>
      <c r="K423" s="41"/>
      <c r="L423" s="64"/>
      <c r="M423" s="65"/>
    </row>
    <row r="424" spans="3:13" ht="13">
      <c r="C424" s="63"/>
      <c r="E424" s="41"/>
      <c r="F424" s="41"/>
      <c r="G424" s="41"/>
      <c r="H424" s="41"/>
      <c r="I424" s="41"/>
      <c r="K424" s="41"/>
      <c r="L424" s="64"/>
      <c r="M424" s="65"/>
    </row>
    <row r="425" spans="3:13" ht="13">
      <c r="C425" s="63"/>
      <c r="E425" s="41"/>
      <c r="F425" s="41"/>
      <c r="G425" s="41"/>
      <c r="H425" s="41"/>
      <c r="I425" s="41"/>
      <c r="K425" s="41"/>
      <c r="L425" s="64"/>
      <c r="M425" s="65"/>
    </row>
    <row r="426" spans="3:13" ht="13">
      <c r="C426" s="63"/>
      <c r="E426" s="41"/>
      <c r="F426" s="41"/>
      <c r="G426" s="41"/>
      <c r="H426" s="41"/>
      <c r="I426" s="41"/>
      <c r="K426" s="41"/>
      <c r="L426" s="64"/>
      <c r="M426" s="65"/>
    </row>
    <row r="427" spans="3:13" ht="13">
      <c r="C427" s="63"/>
      <c r="E427" s="41"/>
      <c r="F427" s="41"/>
      <c r="G427" s="41"/>
      <c r="H427" s="41"/>
      <c r="I427" s="41"/>
      <c r="K427" s="41"/>
      <c r="L427" s="64"/>
      <c r="M427" s="65"/>
    </row>
    <row r="428" spans="3:13" ht="13">
      <c r="C428" s="63"/>
      <c r="E428" s="41"/>
      <c r="F428" s="41"/>
      <c r="G428" s="41"/>
      <c r="H428" s="41"/>
      <c r="I428" s="41"/>
      <c r="K428" s="41"/>
      <c r="L428" s="64"/>
      <c r="M428" s="65"/>
    </row>
    <row r="429" spans="3:13" ht="13">
      <c r="C429" s="63"/>
      <c r="E429" s="41"/>
      <c r="F429" s="41"/>
      <c r="G429" s="41"/>
      <c r="H429" s="41"/>
      <c r="I429" s="41"/>
      <c r="K429" s="41"/>
      <c r="L429" s="64"/>
      <c r="M429" s="65"/>
    </row>
    <row r="430" spans="3:13" ht="13">
      <c r="C430" s="63"/>
      <c r="E430" s="41"/>
      <c r="F430" s="41"/>
      <c r="G430" s="41"/>
      <c r="H430" s="41"/>
      <c r="I430" s="41"/>
      <c r="K430" s="41"/>
      <c r="L430" s="64"/>
      <c r="M430" s="65"/>
    </row>
    <row r="431" spans="3:13" ht="13">
      <c r="C431" s="63"/>
      <c r="E431" s="41"/>
      <c r="F431" s="41"/>
      <c r="G431" s="41"/>
      <c r="H431" s="41"/>
      <c r="I431" s="41"/>
      <c r="K431" s="41"/>
      <c r="L431" s="64"/>
      <c r="M431" s="65"/>
    </row>
    <row r="432" spans="3:13" ht="13">
      <c r="C432" s="63"/>
      <c r="E432" s="41"/>
      <c r="F432" s="41"/>
      <c r="G432" s="41"/>
      <c r="H432" s="41"/>
      <c r="I432" s="41"/>
      <c r="K432" s="41"/>
      <c r="L432" s="64"/>
      <c r="M432" s="65"/>
    </row>
    <row r="433" spans="3:13" ht="13">
      <c r="C433" s="63"/>
      <c r="E433" s="41"/>
      <c r="F433" s="41"/>
      <c r="G433" s="41"/>
      <c r="H433" s="41"/>
      <c r="I433" s="41"/>
      <c r="K433" s="41"/>
      <c r="L433" s="64"/>
      <c r="M433" s="65"/>
    </row>
    <row r="434" spans="3:13" ht="13">
      <c r="C434" s="63"/>
      <c r="E434" s="41"/>
      <c r="F434" s="41"/>
      <c r="G434" s="41"/>
      <c r="H434" s="41"/>
      <c r="I434" s="41"/>
      <c r="K434" s="41"/>
      <c r="L434" s="64"/>
      <c r="M434" s="65"/>
    </row>
    <row r="435" spans="3:13" ht="13">
      <c r="C435" s="63"/>
      <c r="E435" s="41"/>
      <c r="F435" s="41"/>
      <c r="G435" s="41"/>
      <c r="H435" s="41"/>
      <c r="I435" s="41"/>
      <c r="K435" s="41"/>
      <c r="L435" s="64"/>
      <c r="M435" s="65"/>
    </row>
    <row r="436" spans="3:13" ht="13">
      <c r="C436" s="63"/>
      <c r="E436" s="41"/>
      <c r="F436" s="41"/>
      <c r="G436" s="41"/>
      <c r="H436" s="41"/>
      <c r="I436" s="41"/>
      <c r="K436" s="41"/>
      <c r="L436" s="64"/>
      <c r="M436" s="65"/>
    </row>
    <row r="437" spans="3:13" ht="13">
      <c r="C437" s="63"/>
      <c r="E437" s="41"/>
      <c r="F437" s="41"/>
      <c r="G437" s="41"/>
      <c r="H437" s="41"/>
      <c r="I437" s="41"/>
      <c r="K437" s="41"/>
      <c r="L437" s="64"/>
      <c r="M437" s="65"/>
    </row>
    <row r="438" spans="3:13" ht="13">
      <c r="C438" s="63"/>
      <c r="E438" s="41"/>
      <c r="F438" s="41"/>
      <c r="G438" s="41"/>
      <c r="H438" s="41"/>
      <c r="I438" s="41"/>
      <c r="K438" s="41"/>
      <c r="L438" s="64"/>
      <c r="M438" s="65"/>
    </row>
    <row r="439" spans="3:13" ht="13">
      <c r="C439" s="63"/>
      <c r="E439" s="41"/>
      <c r="F439" s="41"/>
      <c r="G439" s="41"/>
      <c r="H439" s="41"/>
      <c r="I439" s="41"/>
      <c r="K439" s="41"/>
      <c r="L439" s="64"/>
      <c r="M439" s="65"/>
    </row>
    <row r="440" spans="3:13" ht="13">
      <c r="C440" s="63"/>
      <c r="E440" s="41"/>
      <c r="F440" s="41"/>
      <c r="G440" s="41"/>
      <c r="H440" s="41"/>
      <c r="I440" s="41"/>
      <c r="K440" s="41"/>
      <c r="L440" s="64"/>
      <c r="M440" s="65"/>
    </row>
    <row r="441" spans="3:13" ht="13">
      <c r="C441" s="63"/>
      <c r="E441" s="41"/>
      <c r="F441" s="41"/>
      <c r="G441" s="41"/>
      <c r="H441" s="41"/>
      <c r="I441" s="41"/>
      <c r="K441" s="41"/>
      <c r="L441" s="64"/>
      <c r="M441" s="65"/>
    </row>
    <row r="442" spans="3:13" ht="13">
      <c r="C442" s="63"/>
      <c r="E442" s="41"/>
      <c r="F442" s="41"/>
      <c r="G442" s="41"/>
      <c r="H442" s="41"/>
      <c r="I442" s="41"/>
      <c r="K442" s="41"/>
      <c r="L442" s="64"/>
      <c r="M442" s="65"/>
    </row>
    <row r="443" spans="3:13" ht="13">
      <c r="C443" s="63"/>
      <c r="E443" s="41"/>
      <c r="F443" s="41"/>
      <c r="G443" s="41"/>
      <c r="H443" s="41"/>
      <c r="I443" s="41"/>
      <c r="K443" s="41"/>
      <c r="L443" s="64"/>
      <c r="M443" s="65"/>
    </row>
    <row r="444" spans="3:13" ht="13">
      <c r="C444" s="63"/>
      <c r="E444" s="41"/>
      <c r="F444" s="41"/>
      <c r="G444" s="41"/>
      <c r="H444" s="41"/>
      <c r="I444" s="41"/>
      <c r="K444" s="41"/>
      <c r="L444" s="64"/>
      <c r="M444" s="65"/>
    </row>
    <row r="445" spans="3:13" ht="13">
      <c r="C445" s="63"/>
      <c r="E445" s="41"/>
      <c r="F445" s="41"/>
      <c r="G445" s="41"/>
      <c r="H445" s="41"/>
      <c r="I445" s="41"/>
      <c r="K445" s="41"/>
      <c r="L445" s="64"/>
      <c r="M445" s="65"/>
    </row>
    <row r="446" spans="3:13" ht="13">
      <c r="C446" s="63"/>
      <c r="E446" s="41"/>
      <c r="F446" s="41"/>
      <c r="G446" s="41"/>
      <c r="H446" s="41"/>
      <c r="I446" s="41"/>
      <c r="K446" s="41"/>
      <c r="L446" s="64"/>
      <c r="M446" s="65"/>
    </row>
    <row r="447" spans="3:13" ht="13">
      <c r="C447" s="63"/>
      <c r="E447" s="41"/>
      <c r="F447" s="41"/>
      <c r="G447" s="41"/>
      <c r="H447" s="41"/>
      <c r="I447" s="41"/>
      <c r="K447" s="41"/>
      <c r="L447" s="64"/>
      <c r="M447" s="65"/>
    </row>
    <row r="448" spans="3:13" ht="13">
      <c r="C448" s="63"/>
      <c r="E448" s="41"/>
      <c r="F448" s="41"/>
      <c r="G448" s="41"/>
      <c r="H448" s="41"/>
      <c r="I448" s="41"/>
      <c r="K448" s="41"/>
      <c r="L448" s="64"/>
      <c r="M448" s="65"/>
    </row>
    <row r="449" spans="3:13" ht="13">
      <c r="C449" s="63"/>
      <c r="E449" s="41"/>
      <c r="F449" s="41"/>
      <c r="G449" s="41"/>
      <c r="H449" s="41"/>
      <c r="I449" s="41"/>
      <c r="K449" s="41"/>
      <c r="L449" s="64"/>
      <c r="M449" s="65"/>
    </row>
    <row r="450" spans="3:13" ht="13">
      <c r="C450" s="63"/>
      <c r="E450" s="41"/>
      <c r="F450" s="41"/>
      <c r="G450" s="41"/>
      <c r="H450" s="41"/>
      <c r="I450" s="41"/>
      <c r="K450" s="41"/>
      <c r="L450" s="64"/>
      <c r="M450" s="65"/>
    </row>
    <row r="451" spans="3:13" ht="13">
      <c r="C451" s="63"/>
      <c r="E451" s="41"/>
      <c r="F451" s="41"/>
      <c r="G451" s="41"/>
      <c r="H451" s="41"/>
      <c r="I451" s="41"/>
      <c r="K451" s="41"/>
      <c r="L451" s="64"/>
      <c r="M451" s="65"/>
    </row>
    <row r="452" spans="3:13" ht="13">
      <c r="C452" s="63"/>
      <c r="E452" s="41"/>
      <c r="F452" s="41"/>
      <c r="G452" s="41"/>
      <c r="H452" s="41"/>
      <c r="I452" s="41"/>
      <c r="K452" s="41"/>
      <c r="L452" s="64"/>
      <c r="M452" s="65"/>
    </row>
    <row r="453" spans="3:13" ht="13">
      <c r="C453" s="63"/>
      <c r="E453" s="41"/>
      <c r="F453" s="41"/>
      <c r="G453" s="41"/>
      <c r="H453" s="41"/>
      <c r="I453" s="41"/>
      <c r="K453" s="41"/>
      <c r="L453" s="64"/>
      <c r="M453" s="65"/>
    </row>
    <row r="454" spans="3:13" ht="13">
      <c r="C454" s="63"/>
      <c r="E454" s="41"/>
      <c r="F454" s="41"/>
      <c r="G454" s="41"/>
      <c r="H454" s="41"/>
      <c r="I454" s="41"/>
      <c r="K454" s="41"/>
      <c r="L454" s="64"/>
      <c r="M454" s="65"/>
    </row>
    <row r="455" spans="3:13" ht="13">
      <c r="C455" s="63"/>
      <c r="E455" s="41"/>
      <c r="F455" s="41"/>
      <c r="G455" s="41"/>
      <c r="H455" s="41"/>
      <c r="I455" s="41"/>
      <c r="K455" s="41"/>
      <c r="L455" s="64"/>
      <c r="M455" s="65"/>
    </row>
    <row r="456" spans="3:13" ht="13">
      <c r="C456" s="63"/>
      <c r="E456" s="41"/>
      <c r="F456" s="41"/>
      <c r="G456" s="41"/>
      <c r="H456" s="41"/>
      <c r="I456" s="41"/>
      <c r="K456" s="41"/>
      <c r="L456" s="64"/>
      <c r="M456" s="65"/>
    </row>
    <row r="457" spans="3:13" ht="13">
      <c r="C457" s="63"/>
      <c r="E457" s="41"/>
      <c r="F457" s="41"/>
      <c r="G457" s="41"/>
      <c r="H457" s="41"/>
      <c r="I457" s="41"/>
      <c r="K457" s="41"/>
      <c r="L457" s="64"/>
      <c r="M457" s="65"/>
    </row>
    <row r="458" spans="3:13" ht="13">
      <c r="C458" s="63"/>
      <c r="E458" s="41"/>
      <c r="F458" s="41"/>
      <c r="G458" s="41"/>
      <c r="H458" s="41"/>
      <c r="I458" s="41"/>
      <c r="K458" s="41"/>
      <c r="L458" s="64"/>
      <c r="M458" s="65"/>
    </row>
    <row r="459" spans="3:13" ht="13">
      <c r="C459" s="63"/>
      <c r="E459" s="41"/>
      <c r="F459" s="41"/>
      <c r="G459" s="41"/>
      <c r="H459" s="41"/>
      <c r="I459" s="41"/>
      <c r="K459" s="41"/>
      <c r="L459" s="64"/>
      <c r="M459" s="65"/>
    </row>
    <row r="460" spans="3:13" ht="13">
      <c r="C460" s="63"/>
      <c r="E460" s="41"/>
      <c r="F460" s="41"/>
      <c r="G460" s="41"/>
      <c r="H460" s="41"/>
      <c r="I460" s="41"/>
      <c r="K460" s="41"/>
      <c r="L460" s="64"/>
      <c r="M460" s="65"/>
    </row>
    <row r="461" spans="3:13" ht="13">
      <c r="C461" s="63"/>
      <c r="E461" s="41"/>
      <c r="F461" s="41"/>
      <c r="G461" s="41"/>
      <c r="H461" s="41"/>
      <c r="I461" s="41"/>
      <c r="K461" s="41"/>
      <c r="L461" s="64"/>
      <c r="M461" s="65"/>
    </row>
    <row r="462" spans="3:13" ht="13">
      <c r="C462" s="63"/>
      <c r="E462" s="41"/>
      <c r="F462" s="41"/>
      <c r="G462" s="41"/>
      <c r="H462" s="41"/>
      <c r="I462" s="41"/>
      <c r="K462" s="41"/>
      <c r="L462" s="64"/>
      <c r="M462" s="65"/>
    </row>
    <row r="463" spans="3:13" ht="13">
      <c r="C463" s="63"/>
      <c r="E463" s="41"/>
      <c r="F463" s="41"/>
      <c r="G463" s="41"/>
      <c r="H463" s="41"/>
      <c r="I463" s="41"/>
      <c r="K463" s="41"/>
      <c r="L463" s="64"/>
      <c r="M463" s="65"/>
    </row>
    <row r="464" spans="3:13" ht="13">
      <c r="C464" s="63"/>
      <c r="E464" s="41"/>
      <c r="F464" s="41"/>
      <c r="G464" s="41"/>
      <c r="H464" s="41"/>
      <c r="I464" s="41"/>
      <c r="K464" s="41"/>
      <c r="L464" s="64"/>
      <c r="M464" s="65"/>
    </row>
    <row r="465" spans="3:13" ht="13">
      <c r="C465" s="63"/>
      <c r="E465" s="41"/>
      <c r="F465" s="41"/>
      <c r="G465" s="41"/>
      <c r="H465" s="41"/>
      <c r="I465" s="41"/>
      <c r="K465" s="41"/>
      <c r="L465" s="64"/>
      <c r="M465" s="65"/>
    </row>
    <row r="466" spans="3:13" ht="13">
      <c r="C466" s="63"/>
      <c r="E466" s="41"/>
      <c r="F466" s="41"/>
      <c r="G466" s="41"/>
      <c r="H466" s="41"/>
      <c r="I466" s="41"/>
      <c r="K466" s="41"/>
      <c r="L466" s="64"/>
      <c r="M466" s="65"/>
    </row>
    <row r="467" spans="3:13" ht="13">
      <c r="C467" s="63"/>
      <c r="E467" s="41"/>
      <c r="F467" s="41"/>
      <c r="G467" s="41"/>
      <c r="H467" s="41"/>
      <c r="I467" s="41"/>
      <c r="K467" s="41"/>
      <c r="L467" s="64"/>
      <c r="M467" s="65"/>
    </row>
    <row r="468" spans="3:13" ht="13">
      <c r="C468" s="63"/>
      <c r="E468" s="41"/>
      <c r="F468" s="41"/>
      <c r="G468" s="41"/>
      <c r="H468" s="41"/>
      <c r="I468" s="41"/>
      <c r="K468" s="41"/>
      <c r="L468" s="64"/>
      <c r="M468" s="65"/>
    </row>
    <row r="469" spans="3:13" ht="13">
      <c r="C469" s="63"/>
      <c r="E469" s="41"/>
      <c r="F469" s="41"/>
      <c r="G469" s="41"/>
      <c r="H469" s="41"/>
      <c r="I469" s="41"/>
      <c r="K469" s="41"/>
      <c r="L469" s="64"/>
      <c r="M469" s="65"/>
    </row>
    <row r="470" spans="3:13" ht="13">
      <c r="C470" s="63"/>
      <c r="E470" s="41"/>
      <c r="F470" s="41"/>
      <c r="G470" s="41"/>
      <c r="H470" s="41"/>
      <c r="I470" s="41"/>
      <c r="K470" s="41"/>
      <c r="L470" s="64"/>
      <c r="M470" s="65"/>
    </row>
    <row r="471" spans="3:13" ht="13">
      <c r="C471" s="63"/>
      <c r="E471" s="41"/>
      <c r="F471" s="41"/>
      <c r="G471" s="41"/>
      <c r="H471" s="41"/>
      <c r="I471" s="41"/>
      <c r="K471" s="41"/>
      <c r="L471" s="64"/>
      <c r="M471" s="65"/>
    </row>
    <row r="472" spans="3:13" ht="13">
      <c r="C472" s="63"/>
      <c r="E472" s="41"/>
      <c r="F472" s="41"/>
      <c r="G472" s="41"/>
      <c r="H472" s="41"/>
      <c r="I472" s="41"/>
      <c r="K472" s="41"/>
      <c r="L472" s="64"/>
      <c r="M472" s="65"/>
    </row>
    <row r="473" spans="3:13" ht="13">
      <c r="C473" s="63"/>
      <c r="E473" s="41"/>
      <c r="F473" s="41"/>
      <c r="G473" s="41"/>
      <c r="H473" s="41"/>
      <c r="I473" s="41"/>
      <c r="K473" s="41"/>
      <c r="L473" s="64"/>
      <c r="M473" s="65"/>
    </row>
    <row r="474" spans="3:13" ht="13">
      <c r="C474" s="63"/>
      <c r="E474" s="41"/>
      <c r="F474" s="41"/>
      <c r="G474" s="41"/>
      <c r="H474" s="41"/>
      <c r="I474" s="41"/>
      <c r="K474" s="41"/>
      <c r="L474" s="64"/>
      <c r="M474" s="65"/>
    </row>
    <row r="475" spans="3:13" ht="13">
      <c r="C475" s="63"/>
      <c r="E475" s="41"/>
      <c r="F475" s="41"/>
      <c r="G475" s="41"/>
      <c r="H475" s="41"/>
      <c r="I475" s="41"/>
      <c r="K475" s="41"/>
      <c r="L475" s="64"/>
      <c r="M475" s="65"/>
    </row>
    <row r="476" spans="3:13" ht="13">
      <c r="C476" s="63"/>
      <c r="E476" s="41"/>
      <c r="F476" s="41"/>
      <c r="G476" s="41"/>
      <c r="H476" s="41"/>
      <c r="I476" s="41"/>
      <c r="K476" s="41"/>
      <c r="L476" s="64"/>
      <c r="M476" s="65"/>
    </row>
    <row r="477" spans="3:13" ht="13">
      <c r="C477" s="63"/>
      <c r="E477" s="41"/>
      <c r="F477" s="41"/>
      <c r="G477" s="41"/>
      <c r="H477" s="41"/>
      <c r="I477" s="41"/>
      <c r="K477" s="41"/>
      <c r="L477" s="64"/>
      <c r="M477" s="65"/>
    </row>
    <row r="478" spans="3:13" ht="13">
      <c r="C478" s="63"/>
      <c r="E478" s="41"/>
      <c r="F478" s="41"/>
      <c r="G478" s="41"/>
      <c r="H478" s="41"/>
      <c r="I478" s="41"/>
      <c r="K478" s="41"/>
      <c r="L478" s="64"/>
      <c r="M478" s="65"/>
    </row>
    <row r="479" spans="3:13" ht="13">
      <c r="C479" s="63"/>
      <c r="E479" s="41"/>
      <c r="F479" s="41"/>
      <c r="G479" s="41"/>
      <c r="H479" s="41"/>
      <c r="I479" s="41"/>
      <c r="K479" s="41"/>
      <c r="L479" s="64"/>
      <c r="M479" s="65"/>
    </row>
    <row r="480" spans="3:13" ht="13">
      <c r="C480" s="63"/>
      <c r="E480" s="41"/>
      <c r="F480" s="41"/>
      <c r="G480" s="41"/>
      <c r="H480" s="41"/>
      <c r="I480" s="41"/>
      <c r="K480" s="41"/>
      <c r="L480" s="64"/>
      <c r="M480" s="65"/>
    </row>
    <row r="481" spans="3:13" ht="13">
      <c r="C481" s="63"/>
      <c r="E481" s="41"/>
      <c r="F481" s="41"/>
      <c r="G481" s="41"/>
      <c r="H481" s="41"/>
      <c r="I481" s="41"/>
      <c r="K481" s="41"/>
      <c r="L481" s="64"/>
      <c r="M481" s="65"/>
    </row>
    <row r="482" spans="3:13" ht="13">
      <c r="C482" s="63"/>
      <c r="E482" s="41"/>
      <c r="F482" s="41"/>
      <c r="G482" s="41"/>
      <c r="H482" s="41"/>
      <c r="I482" s="41"/>
      <c r="K482" s="41"/>
      <c r="L482" s="64"/>
      <c r="M482" s="65"/>
    </row>
    <row r="483" spans="3:13" ht="13">
      <c r="C483" s="63"/>
      <c r="E483" s="41"/>
      <c r="F483" s="41"/>
      <c r="G483" s="41"/>
      <c r="H483" s="41"/>
      <c r="I483" s="41"/>
      <c r="K483" s="41"/>
      <c r="L483" s="64"/>
      <c r="M483" s="65"/>
    </row>
    <row r="484" spans="3:13" ht="13">
      <c r="C484" s="63"/>
      <c r="E484" s="41"/>
      <c r="F484" s="41"/>
      <c r="G484" s="41"/>
      <c r="H484" s="41"/>
      <c r="I484" s="41"/>
      <c r="K484" s="41"/>
      <c r="L484" s="64"/>
      <c r="M484" s="65"/>
    </row>
    <row r="485" spans="3:13" ht="13">
      <c r="C485" s="63"/>
      <c r="E485" s="41"/>
      <c r="F485" s="41"/>
      <c r="G485" s="41"/>
      <c r="H485" s="41"/>
      <c r="I485" s="41"/>
      <c r="K485" s="41"/>
      <c r="L485" s="64"/>
      <c r="M485" s="65"/>
    </row>
    <row r="486" spans="3:13" ht="13">
      <c r="C486" s="63"/>
      <c r="E486" s="41"/>
      <c r="F486" s="41"/>
      <c r="G486" s="41"/>
      <c r="H486" s="41"/>
      <c r="I486" s="41"/>
      <c r="K486" s="41"/>
      <c r="L486" s="64"/>
      <c r="M486" s="65"/>
    </row>
    <row r="487" spans="3:13" ht="13">
      <c r="C487" s="63"/>
      <c r="E487" s="41"/>
      <c r="F487" s="41"/>
      <c r="G487" s="41"/>
      <c r="H487" s="41"/>
      <c r="I487" s="41"/>
      <c r="K487" s="41"/>
      <c r="L487" s="64"/>
      <c r="M487" s="65"/>
    </row>
    <row r="488" spans="3:13" ht="13">
      <c r="C488" s="63"/>
      <c r="E488" s="41"/>
      <c r="F488" s="41"/>
      <c r="G488" s="41"/>
      <c r="H488" s="41"/>
      <c r="I488" s="41"/>
      <c r="K488" s="41"/>
      <c r="L488" s="64"/>
      <c r="M488" s="65"/>
    </row>
    <row r="489" spans="3:13" ht="13">
      <c r="C489" s="63"/>
      <c r="E489" s="41"/>
      <c r="F489" s="41"/>
      <c r="G489" s="41"/>
      <c r="H489" s="41"/>
      <c r="I489" s="41"/>
      <c r="K489" s="41"/>
      <c r="L489" s="64"/>
      <c r="M489" s="65"/>
    </row>
    <row r="490" spans="3:13" ht="13">
      <c r="C490" s="63"/>
      <c r="E490" s="41"/>
      <c r="F490" s="41"/>
      <c r="G490" s="41"/>
      <c r="H490" s="41"/>
      <c r="I490" s="41"/>
      <c r="K490" s="41"/>
      <c r="L490" s="64"/>
      <c r="M490" s="65"/>
    </row>
    <row r="491" spans="3:13" ht="13">
      <c r="C491" s="63"/>
      <c r="E491" s="41"/>
      <c r="F491" s="41"/>
      <c r="G491" s="41"/>
      <c r="H491" s="41"/>
      <c r="I491" s="41"/>
      <c r="K491" s="41"/>
      <c r="L491" s="64"/>
      <c r="M491" s="65"/>
    </row>
    <row r="492" spans="3:13" ht="13">
      <c r="C492" s="63"/>
      <c r="E492" s="41"/>
      <c r="F492" s="41"/>
      <c r="G492" s="41"/>
      <c r="H492" s="41"/>
      <c r="I492" s="41"/>
      <c r="K492" s="41"/>
      <c r="L492" s="64"/>
      <c r="M492" s="65"/>
    </row>
    <row r="493" spans="3:13" ht="13">
      <c r="C493" s="63"/>
      <c r="E493" s="41"/>
      <c r="F493" s="41"/>
      <c r="G493" s="41"/>
      <c r="H493" s="41"/>
      <c r="I493" s="41"/>
      <c r="K493" s="41"/>
      <c r="L493" s="64"/>
      <c r="M493" s="65"/>
    </row>
    <row r="494" spans="3:13" ht="13">
      <c r="C494" s="63"/>
      <c r="E494" s="41"/>
      <c r="F494" s="41"/>
      <c r="G494" s="41"/>
      <c r="H494" s="41"/>
      <c r="I494" s="41"/>
      <c r="K494" s="41"/>
      <c r="L494" s="64"/>
      <c r="M494" s="65"/>
    </row>
    <row r="495" spans="3:13" ht="13">
      <c r="C495" s="63"/>
      <c r="E495" s="41"/>
      <c r="F495" s="41"/>
      <c r="G495" s="41"/>
      <c r="H495" s="41"/>
      <c r="I495" s="41"/>
      <c r="K495" s="41"/>
      <c r="L495" s="64"/>
      <c r="M495" s="65"/>
    </row>
    <row r="496" spans="3:13" ht="13">
      <c r="C496" s="63"/>
      <c r="E496" s="41"/>
      <c r="F496" s="41"/>
      <c r="G496" s="41"/>
      <c r="H496" s="41"/>
      <c r="I496" s="41"/>
      <c r="K496" s="41"/>
      <c r="L496" s="64"/>
      <c r="M496" s="65"/>
    </row>
    <row r="497" spans="3:13" ht="13">
      <c r="C497" s="63"/>
      <c r="E497" s="41"/>
      <c r="F497" s="41"/>
      <c r="G497" s="41"/>
      <c r="H497" s="41"/>
      <c r="I497" s="41"/>
      <c r="K497" s="41"/>
      <c r="L497" s="64"/>
      <c r="M497" s="65"/>
    </row>
    <row r="498" spans="3:13" ht="13">
      <c r="C498" s="63"/>
      <c r="E498" s="41"/>
      <c r="F498" s="41"/>
      <c r="G498" s="41"/>
      <c r="H498" s="41"/>
      <c r="I498" s="41"/>
      <c r="K498" s="41"/>
      <c r="L498" s="64"/>
      <c r="M498" s="65"/>
    </row>
    <row r="499" spans="3:13" ht="13">
      <c r="C499" s="63"/>
      <c r="E499" s="41"/>
      <c r="F499" s="41"/>
      <c r="G499" s="41"/>
      <c r="H499" s="41"/>
      <c r="I499" s="41"/>
      <c r="K499" s="41"/>
      <c r="L499" s="64"/>
      <c r="M499" s="65"/>
    </row>
    <row r="500" spans="3:13" ht="13">
      <c r="C500" s="63"/>
      <c r="E500" s="41"/>
      <c r="F500" s="41"/>
      <c r="G500" s="41"/>
      <c r="H500" s="41"/>
      <c r="I500" s="41"/>
      <c r="K500" s="41"/>
      <c r="L500" s="64"/>
      <c r="M500" s="65"/>
    </row>
    <row r="501" spans="3:13" ht="13">
      <c r="C501" s="63"/>
      <c r="E501" s="41"/>
      <c r="F501" s="41"/>
      <c r="G501" s="41"/>
      <c r="H501" s="41"/>
      <c r="I501" s="41"/>
      <c r="K501" s="41"/>
      <c r="L501" s="64"/>
      <c r="M501" s="65"/>
    </row>
    <row r="502" spans="3:13" ht="13">
      <c r="C502" s="63"/>
      <c r="E502" s="41"/>
      <c r="F502" s="41"/>
      <c r="G502" s="41"/>
      <c r="H502" s="41"/>
      <c r="I502" s="41"/>
      <c r="K502" s="41"/>
      <c r="L502" s="64"/>
      <c r="M502" s="65"/>
    </row>
    <row r="503" spans="3:13" ht="13">
      <c r="C503" s="63"/>
      <c r="E503" s="41"/>
      <c r="F503" s="41"/>
      <c r="G503" s="41"/>
      <c r="H503" s="41"/>
      <c r="I503" s="41"/>
      <c r="K503" s="41"/>
      <c r="L503" s="64"/>
      <c r="M503" s="65"/>
    </row>
    <row r="504" spans="3:13" ht="13">
      <c r="C504" s="63"/>
      <c r="E504" s="41"/>
      <c r="F504" s="41"/>
      <c r="G504" s="41"/>
      <c r="H504" s="41"/>
      <c r="I504" s="41"/>
      <c r="K504" s="41"/>
      <c r="L504" s="64"/>
      <c r="M504" s="65"/>
    </row>
    <row r="505" spans="3:13" ht="13">
      <c r="C505" s="63"/>
      <c r="E505" s="41"/>
      <c r="F505" s="41"/>
      <c r="G505" s="41"/>
      <c r="H505" s="41"/>
      <c r="I505" s="41"/>
      <c r="K505" s="41"/>
      <c r="L505" s="64"/>
      <c r="M505" s="65"/>
    </row>
    <row r="506" spans="3:13" ht="13">
      <c r="C506" s="63"/>
      <c r="E506" s="41"/>
      <c r="F506" s="41"/>
      <c r="G506" s="41"/>
      <c r="H506" s="41"/>
      <c r="I506" s="41"/>
      <c r="K506" s="41"/>
      <c r="L506" s="64"/>
      <c r="M506" s="65"/>
    </row>
    <row r="507" spans="3:13" ht="13">
      <c r="C507" s="63"/>
      <c r="E507" s="41"/>
      <c r="F507" s="41"/>
      <c r="G507" s="41"/>
      <c r="H507" s="41"/>
      <c r="I507" s="41"/>
      <c r="K507" s="41"/>
      <c r="L507" s="64"/>
      <c r="M507" s="65"/>
    </row>
    <row r="508" spans="3:13" ht="13">
      <c r="C508" s="63"/>
      <c r="E508" s="41"/>
      <c r="F508" s="41"/>
      <c r="G508" s="41"/>
      <c r="H508" s="41"/>
      <c r="I508" s="41"/>
      <c r="K508" s="41"/>
      <c r="L508" s="64"/>
      <c r="M508" s="65"/>
    </row>
    <row r="509" spans="3:13" ht="13">
      <c r="C509" s="63"/>
      <c r="E509" s="41"/>
      <c r="F509" s="41"/>
      <c r="G509" s="41"/>
      <c r="H509" s="41"/>
      <c r="I509" s="41"/>
      <c r="K509" s="41"/>
      <c r="L509" s="64"/>
      <c r="M509" s="65"/>
    </row>
    <row r="510" spans="3:13" ht="13">
      <c r="C510" s="63"/>
      <c r="E510" s="41"/>
      <c r="F510" s="41"/>
      <c r="G510" s="41"/>
      <c r="H510" s="41"/>
      <c r="I510" s="41"/>
      <c r="K510" s="41"/>
      <c r="L510" s="64"/>
      <c r="M510" s="65"/>
    </row>
    <row r="511" spans="3:13" ht="13">
      <c r="C511" s="63"/>
      <c r="E511" s="41"/>
      <c r="F511" s="41"/>
      <c r="G511" s="41"/>
      <c r="H511" s="41"/>
      <c r="I511" s="41"/>
      <c r="K511" s="41"/>
      <c r="L511" s="64"/>
      <c r="M511" s="65"/>
    </row>
    <row r="512" spans="3:13" ht="13">
      <c r="C512" s="63"/>
      <c r="E512" s="41"/>
      <c r="F512" s="41"/>
      <c r="G512" s="41"/>
      <c r="H512" s="41"/>
      <c r="I512" s="41"/>
      <c r="K512" s="41"/>
      <c r="L512" s="64"/>
      <c r="M512" s="65"/>
    </row>
    <row r="513" spans="3:13" ht="13">
      <c r="C513" s="63"/>
      <c r="E513" s="41"/>
      <c r="F513" s="41"/>
      <c r="G513" s="41"/>
      <c r="H513" s="41"/>
      <c r="I513" s="41"/>
      <c r="K513" s="41"/>
      <c r="L513" s="64"/>
      <c r="M513" s="65"/>
    </row>
    <row r="514" spans="3:13" ht="13">
      <c r="C514" s="63"/>
      <c r="E514" s="41"/>
      <c r="F514" s="41"/>
      <c r="G514" s="41"/>
      <c r="H514" s="41"/>
      <c r="I514" s="41"/>
      <c r="K514" s="41"/>
      <c r="L514" s="64"/>
      <c r="M514" s="65"/>
    </row>
    <row r="515" spans="3:13" ht="13">
      <c r="C515" s="63"/>
      <c r="E515" s="41"/>
      <c r="F515" s="41"/>
      <c r="G515" s="41"/>
      <c r="H515" s="41"/>
      <c r="I515" s="41"/>
      <c r="K515" s="41"/>
      <c r="L515" s="64"/>
      <c r="M515" s="65"/>
    </row>
    <row r="516" spans="3:13" ht="13">
      <c r="C516" s="63"/>
      <c r="E516" s="41"/>
      <c r="F516" s="41"/>
      <c r="G516" s="41"/>
      <c r="H516" s="41"/>
      <c r="I516" s="41"/>
      <c r="K516" s="41"/>
      <c r="L516" s="64"/>
      <c r="M516" s="65"/>
    </row>
    <row r="517" spans="3:13" ht="13">
      <c r="C517" s="63"/>
      <c r="E517" s="41"/>
      <c r="F517" s="41"/>
      <c r="G517" s="41"/>
      <c r="H517" s="41"/>
      <c r="I517" s="41"/>
      <c r="K517" s="41"/>
      <c r="L517" s="64"/>
      <c r="M517" s="65"/>
    </row>
    <row r="518" spans="3:13" ht="13">
      <c r="C518" s="63"/>
      <c r="E518" s="41"/>
      <c r="F518" s="41"/>
      <c r="G518" s="41"/>
      <c r="H518" s="41"/>
      <c r="I518" s="41"/>
      <c r="K518" s="41"/>
      <c r="L518" s="64"/>
      <c r="M518" s="65"/>
    </row>
    <row r="519" spans="3:13" ht="13">
      <c r="C519" s="63"/>
      <c r="E519" s="41"/>
      <c r="F519" s="41"/>
      <c r="G519" s="41"/>
      <c r="H519" s="41"/>
      <c r="I519" s="41"/>
      <c r="K519" s="41"/>
      <c r="L519" s="64"/>
      <c r="M519" s="65"/>
    </row>
    <row r="520" spans="3:13" ht="13">
      <c r="C520" s="63"/>
      <c r="E520" s="41"/>
      <c r="F520" s="41"/>
      <c r="G520" s="41"/>
      <c r="H520" s="41"/>
      <c r="I520" s="41"/>
      <c r="K520" s="41"/>
      <c r="L520" s="64"/>
      <c r="M520" s="65"/>
    </row>
    <row r="521" spans="3:13" ht="13">
      <c r="C521" s="63"/>
      <c r="E521" s="41"/>
      <c r="F521" s="41"/>
      <c r="G521" s="41"/>
      <c r="H521" s="41"/>
      <c r="I521" s="41"/>
      <c r="K521" s="41"/>
      <c r="L521" s="64"/>
      <c r="M521" s="65"/>
    </row>
    <row r="522" spans="3:13" ht="13">
      <c r="C522" s="63"/>
      <c r="E522" s="41"/>
      <c r="F522" s="41"/>
      <c r="G522" s="41"/>
      <c r="H522" s="41"/>
      <c r="I522" s="41"/>
      <c r="K522" s="41"/>
      <c r="L522" s="64"/>
      <c r="M522" s="65"/>
    </row>
    <row r="523" spans="3:13" ht="13">
      <c r="C523" s="63"/>
      <c r="E523" s="41"/>
      <c r="F523" s="41"/>
      <c r="G523" s="41"/>
      <c r="H523" s="41"/>
      <c r="I523" s="41"/>
      <c r="K523" s="41"/>
      <c r="L523" s="64"/>
      <c r="M523" s="65"/>
    </row>
    <row r="524" spans="3:13" ht="13">
      <c r="C524" s="63"/>
      <c r="E524" s="41"/>
      <c r="F524" s="41"/>
      <c r="G524" s="41"/>
      <c r="H524" s="41"/>
      <c r="I524" s="41"/>
      <c r="K524" s="41"/>
      <c r="L524" s="64"/>
      <c r="M524" s="65"/>
    </row>
    <row r="525" spans="3:13" ht="13">
      <c r="C525" s="63"/>
      <c r="E525" s="41"/>
      <c r="F525" s="41"/>
      <c r="G525" s="41"/>
      <c r="H525" s="41"/>
      <c r="I525" s="41"/>
      <c r="K525" s="41"/>
      <c r="L525" s="64"/>
      <c r="M525" s="65"/>
    </row>
    <row r="526" spans="3:13" ht="13">
      <c r="C526" s="63"/>
      <c r="E526" s="41"/>
      <c r="F526" s="41"/>
      <c r="G526" s="41"/>
      <c r="H526" s="41"/>
      <c r="I526" s="41"/>
      <c r="K526" s="41"/>
      <c r="L526" s="64"/>
      <c r="M526" s="65"/>
    </row>
    <row r="527" spans="3:13" ht="13">
      <c r="C527" s="63"/>
      <c r="E527" s="41"/>
      <c r="F527" s="41"/>
      <c r="G527" s="41"/>
      <c r="H527" s="41"/>
      <c r="I527" s="41"/>
      <c r="K527" s="41"/>
      <c r="L527" s="64"/>
      <c r="M527" s="65"/>
    </row>
    <row r="528" spans="3:13" ht="13">
      <c r="C528" s="63"/>
      <c r="E528" s="41"/>
      <c r="F528" s="41"/>
      <c r="G528" s="41"/>
      <c r="H528" s="41"/>
      <c r="I528" s="41"/>
      <c r="K528" s="41"/>
      <c r="L528" s="64"/>
      <c r="M528" s="65"/>
    </row>
    <row r="529" spans="3:13" ht="13">
      <c r="C529" s="63"/>
      <c r="E529" s="41"/>
      <c r="F529" s="41"/>
      <c r="G529" s="41"/>
      <c r="H529" s="41"/>
      <c r="I529" s="41"/>
      <c r="K529" s="41"/>
      <c r="L529" s="64"/>
      <c r="M529" s="65"/>
    </row>
    <row r="530" spans="3:13" ht="13">
      <c r="C530" s="63"/>
      <c r="E530" s="41"/>
      <c r="F530" s="41"/>
      <c r="G530" s="41"/>
      <c r="H530" s="41"/>
      <c r="I530" s="41"/>
      <c r="K530" s="41"/>
      <c r="L530" s="64"/>
      <c r="M530" s="65"/>
    </row>
    <row r="531" spans="3:13" ht="13">
      <c r="C531" s="63"/>
      <c r="E531" s="41"/>
      <c r="F531" s="41"/>
      <c r="G531" s="41"/>
      <c r="H531" s="41"/>
      <c r="I531" s="41"/>
      <c r="K531" s="41"/>
      <c r="L531" s="64"/>
      <c r="M531" s="65"/>
    </row>
    <row r="532" spans="3:13" ht="13">
      <c r="C532" s="63"/>
      <c r="E532" s="41"/>
      <c r="F532" s="41"/>
      <c r="G532" s="41"/>
      <c r="H532" s="41"/>
      <c r="I532" s="41"/>
      <c r="K532" s="41"/>
      <c r="L532" s="64"/>
      <c r="M532" s="65"/>
    </row>
    <row r="533" spans="3:13" ht="13">
      <c r="C533" s="63"/>
      <c r="E533" s="41"/>
      <c r="F533" s="41"/>
      <c r="G533" s="41"/>
      <c r="H533" s="41"/>
      <c r="I533" s="41"/>
      <c r="K533" s="41"/>
      <c r="L533" s="64"/>
      <c r="M533" s="65"/>
    </row>
    <row r="534" spans="3:13" ht="13">
      <c r="C534" s="63"/>
      <c r="E534" s="41"/>
      <c r="F534" s="41"/>
      <c r="G534" s="41"/>
      <c r="H534" s="41"/>
      <c r="I534" s="41"/>
      <c r="K534" s="41"/>
      <c r="L534" s="64"/>
      <c r="M534" s="65"/>
    </row>
    <row r="535" spans="3:13" ht="13">
      <c r="C535" s="63"/>
      <c r="E535" s="41"/>
      <c r="F535" s="41"/>
      <c r="G535" s="41"/>
      <c r="H535" s="41"/>
      <c r="I535" s="41"/>
      <c r="K535" s="41"/>
      <c r="L535" s="64"/>
      <c r="M535" s="65"/>
    </row>
    <row r="536" spans="3:13" ht="13">
      <c r="C536" s="63"/>
      <c r="E536" s="41"/>
      <c r="F536" s="41"/>
      <c r="G536" s="41"/>
      <c r="H536" s="41"/>
      <c r="I536" s="41"/>
      <c r="K536" s="41"/>
      <c r="L536" s="64"/>
      <c r="M536" s="65"/>
    </row>
    <row r="537" spans="3:13" ht="13">
      <c r="C537" s="63"/>
      <c r="E537" s="41"/>
      <c r="F537" s="41"/>
      <c r="G537" s="41"/>
      <c r="H537" s="41"/>
      <c r="I537" s="41"/>
      <c r="K537" s="41"/>
      <c r="L537" s="64"/>
      <c r="M537" s="65"/>
    </row>
    <row r="538" spans="3:13" ht="13">
      <c r="C538" s="63"/>
      <c r="E538" s="41"/>
      <c r="F538" s="41"/>
      <c r="G538" s="41"/>
      <c r="H538" s="41"/>
      <c r="I538" s="41"/>
      <c r="K538" s="41"/>
      <c r="L538" s="64"/>
      <c r="M538" s="65"/>
    </row>
    <row r="539" spans="3:13" ht="13">
      <c r="C539" s="63"/>
      <c r="E539" s="41"/>
      <c r="F539" s="41"/>
      <c r="G539" s="41"/>
      <c r="H539" s="41"/>
      <c r="I539" s="41"/>
      <c r="K539" s="41"/>
      <c r="L539" s="64"/>
      <c r="M539" s="65"/>
    </row>
    <row r="540" spans="3:13" ht="13">
      <c r="C540" s="63"/>
      <c r="E540" s="41"/>
      <c r="F540" s="41"/>
      <c r="G540" s="41"/>
      <c r="H540" s="41"/>
      <c r="I540" s="41"/>
      <c r="K540" s="41"/>
      <c r="L540" s="64"/>
      <c r="M540" s="65"/>
    </row>
    <row r="541" spans="3:13" ht="13">
      <c r="C541" s="63"/>
      <c r="E541" s="41"/>
      <c r="F541" s="41"/>
      <c r="G541" s="41"/>
      <c r="H541" s="41"/>
      <c r="I541" s="41"/>
      <c r="K541" s="41"/>
      <c r="L541" s="64"/>
      <c r="M541" s="65"/>
    </row>
    <row r="542" spans="3:13" ht="13">
      <c r="C542" s="63"/>
      <c r="E542" s="41"/>
      <c r="F542" s="41"/>
      <c r="G542" s="41"/>
      <c r="H542" s="41"/>
      <c r="I542" s="41"/>
      <c r="K542" s="41"/>
      <c r="L542" s="64"/>
      <c r="M542" s="65"/>
    </row>
    <row r="543" spans="3:13" ht="13">
      <c r="C543" s="63"/>
      <c r="E543" s="41"/>
      <c r="F543" s="41"/>
      <c r="G543" s="41"/>
      <c r="H543" s="41"/>
      <c r="I543" s="41"/>
      <c r="K543" s="41"/>
      <c r="L543" s="64"/>
      <c r="M543" s="65"/>
    </row>
    <row r="544" spans="3:13" ht="13">
      <c r="C544" s="63"/>
      <c r="E544" s="41"/>
      <c r="F544" s="41"/>
      <c r="G544" s="41"/>
      <c r="H544" s="41"/>
      <c r="I544" s="41"/>
      <c r="K544" s="41"/>
      <c r="L544" s="64"/>
      <c r="M544" s="65"/>
    </row>
    <row r="545" spans="3:13" ht="13">
      <c r="C545" s="63"/>
      <c r="E545" s="41"/>
      <c r="F545" s="41"/>
      <c r="G545" s="41"/>
      <c r="H545" s="41"/>
      <c r="I545" s="41"/>
      <c r="K545" s="41"/>
      <c r="L545" s="64"/>
      <c r="M545" s="65"/>
    </row>
    <row r="546" spans="3:13" ht="13">
      <c r="C546" s="63"/>
      <c r="E546" s="41"/>
      <c r="F546" s="41"/>
      <c r="G546" s="41"/>
      <c r="H546" s="41"/>
      <c r="I546" s="41"/>
      <c r="K546" s="41"/>
      <c r="L546" s="64"/>
      <c r="M546" s="65"/>
    </row>
    <row r="547" spans="3:13" ht="13">
      <c r="C547" s="63"/>
      <c r="E547" s="41"/>
      <c r="F547" s="41"/>
      <c r="G547" s="41"/>
      <c r="H547" s="41"/>
      <c r="I547" s="41"/>
      <c r="K547" s="41"/>
      <c r="L547" s="64"/>
      <c r="M547" s="65"/>
    </row>
    <row r="548" spans="3:13" ht="13">
      <c r="C548" s="63"/>
      <c r="E548" s="41"/>
      <c r="F548" s="41"/>
      <c r="G548" s="41"/>
      <c r="H548" s="41"/>
      <c r="I548" s="41"/>
      <c r="K548" s="41"/>
      <c r="L548" s="64"/>
      <c r="M548" s="65"/>
    </row>
    <row r="549" spans="3:13" ht="13">
      <c r="C549" s="63"/>
      <c r="E549" s="41"/>
      <c r="F549" s="41"/>
      <c r="G549" s="41"/>
      <c r="H549" s="41"/>
      <c r="I549" s="41"/>
      <c r="K549" s="41"/>
      <c r="L549" s="64"/>
      <c r="M549" s="65"/>
    </row>
    <row r="550" spans="3:13" ht="13">
      <c r="C550" s="63"/>
      <c r="E550" s="41"/>
      <c r="F550" s="41"/>
      <c r="G550" s="41"/>
      <c r="H550" s="41"/>
      <c r="I550" s="41"/>
      <c r="K550" s="41"/>
      <c r="L550" s="64"/>
      <c r="M550" s="65"/>
    </row>
    <row r="551" spans="3:13" ht="13">
      <c r="C551" s="63"/>
      <c r="E551" s="41"/>
      <c r="F551" s="41"/>
      <c r="G551" s="41"/>
      <c r="H551" s="41"/>
      <c r="I551" s="41"/>
      <c r="K551" s="41"/>
      <c r="L551" s="64"/>
      <c r="M551" s="65"/>
    </row>
    <row r="552" spans="3:13" ht="13">
      <c r="C552" s="63"/>
      <c r="E552" s="41"/>
      <c r="F552" s="41"/>
      <c r="G552" s="41"/>
      <c r="H552" s="41"/>
      <c r="I552" s="41"/>
      <c r="K552" s="41"/>
      <c r="L552" s="64"/>
      <c r="M552" s="65"/>
    </row>
    <row r="553" spans="3:13" ht="13">
      <c r="C553" s="63"/>
      <c r="E553" s="41"/>
      <c r="F553" s="41"/>
      <c r="G553" s="41"/>
      <c r="H553" s="41"/>
      <c r="I553" s="41"/>
      <c r="K553" s="41"/>
      <c r="L553" s="64"/>
      <c r="M553" s="65"/>
    </row>
    <row r="554" spans="3:13" ht="13">
      <c r="C554" s="63"/>
      <c r="E554" s="41"/>
      <c r="F554" s="41"/>
      <c r="G554" s="41"/>
      <c r="H554" s="41"/>
      <c r="I554" s="41"/>
      <c r="K554" s="41"/>
      <c r="L554" s="64"/>
      <c r="M554" s="65"/>
    </row>
    <row r="555" spans="3:13" ht="13">
      <c r="C555" s="63"/>
      <c r="E555" s="41"/>
      <c r="F555" s="41"/>
      <c r="G555" s="41"/>
      <c r="H555" s="41"/>
      <c r="I555" s="41"/>
      <c r="K555" s="41"/>
      <c r="L555" s="64"/>
      <c r="M555" s="65"/>
    </row>
    <row r="556" spans="3:13" ht="13">
      <c r="C556" s="63"/>
      <c r="E556" s="41"/>
      <c r="F556" s="41"/>
      <c r="G556" s="41"/>
      <c r="H556" s="41"/>
      <c r="I556" s="41"/>
      <c r="K556" s="41"/>
      <c r="L556" s="64"/>
      <c r="M556" s="65"/>
    </row>
    <row r="557" spans="3:13" ht="13">
      <c r="C557" s="63"/>
      <c r="E557" s="41"/>
      <c r="F557" s="41"/>
      <c r="G557" s="41"/>
      <c r="H557" s="41"/>
      <c r="I557" s="41"/>
      <c r="K557" s="41"/>
      <c r="L557" s="64"/>
      <c r="M557" s="65"/>
    </row>
    <row r="558" spans="3:13" ht="13">
      <c r="C558" s="63"/>
      <c r="E558" s="41"/>
      <c r="F558" s="41"/>
      <c r="G558" s="41"/>
      <c r="H558" s="41"/>
      <c r="I558" s="41"/>
      <c r="K558" s="41"/>
      <c r="L558" s="64"/>
      <c r="M558" s="65"/>
    </row>
    <row r="559" spans="3:13" ht="13">
      <c r="C559" s="63"/>
      <c r="E559" s="41"/>
      <c r="F559" s="41"/>
      <c r="G559" s="41"/>
      <c r="H559" s="41"/>
      <c r="I559" s="41"/>
      <c r="K559" s="41"/>
      <c r="L559" s="64"/>
      <c r="M559" s="65"/>
    </row>
    <row r="560" spans="3:13" ht="13">
      <c r="C560" s="63"/>
      <c r="E560" s="41"/>
      <c r="F560" s="41"/>
      <c r="G560" s="41"/>
      <c r="H560" s="41"/>
      <c r="I560" s="41"/>
      <c r="K560" s="41"/>
      <c r="L560" s="64"/>
      <c r="M560" s="65"/>
    </row>
    <row r="561" spans="3:13" ht="13">
      <c r="C561" s="63"/>
      <c r="E561" s="41"/>
      <c r="F561" s="41"/>
      <c r="G561" s="41"/>
      <c r="H561" s="41"/>
      <c r="I561" s="41"/>
      <c r="K561" s="41"/>
      <c r="L561" s="64"/>
      <c r="M561" s="65"/>
    </row>
    <row r="562" spans="3:13" ht="13">
      <c r="C562" s="63"/>
      <c r="E562" s="41"/>
      <c r="F562" s="41"/>
      <c r="G562" s="41"/>
      <c r="H562" s="41"/>
      <c r="I562" s="41"/>
      <c r="K562" s="41"/>
      <c r="L562" s="64"/>
      <c r="M562" s="65"/>
    </row>
    <row r="563" spans="3:13" ht="13">
      <c r="C563" s="63"/>
      <c r="E563" s="41"/>
      <c r="F563" s="41"/>
      <c r="G563" s="41"/>
      <c r="H563" s="41"/>
      <c r="I563" s="41"/>
      <c r="K563" s="41"/>
      <c r="L563" s="64"/>
      <c r="M563" s="65"/>
    </row>
    <row r="564" spans="3:13" ht="13">
      <c r="C564" s="63"/>
      <c r="E564" s="41"/>
      <c r="F564" s="41"/>
      <c r="G564" s="41"/>
      <c r="H564" s="41"/>
      <c r="I564" s="41"/>
      <c r="K564" s="41"/>
      <c r="L564" s="64"/>
      <c r="M564" s="65"/>
    </row>
    <row r="565" spans="3:13" ht="13">
      <c r="C565" s="63"/>
      <c r="E565" s="41"/>
      <c r="F565" s="41"/>
      <c r="G565" s="41"/>
      <c r="H565" s="41"/>
      <c r="I565" s="41"/>
      <c r="K565" s="41"/>
      <c r="L565" s="64"/>
      <c r="M565" s="65"/>
    </row>
    <row r="566" spans="3:13" ht="13">
      <c r="C566" s="63"/>
      <c r="E566" s="41"/>
      <c r="F566" s="41"/>
      <c r="G566" s="41"/>
      <c r="H566" s="41"/>
      <c r="I566" s="41"/>
      <c r="K566" s="41"/>
      <c r="L566" s="64"/>
      <c r="M566" s="65"/>
    </row>
    <row r="567" spans="3:13" ht="13">
      <c r="C567" s="63"/>
      <c r="E567" s="41"/>
      <c r="F567" s="41"/>
      <c r="G567" s="41"/>
      <c r="H567" s="41"/>
      <c r="I567" s="41"/>
      <c r="K567" s="41"/>
      <c r="L567" s="64"/>
      <c r="M567" s="65"/>
    </row>
    <row r="568" spans="3:13" ht="13">
      <c r="C568" s="63"/>
      <c r="E568" s="41"/>
      <c r="F568" s="41"/>
      <c r="G568" s="41"/>
      <c r="H568" s="41"/>
      <c r="I568" s="41"/>
      <c r="K568" s="41"/>
      <c r="L568" s="64"/>
      <c r="M568" s="65"/>
    </row>
    <row r="569" spans="3:13" ht="13">
      <c r="C569" s="63"/>
      <c r="E569" s="41"/>
      <c r="F569" s="41"/>
      <c r="G569" s="41"/>
      <c r="H569" s="41"/>
      <c r="I569" s="41"/>
      <c r="K569" s="41"/>
      <c r="L569" s="64"/>
      <c r="M569" s="65"/>
    </row>
    <row r="570" spans="3:13" ht="13">
      <c r="C570" s="63"/>
      <c r="E570" s="41"/>
      <c r="F570" s="41"/>
      <c r="G570" s="41"/>
      <c r="H570" s="41"/>
      <c r="I570" s="41"/>
      <c r="K570" s="41"/>
      <c r="L570" s="64"/>
      <c r="M570" s="65"/>
    </row>
    <row r="571" spans="3:13" ht="13">
      <c r="C571" s="63"/>
      <c r="E571" s="41"/>
      <c r="F571" s="41"/>
      <c r="G571" s="41"/>
      <c r="H571" s="41"/>
      <c r="I571" s="41"/>
      <c r="K571" s="41"/>
      <c r="L571" s="64"/>
      <c r="M571" s="65"/>
    </row>
    <row r="572" spans="3:13" ht="13">
      <c r="C572" s="63"/>
      <c r="E572" s="41"/>
      <c r="F572" s="41"/>
      <c r="G572" s="41"/>
      <c r="H572" s="41"/>
      <c r="I572" s="41"/>
      <c r="K572" s="41"/>
      <c r="L572" s="64"/>
      <c r="M572" s="65"/>
    </row>
    <row r="573" spans="3:13" ht="13">
      <c r="C573" s="63"/>
      <c r="E573" s="41"/>
      <c r="F573" s="41"/>
      <c r="G573" s="41"/>
      <c r="H573" s="41"/>
      <c r="I573" s="41"/>
      <c r="K573" s="41"/>
      <c r="L573" s="64"/>
      <c r="M573" s="65"/>
    </row>
    <row r="574" spans="3:13" ht="13">
      <c r="C574" s="63"/>
      <c r="E574" s="41"/>
      <c r="F574" s="41"/>
      <c r="G574" s="41"/>
      <c r="H574" s="41"/>
      <c r="I574" s="41"/>
      <c r="K574" s="41"/>
      <c r="L574" s="64"/>
      <c r="M574" s="65"/>
    </row>
    <row r="575" spans="3:13" ht="13">
      <c r="C575" s="63"/>
      <c r="E575" s="41"/>
      <c r="F575" s="41"/>
      <c r="G575" s="41"/>
      <c r="H575" s="41"/>
      <c r="I575" s="41"/>
      <c r="K575" s="41"/>
      <c r="L575" s="64"/>
      <c r="M575" s="65"/>
    </row>
    <row r="576" spans="3:13" ht="13">
      <c r="C576" s="63"/>
      <c r="E576" s="41"/>
      <c r="F576" s="41"/>
      <c r="G576" s="41"/>
      <c r="H576" s="41"/>
      <c r="I576" s="41"/>
      <c r="K576" s="41"/>
      <c r="L576" s="64"/>
      <c r="M576" s="65"/>
    </row>
    <row r="577" spans="3:13" ht="13">
      <c r="C577" s="63"/>
      <c r="E577" s="41"/>
      <c r="F577" s="41"/>
      <c r="G577" s="41"/>
      <c r="H577" s="41"/>
      <c r="I577" s="41"/>
      <c r="K577" s="41"/>
      <c r="L577" s="64"/>
      <c r="M577" s="65"/>
    </row>
    <row r="578" spans="3:13" ht="13">
      <c r="C578" s="63"/>
      <c r="E578" s="41"/>
      <c r="F578" s="41"/>
      <c r="G578" s="41"/>
      <c r="H578" s="41"/>
      <c r="I578" s="41"/>
      <c r="K578" s="41"/>
      <c r="L578" s="64"/>
      <c r="M578" s="65"/>
    </row>
    <row r="579" spans="3:13" ht="13">
      <c r="C579" s="63"/>
      <c r="E579" s="41"/>
      <c r="F579" s="41"/>
      <c r="G579" s="41"/>
      <c r="H579" s="41"/>
      <c r="I579" s="41"/>
      <c r="K579" s="41"/>
      <c r="L579" s="64"/>
      <c r="M579" s="65"/>
    </row>
    <row r="580" spans="3:13" ht="13">
      <c r="C580" s="63"/>
      <c r="E580" s="41"/>
      <c r="F580" s="41"/>
      <c r="G580" s="41"/>
      <c r="H580" s="41"/>
      <c r="I580" s="41"/>
      <c r="K580" s="41"/>
      <c r="L580" s="64"/>
      <c r="M580" s="65"/>
    </row>
    <row r="581" spans="3:13" ht="13">
      <c r="C581" s="63"/>
      <c r="E581" s="41"/>
      <c r="F581" s="41"/>
      <c r="G581" s="41"/>
      <c r="H581" s="41"/>
      <c r="I581" s="41"/>
      <c r="K581" s="41"/>
      <c r="L581" s="64"/>
      <c r="M581" s="65"/>
    </row>
    <row r="582" spans="3:13" ht="13">
      <c r="C582" s="63"/>
      <c r="E582" s="41"/>
      <c r="F582" s="41"/>
      <c r="G582" s="41"/>
      <c r="H582" s="41"/>
      <c r="I582" s="41"/>
      <c r="K582" s="41"/>
      <c r="L582" s="64"/>
      <c r="M582" s="65"/>
    </row>
    <row r="583" spans="3:13" ht="13">
      <c r="C583" s="63"/>
      <c r="E583" s="41"/>
      <c r="F583" s="41"/>
      <c r="G583" s="41"/>
      <c r="H583" s="41"/>
      <c r="I583" s="41"/>
      <c r="K583" s="41"/>
      <c r="L583" s="64"/>
      <c r="M583" s="65"/>
    </row>
    <row r="584" spans="3:13" ht="13">
      <c r="C584" s="63"/>
      <c r="E584" s="41"/>
      <c r="F584" s="41"/>
      <c r="G584" s="41"/>
      <c r="H584" s="41"/>
      <c r="I584" s="41"/>
      <c r="K584" s="41"/>
      <c r="L584" s="64"/>
      <c r="M584" s="65"/>
    </row>
    <row r="585" spans="3:13" ht="13">
      <c r="C585" s="63"/>
      <c r="E585" s="41"/>
      <c r="F585" s="41"/>
      <c r="G585" s="41"/>
      <c r="H585" s="41"/>
      <c r="I585" s="41"/>
      <c r="K585" s="41"/>
      <c r="L585" s="64"/>
      <c r="M585" s="65"/>
    </row>
    <row r="586" spans="3:13" ht="13">
      <c r="C586" s="63"/>
      <c r="E586" s="41"/>
      <c r="F586" s="41"/>
      <c r="G586" s="41"/>
      <c r="H586" s="41"/>
      <c r="I586" s="41"/>
      <c r="K586" s="41"/>
      <c r="L586" s="64"/>
      <c r="M586" s="65"/>
    </row>
    <row r="587" spans="3:13" ht="13">
      <c r="C587" s="63"/>
      <c r="E587" s="41"/>
      <c r="F587" s="41"/>
      <c r="G587" s="41"/>
      <c r="H587" s="41"/>
      <c r="I587" s="41"/>
      <c r="K587" s="41"/>
      <c r="L587" s="64"/>
      <c r="M587" s="65"/>
    </row>
    <row r="588" spans="3:13" ht="13">
      <c r="C588" s="63"/>
      <c r="E588" s="41"/>
      <c r="F588" s="41"/>
      <c r="G588" s="41"/>
      <c r="H588" s="41"/>
      <c r="I588" s="41"/>
      <c r="K588" s="41"/>
      <c r="L588" s="64"/>
      <c r="M588" s="65"/>
    </row>
    <row r="589" spans="3:13" ht="13">
      <c r="C589" s="63"/>
      <c r="E589" s="41"/>
      <c r="F589" s="41"/>
      <c r="G589" s="41"/>
      <c r="H589" s="41"/>
      <c r="I589" s="41"/>
      <c r="K589" s="41"/>
      <c r="L589" s="64"/>
      <c r="M589" s="65"/>
    </row>
    <row r="590" spans="3:13" ht="13">
      <c r="C590" s="63"/>
      <c r="E590" s="41"/>
      <c r="F590" s="41"/>
      <c r="G590" s="41"/>
      <c r="H590" s="41"/>
      <c r="I590" s="41"/>
      <c r="K590" s="41"/>
      <c r="L590" s="64"/>
      <c r="M590" s="65"/>
    </row>
    <row r="591" spans="3:13" ht="13">
      <c r="C591" s="63"/>
      <c r="E591" s="41"/>
      <c r="F591" s="41"/>
      <c r="G591" s="41"/>
      <c r="H591" s="41"/>
      <c r="I591" s="41"/>
      <c r="K591" s="41"/>
      <c r="L591" s="64"/>
      <c r="M591" s="65"/>
    </row>
    <row r="592" spans="3:13" ht="13">
      <c r="C592" s="63"/>
      <c r="E592" s="41"/>
      <c r="F592" s="41"/>
      <c r="G592" s="41"/>
      <c r="H592" s="41"/>
      <c r="I592" s="41"/>
      <c r="K592" s="41"/>
      <c r="L592" s="64"/>
      <c r="M592" s="65"/>
    </row>
    <row r="593" spans="3:13" ht="13">
      <c r="C593" s="63"/>
      <c r="E593" s="41"/>
      <c r="F593" s="41"/>
      <c r="G593" s="41"/>
      <c r="H593" s="41"/>
      <c r="I593" s="41"/>
      <c r="K593" s="41"/>
      <c r="L593" s="64"/>
      <c r="M593" s="65"/>
    </row>
    <row r="594" spans="3:13" ht="13">
      <c r="C594" s="63"/>
      <c r="E594" s="41"/>
      <c r="F594" s="41"/>
      <c r="G594" s="41"/>
      <c r="H594" s="41"/>
      <c r="I594" s="41"/>
      <c r="K594" s="41"/>
      <c r="L594" s="64"/>
      <c r="M594" s="65"/>
    </row>
    <row r="595" spans="3:13" ht="13">
      <c r="C595" s="63"/>
      <c r="E595" s="41"/>
      <c r="F595" s="41"/>
      <c r="G595" s="41"/>
      <c r="H595" s="41"/>
      <c r="I595" s="41"/>
      <c r="K595" s="41"/>
      <c r="L595" s="64"/>
      <c r="M595" s="65"/>
    </row>
    <row r="596" spans="3:13" ht="13">
      <c r="C596" s="63"/>
      <c r="E596" s="41"/>
      <c r="F596" s="41"/>
      <c r="G596" s="41"/>
      <c r="H596" s="41"/>
      <c r="I596" s="41"/>
      <c r="K596" s="41"/>
      <c r="L596" s="64"/>
      <c r="M596" s="65"/>
    </row>
    <row r="597" spans="3:13" ht="13">
      <c r="C597" s="63"/>
      <c r="E597" s="41"/>
      <c r="F597" s="41"/>
      <c r="G597" s="41"/>
      <c r="H597" s="41"/>
      <c r="I597" s="41"/>
      <c r="K597" s="41"/>
      <c r="L597" s="64"/>
      <c r="M597" s="65"/>
    </row>
    <row r="598" spans="3:13" ht="13">
      <c r="C598" s="63"/>
      <c r="E598" s="41"/>
      <c r="F598" s="41"/>
      <c r="G598" s="41"/>
      <c r="H598" s="41"/>
      <c r="I598" s="41"/>
      <c r="K598" s="41"/>
      <c r="L598" s="64"/>
      <c r="M598" s="65"/>
    </row>
    <row r="599" spans="3:13" ht="13">
      <c r="C599" s="63"/>
      <c r="E599" s="41"/>
      <c r="F599" s="41"/>
      <c r="G599" s="41"/>
      <c r="H599" s="41"/>
      <c r="I599" s="41"/>
      <c r="K599" s="41"/>
      <c r="L599" s="64"/>
      <c r="M599" s="65"/>
    </row>
    <row r="600" spans="3:13" ht="13">
      <c r="C600" s="63"/>
      <c r="E600" s="41"/>
      <c r="F600" s="41"/>
      <c r="G600" s="41"/>
      <c r="H600" s="41"/>
      <c r="I600" s="41"/>
      <c r="K600" s="41"/>
      <c r="L600" s="64"/>
      <c r="M600" s="65"/>
    </row>
    <row r="601" spans="3:13" ht="13">
      <c r="C601" s="63"/>
      <c r="E601" s="41"/>
      <c r="F601" s="41"/>
      <c r="G601" s="41"/>
      <c r="H601" s="41"/>
      <c r="I601" s="41"/>
      <c r="K601" s="41"/>
      <c r="L601" s="64"/>
      <c r="M601" s="65"/>
    </row>
    <row r="602" spans="3:13" ht="13">
      <c r="C602" s="63"/>
      <c r="E602" s="41"/>
      <c r="F602" s="41"/>
      <c r="G602" s="41"/>
      <c r="H602" s="41"/>
      <c r="I602" s="41"/>
      <c r="K602" s="41"/>
      <c r="L602" s="64"/>
      <c r="M602" s="65"/>
    </row>
    <row r="603" spans="3:13" ht="13">
      <c r="C603" s="63"/>
      <c r="E603" s="41"/>
      <c r="F603" s="41"/>
      <c r="G603" s="41"/>
      <c r="H603" s="41"/>
      <c r="I603" s="41"/>
      <c r="K603" s="41"/>
      <c r="L603" s="64"/>
      <c r="M603" s="65"/>
    </row>
    <row r="604" spans="3:13" ht="13">
      <c r="C604" s="63"/>
      <c r="E604" s="41"/>
      <c r="F604" s="41"/>
      <c r="G604" s="41"/>
      <c r="H604" s="41"/>
      <c r="I604" s="41"/>
      <c r="K604" s="41"/>
      <c r="L604" s="64"/>
      <c r="M604" s="65"/>
    </row>
    <row r="605" spans="3:13" ht="13">
      <c r="C605" s="63"/>
      <c r="E605" s="41"/>
      <c r="F605" s="41"/>
      <c r="G605" s="41"/>
      <c r="H605" s="41"/>
      <c r="I605" s="41"/>
      <c r="K605" s="41"/>
      <c r="L605" s="64"/>
      <c r="M605" s="65"/>
    </row>
    <row r="606" spans="3:13" ht="13">
      <c r="C606" s="63"/>
      <c r="E606" s="41"/>
      <c r="F606" s="41"/>
      <c r="G606" s="41"/>
      <c r="H606" s="41"/>
      <c r="I606" s="41"/>
      <c r="K606" s="41"/>
      <c r="L606" s="64"/>
      <c r="M606" s="65"/>
    </row>
    <row r="607" spans="3:13" ht="13">
      <c r="C607" s="63"/>
      <c r="E607" s="41"/>
      <c r="F607" s="41"/>
      <c r="G607" s="41"/>
      <c r="H607" s="41"/>
      <c r="I607" s="41"/>
      <c r="K607" s="41"/>
      <c r="L607" s="64"/>
      <c r="M607" s="65"/>
    </row>
    <row r="608" spans="3:13" ht="13">
      <c r="C608" s="63"/>
      <c r="E608" s="41"/>
      <c r="F608" s="41"/>
      <c r="G608" s="41"/>
      <c r="H608" s="41"/>
      <c r="I608" s="41"/>
      <c r="K608" s="41"/>
      <c r="L608" s="64"/>
      <c r="M608" s="65"/>
    </row>
    <row r="609" spans="3:13" ht="13">
      <c r="C609" s="63"/>
      <c r="E609" s="41"/>
      <c r="F609" s="41"/>
      <c r="G609" s="41"/>
      <c r="H609" s="41"/>
      <c r="I609" s="41"/>
      <c r="K609" s="41"/>
      <c r="L609" s="64"/>
      <c r="M609" s="65"/>
    </row>
    <row r="610" spans="3:13" ht="13">
      <c r="C610" s="63"/>
      <c r="E610" s="41"/>
      <c r="F610" s="41"/>
      <c r="G610" s="41"/>
      <c r="H610" s="41"/>
      <c r="I610" s="41"/>
      <c r="K610" s="41"/>
      <c r="L610" s="64"/>
      <c r="M610" s="65"/>
    </row>
    <row r="611" spans="3:13" ht="13">
      <c r="C611" s="63"/>
      <c r="E611" s="41"/>
      <c r="F611" s="41"/>
      <c r="G611" s="41"/>
      <c r="H611" s="41"/>
      <c r="I611" s="41"/>
      <c r="K611" s="41"/>
      <c r="L611" s="64"/>
      <c r="M611" s="65"/>
    </row>
    <row r="612" spans="3:13" ht="13">
      <c r="C612" s="63"/>
      <c r="E612" s="41"/>
      <c r="F612" s="41"/>
      <c r="G612" s="41"/>
      <c r="H612" s="41"/>
      <c r="I612" s="41"/>
      <c r="K612" s="41"/>
      <c r="L612" s="64"/>
      <c r="M612" s="65"/>
    </row>
    <row r="613" spans="3:13" ht="13">
      <c r="C613" s="63"/>
      <c r="E613" s="41"/>
      <c r="F613" s="41"/>
      <c r="G613" s="41"/>
      <c r="H613" s="41"/>
      <c r="I613" s="41"/>
      <c r="K613" s="41"/>
      <c r="L613" s="64"/>
      <c r="M613" s="65"/>
    </row>
    <row r="614" spans="3:13" ht="13">
      <c r="C614" s="63"/>
      <c r="E614" s="41"/>
      <c r="F614" s="41"/>
      <c r="G614" s="41"/>
      <c r="H614" s="41"/>
      <c r="I614" s="41"/>
      <c r="K614" s="41"/>
      <c r="L614" s="64"/>
      <c r="M614" s="65"/>
    </row>
    <row r="615" spans="3:13" ht="13">
      <c r="C615" s="63"/>
      <c r="E615" s="41"/>
      <c r="F615" s="41"/>
      <c r="G615" s="41"/>
      <c r="H615" s="41"/>
      <c r="I615" s="41"/>
      <c r="K615" s="41"/>
      <c r="L615" s="64"/>
      <c r="M615" s="65"/>
    </row>
    <row r="616" spans="3:13" ht="13">
      <c r="C616" s="63"/>
      <c r="E616" s="41"/>
      <c r="F616" s="41"/>
      <c r="G616" s="41"/>
      <c r="H616" s="41"/>
      <c r="I616" s="41"/>
      <c r="K616" s="41"/>
      <c r="L616" s="64"/>
      <c r="M616" s="65"/>
    </row>
    <row r="617" spans="3:13" ht="13">
      <c r="C617" s="63"/>
      <c r="E617" s="41"/>
      <c r="F617" s="41"/>
      <c r="G617" s="41"/>
      <c r="H617" s="41"/>
      <c r="I617" s="41"/>
      <c r="K617" s="41"/>
      <c r="L617" s="64"/>
      <c r="M617" s="65"/>
    </row>
    <row r="618" spans="3:13" ht="13">
      <c r="C618" s="63"/>
      <c r="E618" s="41"/>
      <c r="F618" s="41"/>
      <c r="G618" s="41"/>
      <c r="H618" s="41"/>
      <c r="I618" s="41"/>
      <c r="K618" s="41"/>
      <c r="L618" s="64"/>
      <c r="M618" s="65"/>
    </row>
    <row r="619" spans="3:13" ht="13">
      <c r="C619" s="63"/>
      <c r="E619" s="41"/>
      <c r="F619" s="41"/>
      <c r="G619" s="41"/>
      <c r="H619" s="41"/>
      <c r="I619" s="41"/>
      <c r="K619" s="41"/>
      <c r="L619" s="64"/>
      <c r="M619" s="65"/>
    </row>
    <row r="620" spans="3:13" ht="13">
      <c r="C620" s="63"/>
      <c r="E620" s="41"/>
      <c r="F620" s="41"/>
      <c r="G620" s="41"/>
      <c r="H620" s="41"/>
      <c r="I620" s="41"/>
      <c r="K620" s="41"/>
      <c r="L620" s="64"/>
      <c r="M620" s="65"/>
    </row>
    <row r="621" spans="3:13" ht="13">
      <c r="C621" s="63"/>
      <c r="E621" s="41"/>
      <c r="F621" s="41"/>
      <c r="G621" s="41"/>
      <c r="H621" s="41"/>
      <c r="I621" s="41"/>
      <c r="K621" s="41"/>
      <c r="L621" s="64"/>
      <c r="M621" s="65"/>
    </row>
    <row r="622" spans="3:13" ht="13">
      <c r="C622" s="63"/>
      <c r="E622" s="41"/>
      <c r="F622" s="41"/>
      <c r="G622" s="41"/>
      <c r="H622" s="41"/>
      <c r="I622" s="41"/>
      <c r="K622" s="41"/>
      <c r="L622" s="64"/>
      <c r="M622" s="65"/>
    </row>
    <row r="623" spans="3:13" ht="13">
      <c r="C623" s="63"/>
      <c r="E623" s="41"/>
      <c r="F623" s="41"/>
      <c r="G623" s="41"/>
      <c r="H623" s="41"/>
      <c r="I623" s="41"/>
      <c r="K623" s="41"/>
      <c r="L623" s="64"/>
      <c r="M623" s="65"/>
    </row>
    <row r="624" spans="3:13" ht="13">
      <c r="C624" s="63"/>
      <c r="E624" s="41"/>
      <c r="F624" s="41"/>
      <c r="G624" s="41"/>
      <c r="H624" s="41"/>
      <c r="I624" s="41"/>
      <c r="K624" s="41"/>
      <c r="L624" s="64"/>
      <c r="M624" s="65"/>
    </row>
    <row r="625" spans="3:13" ht="13">
      <c r="C625" s="63"/>
      <c r="E625" s="41"/>
      <c r="F625" s="41"/>
      <c r="G625" s="41"/>
      <c r="H625" s="41"/>
      <c r="I625" s="41"/>
      <c r="K625" s="41"/>
      <c r="L625" s="64"/>
      <c r="M625" s="65"/>
    </row>
    <row r="626" spans="3:13" ht="13">
      <c r="C626" s="63"/>
      <c r="E626" s="41"/>
      <c r="F626" s="41"/>
      <c r="G626" s="41"/>
      <c r="H626" s="41"/>
      <c r="I626" s="41"/>
      <c r="K626" s="41"/>
      <c r="L626" s="64"/>
      <c r="M626" s="65"/>
    </row>
    <row r="627" spans="3:13" ht="13">
      <c r="C627" s="63"/>
      <c r="E627" s="41"/>
      <c r="F627" s="41"/>
      <c r="G627" s="41"/>
      <c r="H627" s="41"/>
      <c r="I627" s="41"/>
      <c r="K627" s="41"/>
      <c r="L627" s="64"/>
      <c r="M627" s="65"/>
    </row>
    <row r="628" spans="3:13" ht="13">
      <c r="C628" s="63"/>
      <c r="E628" s="41"/>
      <c r="F628" s="41"/>
      <c r="G628" s="41"/>
      <c r="H628" s="41"/>
      <c r="I628" s="41"/>
      <c r="K628" s="41"/>
      <c r="L628" s="64"/>
      <c r="M628" s="65"/>
    </row>
    <row r="629" spans="3:13" ht="13">
      <c r="C629" s="63"/>
      <c r="E629" s="41"/>
      <c r="F629" s="41"/>
      <c r="G629" s="41"/>
      <c r="H629" s="41"/>
      <c r="I629" s="41"/>
      <c r="K629" s="41"/>
      <c r="L629" s="64"/>
      <c r="M629" s="65"/>
    </row>
    <row r="630" spans="3:13" ht="13">
      <c r="C630" s="63"/>
      <c r="E630" s="41"/>
      <c r="F630" s="41"/>
      <c r="G630" s="41"/>
      <c r="H630" s="41"/>
      <c r="I630" s="41"/>
      <c r="K630" s="41"/>
      <c r="L630" s="64"/>
      <c r="M630" s="65"/>
    </row>
    <row r="631" spans="3:13" ht="13">
      <c r="C631" s="63"/>
      <c r="E631" s="41"/>
      <c r="F631" s="41"/>
      <c r="G631" s="41"/>
      <c r="H631" s="41"/>
      <c r="I631" s="41"/>
      <c r="K631" s="41"/>
      <c r="L631" s="64"/>
      <c r="M631" s="65"/>
    </row>
    <row r="632" spans="3:13" ht="13">
      <c r="C632" s="63"/>
      <c r="E632" s="41"/>
      <c r="F632" s="41"/>
      <c r="G632" s="41"/>
      <c r="H632" s="41"/>
      <c r="I632" s="41"/>
      <c r="K632" s="41"/>
      <c r="L632" s="64"/>
      <c r="M632" s="65"/>
    </row>
    <row r="633" spans="3:13" ht="13">
      <c r="C633" s="63"/>
      <c r="E633" s="41"/>
      <c r="F633" s="41"/>
      <c r="G633" s="41"/>
      <c r="H633" s="41"/>
      <c r="I633" s="41"/>
      <c r="K633" s="41"/>
      <c r="L633" s="64"/>
      <c r="M633" s="65"/>
    </row>
    <row r="634" spans="3:13" ht="13">
      <c r="C634" s="63"/>
      <c r="E634" s="41"/>
      <c r="F634" s="41"/>
      <c r="G634" s="41"/>
      <c r="H634" s="41"/>
      <c r="I634" s="41"/>
      <c r="K634" s="41"/>
      <c r="L634" s="64"/>
      <c r="M634" s="65"/>
    </row>
    <row r="635" spans="3:13" ht="13">
      <c r="C635" s="63"/>
      <c r="E635" s="41"/>
      <c r="F635" s="41"/>
      <c r="G635" s="41"/>
      <c r="H635" s="41"/>
      <c r="I635" s="41"/>
      <c r="K635" s="41"/>
      <c r="L635" s="64"/>
      <c r="M635" s="65"/>
    </row>
    <row r="636" spans="3:13" ht="13">
      <c r="C636" s="63"/>
      <c r="E636" s="41"/>
      <c r="F636" s="41"/>
      <c r="G636" s="41"/>
      <c r="H636" s="41"/>
      <c r="I636" s="41"/>
      <c r="K636" s="41"/>
      <c r="L636" s="64"/>
      <c r="M636" s="65"/>
    </row>
    <row r="637" spans="3:13" ht="13">
      <c r="C637" s="63"/>
      <c r="E637" s="41"/>
      <c r="F637" s="41"/>
      <c r="G637" s="41"/>
      <c r="H637" s="41"/>
      <c r="I637" s="41"/>
      <c r="K637" s="41"/>
      <c r="L637" s="64"/>
      <c r="M637" s="65"/>
    </row>
    <row r="638" spans="3:13" ht="13">
      <c r="C638" s="63"/>
      <c r="E638" s="41"/>
      <c r="F638" s="41"/>
      <c r="G638" s="41"/>
      <c r="H638" s="41"/>
      <c r="I638" s="41"/>
      <c r="K638" s="41"/>
      <c r="L638" s="64"/>
      <c r="M638" s="65"/>
    </row>
    <row r="639" spans="3:13" ht="13">
      <c r="C639" s="63"/>
      <c r="E639" s="41"/>
      <c r="F639" s="41"/>
      <c r="G639" s="41"/>
      <c r="H639" s="41"/>
      <c r="I639" s="41"/>
      <c r="K639" s="41"/>
      <c r="L639" s="64"/>
      <c r="M639" s="65"/>
    </row>
    <row r="640" spans="3:13" ht="13">
      <c r="C640" s="63"/>
      <c r="E640" s="41"/>
      <c r="F640" s="41"/>
      <c r="G640" s="41"/>
      <c r="H640" s="41"/>
      <c r="I640" s="41"/>
      <c r="K640" s="41"/>
      <c r="L640" s="64"/>
      <c r="M640" s="65"/>
    </row>
    <row r="641" spans="3:13" ht="13">
      <c r="C641" s="63"/>
      <c r="E641" s="41"/>
      <c r="F641" s="41"/>
      <c r="G641" s="41"/>
      <c r="H641" s="41"/>
      <c r="I641" s="41"/>
      <c r="K641" s="41"/>
      <c r="L641" s="64"/>
      <c r="M641" s="65"/>
    </row>
    <row r="642" spans="3:13" ht="13">
      <c r="C642" s="63"/>
      <c r="E642" s="41"/>
      <c r="F642" s="41"/>
      <c r="G642" s="41"/>
      <c r="H642" s="41"/>
      <c r="I642" s="41"/>
      <c r="K642" s="41"/>
      <c r="L642" s="64"/>
      <c r="M642" s="65"/>
    </row>
    <row r="643" spans="3:13" ht="13">
      <c r="C643" s="63"/>
      <c r="E643" s="41"/>
      <c r="F643" s="41"/>
      <c r="G643" s="41"/>
      <c r="H643" s="41"/>
      <c r="I643" s="41"/>
      <c r="K643" s="41"/>
      <c r="L643" s="64"/>
      <c r="M643" s="65"/>
    </row>
    <row r="644" spans="3:13" ht="13">
      <c r="C644" s="63"/>
      <c r="E644" s="41"/>
      <c r="F644" s="41"/>
      <c r="G644" s="41"/>
      <c r="H644" s="41"/>
      <c r="I644" s="41"/>
      <c r="K644" s="41"/>
      <c r="L644" s="64"/>
      <c r="M644" s="65"/>
    </row>
    <row r="645" spans="3:13" ht="13">
      <c r="C645" s="63"/>
      <c r="E645" s="41"/>
      <c r="F645" s="41"/>
      <c r="G645" s="41"/>
      <c r="H645" s="41"/>
      <c r="I645" s="41"/>
      <c r="K645" s="41"/>
      <c r="L645" s="64"/>
      <c r="M645" s="65"/>
    </row>
    <row r="646" spans="3:13" ht="13">
      <c r="C646" s="63"/>
      <c r="E646" s="41"/>
      <c r="F646" s="41"/>
      <c r="G646" s="41"/>
      <c r="H646" s="41"/>
      <c r="I646" s="41"/>
      <c r="K646" s="41"/>
      <c r="L646" s="64"/>
      <c r="M646" s="65"/>
    </row>
    <row r="647" spans="3:13" ht="13">
      <c r="C647" s="63"/>
      <c r="E647" s="41"/>
      <c r="F647" s="41"/>
      <c r="G647" s="41"/>
      <c r="H647" s="41"/>
      <c r="I647" s="41"/>
      <c r="K647" s="41"/>
      <c r="L647" s="64"/>
      <c r="M647" s="65"/>
    </row>
    <row r="648" spans="3:13" ht="13">
      <c r="C648" s="63"/>
      <c r="E648" s="41"/>
      <c r="F648" s="41"/>
      <c r="G648" s="41"/>
      <c r="H648" s="41"/>
      <c r="I648" s="41"/>
      <c r="K648" s="41"/>
      <c r="L648" s="64"/>
      <c r="M648" s="65"/>
    </row>
    <row r="649" spans="3:13" ht="13">
      <c r="C649" s="63"/>
      <c r="E649" s="41"/>
      <c r="F649" s="41"/>
      <c r="G649" s="41"/>
      <c r="H649" s="41"/>
      <c r="I649" s="41"/>
      <c r="K649" s="41"/>
      <c r="L649" s="64"/>
      <c r="M649" s="65"/>
    </row>
    <row r="650" spans="3:13" ht="13">
      <c r="C650" s="63"/>
      <c r="E650" s="41"/>
      <c r="F650" s="41"/>
      <c r="G650" s="41"/>
      <c r="H650" s="41"/>
      <c r="I650" s="41"/>
      <c r="K650" s="41"/>
      <c r="L650" s="64"/>
      <c r="M650" s="65"/>
    </row>
    <row r="651" spans="3:13" ht="13">
      <c r="C651" s="63"/>
      <c r="E651" s="41"/>
      <c r="F651" s="41"/>
      <c r="G651" s="41"/>
      <c r="H651" s="41"/>
      <c r="I651" s="41"/>
      <c r="K651" s="41"/>
      <c r="L651" s="64"/>
      <c r="M651" s="65"/>
    </row>
    <row r="652" spans="3:13" ht="13">
      <c r="C652" s="63"/>
      <c r="E652" s="41"/>
      <c r="F652" s="41"/>
      <c r="G652" s="41"/>
      <c r="H652" s="41"/>
      <c r="I652" s="41"/>
      <c r="K652" s="41"/>
      <c r="L652" s="64"/>
      <c r="M652" s="65"/>
    </row>
    <row r="653" spans="3:13" ht="13">
      <c r="C653" s="63"/>
      <c r="E653" s="41"/>
      <c r="F653" s="41"/>
      <c r="G653" s="41"/>
      <c r="H653" s="41"/>
      <c r="I653" s="41"/>
      <c r="K653" s="41"/>
      <c r="L653" s="64"/>
      <c r="M653" s="65"/>
    </row>
    <row r="654" spans="3:13" ht="13">
      <c r="C654" s="63"/>
      <c r="E654" s="41"/>
      <c r="F654" s="41"/>
      <c r="G654" s="41"/>
      <c r="H654" s="41"/>
      <c r="I654" s="41"/>
      <c r="K654" s="41"/>
      <c r="L654" s="64"/>
      <c r="M654" s="65"/>
    </row>
    <row r="655" spans="3:13" ht="13">
      <c r="C655" s="63"/>
      <c r="E655" s="41"/>
      <c r="F655" s="41"/>
      <c r="G655" s="41"/>
      <c r="H655" s="41"/>
      <c r="I655" s="41"/>
      <c r="K655" s="41"/>
      <c r="L655" s="64"/>
      <c r="M655" s="65"/>
    </row>
    <row r="656" spans="3:13" ht="13">
      <c r="C656" s="63"/>
      <c r="E656" s="41"/>
      <c r="F656" s="41"/>
      <c r="G656" s="41"/>
      <c r="H656" s="41"/>
      <c r="I656" s="41"/>
      <c r="K656" s="41"/>
      <c r="L656" s="64"/>
      <c r="M656" s="65"/>
    </row>
    <row r="657" spans="3:13" ht="13">
      <c r="C657" s="63"/>
      <c r="E657" s="41"/>
      <c r="F657" s="41"/>
      <c r="G657" s="41"/>
      <c r="H657" s="41"/>
      <c r="I657" s="41"/>
      <c r="K657" s="41"/>
      <c r="L657" s="64"/>
      <c r="M657" s="65"/>
    </row>
    <row r="658" spans="3:13" ht="13">
      <c r="C658" s="63"/>
      <c r="E658" s="41"/>
      <c r="F658" s="41"/>
      <c r="G658" s="41"/>
      <c r="H658" s="41"/>
      <c r="I658" s="41"/>
      <c r="K658" s="41"/>
      <c r="L658" s="64"/>
      <c r="M658" s="65"/>
    </row>
    <row r="659" spans="3:13" ht="13">
      <c r="C659" s="63"/>
      <c r="E659" s="41"/>
      <c r="F659" s="41"/>
      <c r="G659" s="41"/>
      <c r="H659" s="41"/>
      <c r="I659" s="41"/>
      <c r="K659" s="41"/>
      <c r="L659" s="64"/>
      <c r="M659" s="65"/>
    </row>
    <row r="660" spans="3:13" ht="13">
      <c r="C660" s="63"/>
      <c r="E660" s="41"/>
      <c r="F660" s="41"/>
      <c r="G660" s="41"/>
      <c r="H660" s="41"/>
      <c r="I660" s="41"/>
      <c r="K660" s="41"/>
      <c r="L660" s="64"/>
      <c r="M660" s="65"/>
    </row>
    <row r="661" spans="3:13" ht="13">
      <c r="C661" s="63"/>
      <c r="E661" s="41"/>
      <c r="F661" s="41"/>
      <c r="G661" s="41"/>
      <c r="H661" s="41"/>
      <c r="I661" s="41"/>
      <c r="K661" s="41"/>
      <c r="L661" s="64"/>
      <c r="M661" s="65"/>
    </row>
    <row r="662" spans="3:13" ht="13">
      <c r="C662" s="63"/>
      <c r="E662" s="41"/>
      <c r="F662" s="41"/>
      <c r="G662" s="41"/>
      <c r="H662" s="41"/>
      <c r="I662" s="41"/>
      <c r="K662" s="41"/>
      <c r="L662" s="64"/>
      <c r="M662" s="65"/>
    </row>
    <row r="663" spans="3:13" ht="13">
      <c r="C663" s="63"/>
      <c r="E663" s="41"/>
      <c r="F663" s="41"/>
      <c r="G663" s="41"/>
      <c r="H663" s="41"/>
      <c r="I663" s="41"/>
      <c r="K663" s="41"/>
      <c r="L663" s="64"/>
      <c r="M663" s="65"/>
    </row>
    <row r="664" spans="3:13" ht="13">
      <c r="C664" s="63"/>
      <c r="E664" s="41"/>
      <c r="F664" s="41"/>
      <c r="G664" s="41"/>
      <c r="H664" s="41"/>
      <c r="I664" s="41"/>
      <c r="K664" s="41"/>
      <c r="L664" s="64"/>
      <c r="M664" s="65"/>
    </row>
    <row r="665" spans="3:13" ht="13">
      <c r="C665" s="63"/>
      <c r="E665" s="41"/>
      <c r="F665" s="41"/>
      <c r="G665" s="41"/>
      <c r="H665" s="41"/>
      <c r="I665" s="41"/>
      <c r="K665" s="41"/>
      <c r="L665" s="64"/>
      <c r="M665" s="65"/>
    </row>
    <row r="666" spans="3:13" ht="13">
      <c r="C666" s="63"/>
      <c r="E666" s="41"/>
      <c r="F666" s="41"/>
      <c r="G666" s="41"/>
      <c r="H666" s="41"/>
      <c r="I666" s="41"/>
      <c r="K666" s="41"/>
      <c r="L666" s="64"/>
      <c r="M666" s="65"/>
    </row>
    <row r="667" spans="3:13" ht="13">
      <c r="C667" s="63"/>
      <c r="E667" s="41"/>
      <c r="F667" s="41"/>
      <c r="G667" s="41"/>
      <c r="H667" s="41"/>
      <c r="I667" s="41"/>
      <c r="K667" s="41"/>
      <c r="L667" s="64"/>
      <c r="M667" s="65"/>
    </row>
    <row r="668" spans="3:13" ht="13">
      <c r="C668" s="63"/>
      <c r="E668" s="41"/>
      <c r="F668" s="41"/>
      <c r="G668" s="41"/>
      <c r="H668" s="41"/>
      <c r="I668" s="41"/>
      <c r="K668" s="41"/>
      <c r="L668" s="64"/>
      <c r="M668" s="65"/>
    </row>
    <row r="669" spans="3:13" ht="13">
      <c r="C669" s="63"/>
      <c r="E669" s="41"/>
      <c r="F669" s="41"/>
      <c r="G669" s="41"/>
      <c r="H669" s="41"/>
      <c r="I669" s="41"/>
      <c r="K669" s="41"/>
      <c r="L669" s="64"/>
      <c r="M669" s="65"/>
    </row>
    <row r="670" spans="3:13" ht="13">
      <c r="C670" s="63"/>
      <c r="E670" s="41"/>
      <c r="F670" s="41"/>
      <c r="G670" s="41"/>
      <c r="H670" s="41"/>
      <c r="I670" s="41"/>
      <c r="K670" s="41"/>
      <c r="L670" s="64"/>
      <c r="M670" s="65"/>
    </row>
    <row r="671" spans="3:13" ht="13">
      <c r="C671" s="63"/>
      <c r="E671" s="41"/>
      <c r="F671" s="41"/>
      <c r="G671" s="41"/>
      <c r="H671" s="41"/>
      <c r="I671" s="41"/>
      <c r="K671" s="41"/>
      <c r="L671" s="64"/>
      <c r="M671" s="65"/>
    </row>
    <row r="672" spans="3:13" ht="13">
      <c r="C672" s="63"/>
      <c r="E672" s="41"/>
      <c r="F672" s="41"/>
      <c r="G672" s="41"/>
      <c r="H672" s="41"/>
      <c r="I672" s="41"/>
      <c r="K672" s="41"/>
      <c r="L672" s="64"/>
      <c r="M672" s="65"/>
    </row>
    <row r="673" spans="3:13" ht="13">
      <c r="C673" s="63"/>
      <c r="E673" s="41"/>
      <c r="F673" s="41"/>
      <c r="G673" s="41"/>
      <c r="H673" s="41"/>
      <c r="I673" s="41"/>
      <c r="K673" s="41"/>
      <c r="L673" s="64"/>
      <c r="M673" s="65"/>
    </row>
    <row r="674" spans="3:13" ht="13">
      <c r="C674" s="63"/>
      <c r="E674" s="41"/>
      <c r="F674" s="41"/>
      <c r="G674" s="41"/>
      <c r="H674" s="41"/>
      <c r="I674" s="41"/>
      <c r="K674" s="41"/>
      <c r="L674" s="64"/>
      <c r="M674" s="65"/>
    </row>
    <row r="675" spans="3:13" ht="13">
      <c r="C675" s="63"/>
      <c r="E675" s="41"/>
      <c r="F675" s="41"/>
      <c r="G675" s="41"/>
      <c r="H675" s="41"/>
      <c r="I675" s="41"/>
      <c r="K675" s="41"/>
      <c r="L675" s="64"/>
      <c r="M675" s="65"/>
    </row>
    <row r="676" spans="3:13" ht="13">
      <c r="C676" s="63"/>
      <c r="E676" s="41"/>
      <c r="F676" s="41"/>
      <c r="G676" s="41"/>
      <c r="H676" s="41"/>
      <c r="I676" s="41"/>
      <c r="K676" s="41"/>
      <c r="L676" s="64"/>
      <c r="M676" s="65"/>
    </row>
    <row r="677" spans="3:13" ht="13">
      <c r="C677" s="63"/>
      <c r="E677" s="41"/>
      <c r="F677" s="41"/>
      <c r="G677" s="41"/>
      <c r="H677" s="41"/>
      <c r="I677" s="41"/>
      <c r="K677" s="41"/>
      <c r="L677" s="64"/>
      <c r="M677" s="65"/>
    </row>
    <row r="678" spans="3:13" ht="13">
      <c r="C678" s="63"/>
      <c r="E678" s="41"/>
      <c r="F678" s="41"/>
      <c r="G678" s="41"/>
      <c r="H678" s="41"/>
      <c r="I678" s="41"/>
      <c r="K678" s="41"/>
      <c r="L678" s="64"/>
      <c r="M678" s="65"/>
    </row>
    <row r="679" spans="3:13" ht="13">
      <c r="C679" s="63"/>
      <c r="E679" s="41"/>
      <c r="F679" s="41"/>
      <c r="G679" s="41"/>
      <c r="H679" s="41"/>
      <c r="I679" s="41"/>
      <c r="K679" s="41"/>
      <c r="L679" s="64"/>
      <c r="M679" s="65"/>
    </row>
    <row r="680" spans="3:13" ht="13">
      <c r="C680" s="63"/>
      <c r="E680" s="41"/>
      <c r="F680" s="41"/>
      <c r="G680" s="41"/>
      <c r="H680" s="41"/>
      <c r="I680" s="41"/>
      <c r="K680" s="41"/>
      <c r="L680" s="64"/>
      <c r="M680" s="65"/>
    </row>
    <row r="681" spans="3:13" ht="13">
      <c r="C681" s="63"/>
      <c r="E681" s="41"/>
      <c r="F681" s="41"/>
      <c r="G681" s="41"/>
      <c r="H681" s="41"/>
      <c r="I681" s="41"/>
      <c r="K681" s="41"/>
      <c r="L681" s="64"/>
      <c r="M681" s="65"/>
    </row>
    <row r="682" spans="3:13" ht="13">
      <c r="C682" s="63"/>
      <c r="E682" s="41"/>
      <c r="F682" s="41"/>
      <c r="G682" s="41"/>
      <c r="H682" s="41"/>
      <c r="I682" s="41"/>
      <c r="K682" s="41"/>
      <c r="L682" s="64"/>
      <c r="M682" s="65"/>
    </row>
    <row r="683" spans="3:13" ht="13">
      <c r="C683" s="63"/>
      <c r="E683" s="41"/>
      <c r="F683" s="41"/>
      <c r="G683" s="41"/>
      <c r="H683" s="41"/>
      <c r="I683" s="41"/>
      <c r="K683" s="41"/>
      <c r="L683" s="64"/>
      <c r="M683" s="65"/>
    </row>
    <row r="684" spans="3:13" ht="13">
      <c r="C684" s="63"/>
      <c r="E684" s="41"/>
      <c r="F684" s="41"/>
      <c r="G684" s="41"/>
      <c r="H684" s="41"/>
      <c r="I684" s="41"/>
      <c r="K684" s="41"/>
      <c r="L684" s="64"/>
      <c r="M684" s="65"/>
    </row>
    <row r="685" spans="3:13" ht="13">
      <c r="C685" s="63"/>
      <c r="E685" s="41"/>
      <c r="F685" s="41"/>
      <c r="G685" s="41"/>
      <c r="H685" s="41"/>
      <c r="I685" s="41"/>
      <c r="K685" s="41"/>
      <c r="L685" s="64"/>
      <c r="M685" s="65"/>
    </row>
    <row r="686" spans="3:13" ht="13">
      <c r="C686" s="63"/>
      <c r="E686" s="41"/>
      <c r="F686" s="41"/>
      <c r="G686" s="41"/>
      <c r="H686" s="41"/>
      <c r="I686" s="41"/>
      <c r="K686" s="41"/>
      <c r="L686" s="64"/>
      <c r="M686" s="65"/>
    </row>
    <row r="687" spans="3:13" ht="13">
      <c r="C687" s="63"/>
      <c r="E687" s="41"/>
      <c r="F687" s="41"/>
      <c r="G687" s="41"/>
      <c r="H687" s="41"/>
      <c r="I687" s="41"/>
      <c r="K687" s="41"/>
      <c r="L687" s="64"/>
      <c r="M687" s="65"/>
    </row>
    <row r="688" spans="3:13" ht="13">
      <c r="C688" s="63"/>
      <c r="E688" s="41"/>
      <c r="F688" s="41"/>
      <c r="G688" s="41"/>
      <c r="H688" s="41"/>
      <c r="I688" s="41"/>
      <c r="K688" s="41"/>
      <c r="L688" s="64"/>
      <c r="M688" s="65"/>
    </row>
    <row r="689" spans="3:13" ht="13">
      <c r="C689" s="63"/>
      <c r="E689" s="41"/>
      <c r="F689" s="41"/>
      <c r="G689" s="41"/>
      <c r="H689" s="41"/>
      <c r="I689" s="41"/>
      <c r="K689" s="41"/>
      <c r="L689" s="64"/>
      <c r="M689" s="65"/>
    </row>
    <row r="690" spans="3:13" ht="13">
      <c r="C690" s="63"/>
      <c r="E690" s="41"/>
      <c r="F690" s="41"/>
      <c r="G690" s="41"/>
      <c r="H690" s="41"/>
      <c r="I690" s="41"/>
      <c r="K690" s="41"/>
      <c r="L690" s="64"/>
      <c r="M690" s="65"/>
    </row>
    <row r="691" spans="3:13" ht="13">
      <c r="C691" s="63"/>
      <c r="E691" s="41"/>
      <c r="F691" s="41"/>
      <c r="G691" s="41"/>
      <c r="H691" s="41"/>
      <c r="I691" s="41"/>
      <c r="K691" s="41"/>
      <c r="L691" s="64"/>
      <c r="M691" s="65"/>
    </row>
    <row r="692" spans="3:13" ht="13">
      <c r="C692" s="63"/>
      <c r="E692" s="41"/>
      <c r="F692" s="41"/>
      <c r="G692" s="41"/>
      <c r="H692" s="41"/>
      <c r="I692" s="41"/>
      <c r="K692" s="41"/>
      <c r="L692" s="64"/>
      <c r="M692" s="65"/>
    </row>
    <row r="693" spans="3:13" ht="13">
      <c r="C693" s="63"/>
      <c r="E693" s="41"/>
      <c r="F693" s="41"/>
      <c r="G693" s="41"/>
      <c r="H693" s="41"/>
      <c r="I693" s="41"/>
      <c r="K693" s="41"/>
      <c r="L693" s="64"/>
      <c r="M693" s="65"/>
    </row>
    <row r="694" spans="3:13" ht="13">
      <c r="C694" s="63"/>
      <c r="E694" s="41"/>
      <c r="F694" s="41"/>
      <c r="G694" s="41"/>
      <c r="H694" s="41"/>
      <c r="I694" s="41"/>
      <c r="K694" s="41"/>
      <c r="L694" s="64"/>
      <c r="M694" s="65"/>
    </row>
    <row r="695" spans="3:13" ht="13">
      <c r="C695" s="63"/>
      <c r="E695" s="41"/>
      <c r="F695" s="41"/>
      <c r="G695" s="41"/>
      <c r="H695" s="41"/>
      <c r="I695" s="41"/>
      <c r="K695" s="41"/>
      <c r="L695" s="64"/>
      <c r="M695" s="65"/>
    </row>
    <row r="696" spans="3:13" ht="13">
      <c r="C696" s="63"/>
      <c r="E696" s="41"/>
      <c r="F696" s="41"/>
      <c r="G696" s="41"/>
      <c r="H696" s="41"/>
      <c r="I696" s="41"/>
      <c r="K696" s="41"/>
      <c r="L696" s="64"/>
      <c r="M696" s="65"/>
    </row>
    <row r="697" spans="3:13" ht="13">
      <c r="C697" s="63"/>
      <c r="E697" s="41"/>
      <c r="F697" s="41"/>
      <c r="G697" s="41"/>
      <c r="H697" s="41"/>
      <c r="I697" s="41"/>
      <c r="K697" s="41"/>
      <c r="L697" s="64"/>
      <c r="M697" s="65"/>
    </row>
    <row r="698" spans="3:13" ht="13">
      <c r="C698" s="63"/>
      <c r="E698" s="41"/>
      <c r="F698" s="41"/>
      <c r="G698" s="41"/>
      <c r="H698" s="41"/>
      <c r="I698" s="41"/>
      <c r="K698" s="41"/>
      <c r="L698" s="64"/>
      <c r="M698" s="65"/>
    </row>
    <row r="699" spans="3:13" ht="13">
      <c r="C699" s="63"/>
      <c r="E699" s="41"/>
      <c r="F699" s="41"/>
      <c r="G699" s="41"/>
      <c r="H699" s="41"/>
      <c r="I699" s="41"/>
      <c r="K699" s="41"/>
      <c r="L699" s="64"/>
      <c r="M699" s="65"/>
    </row>
    <row r="700" spans="3:13" ht="13">
      <c r="C700" s="63"/>
      <c r="E700" s="41"/>
      <c r="F700" s="41"/>
      <c r="G700" s="41"/>
      <c r="H700" s="41"/>
      <c r="I700" s="41"/>
      <c r="K700" s="41"/>
      <c r="L700" s="64"/>
      <c r="M700" s="65"/>
    </row>
    <row r="701" spans="3:13" ht="13">
      <c r="C701" s="63"/>
      <c r="E701" s="41"/>
      <c r="F701" s="41"/>
      <c r="G701" s="41"/>
      <c r="H701" s="41"/>
      <c r="I701" s="41"/>
      <c r="K701" s="41"/>
      <c r="L701" s="64"/>
      <c r="M701" s="65"/>
    </row>
    <row r="702" spans="3:13" ht="13">
      <c r="C702" s="63"/>
      <c r="E702" s="41"/>
      <c r="F702" s="41"/>
      <c r="G702" s="41"/>
      <c r="H702" s="41"/>
      <c r="I702" s="41"/>
      <c r="K702" s="41"/>
      <c r="L702" s="64"/>
      <c r="M702" s="65"/>
    </row>
    <row r="703" spans="3:13" ht="13">
      <c r="C703" s="63"/>
      <c r="E703" s="41"/>
      <c r="F703" s="41"/>
      <c r="G703" s="41"/>
      <c r="H703" s="41"/>
      <c r="I703" s="41"/>
      <c r="K703" s="41"/>
      <c r="L703" s="64"/>
      <c r="M703" s="65"/>
    </row>
    <row r="704" spans="3:13" ht="13">
      <c r="C704" s="63"/>
      <c r="E704" s="41"/>
      <c r="F704" s="41"/>
      <c r="G704" s="41"/>
      <c r="H704" s="41"/>
      <c r="I704" s="41"/>
      <c r="K704" s="41"/>
      <c r="L704" s="64"/>
      <c r="M704" s="65"/>
    </row>
    <row r="705" spans="3:13" ht="13">
      <c r="C705" s="63"/>
      <c r="E705" s="41"/>
      <c r="F705" s="41"/>
      <c r="G705" s="41"/>
      <c r="H705" s="41"/>
      <c r="I705" s="41"/>
      <c r="K705" s="41"/>
      <c r="L705" s="64"/>
      <c r="M705" s="65"/>
    </row>
    <row r="706" spans="3:13" ht="13">
      <c r="C706" s="63"/>
      <c r="E706" s="41"/>
      <c r="F706" s="41"/>
      <c r="G706" s="41"/>
      <c r="H706" s="41"/>
      <c r="I706" s="41"/>
      <c r="K706" s="41"/>
      <c r="L706" s="64"/>
      <c r="M706" s="65"/>
    </row>
    <row r="707" spans="3:13" ht="13">
      <c r="C707" s="63"/>
      <c r="E707" s="41"/>
      <c r="F707" s="41"/>
      <c r="G707" s="41"/>
      <c r="H707" s="41"/>
      <c r="I707" s="41"/>
      <c r="K707" s="41"/>
      <c r="L707" s="64"/>
      <c r="M707" s="65"/>
    </row>
    <row r="708" spans="3:13" ht="13">
      <c r="C708" s="63"/>
      <c r="E708" s="41"/>
      <c r="F708" s="41"/>
      <c r="G708" s="41"/>
      <c r="H708" s="41"/>
      <c r="I708" s="41"/>
      <c r="K708" s="41"/>
      <c r="L708" s="64"/>
      <c r="M708" s="65"/>
    </row>
    <row r="709" spans="3:13" ht="13">
      <c r="C709" s="63"/>
      <c r="E709" s="41"/>
      <c r="F709" s="41"/>
      <c r="G709" s="41"/>
      <c r="H709" s="41"/>
      <c r="I709" s="41"/>
      <c r="K709" s="41"/>
      <c r="L709" s="64"/>
      <c r="M709" s="65"/>
    </row>
    <row r="710" spans="3:13" ht="13">
      <c r="C710" s="63"/>
      <c r="E710" s="41"/>
      <c r="F710" s="41"/>
      <c r="G710" s="41"/>
      <c r="H710" s="41"/>
      <c r="I710" s="41"/>
      <c r="K710" s="41"/>
      <c r="L710" s="64"/>
      <c r="M710" s="65"/>
    </row>
    <row r="711" spans="3:13" ht="13">
      <c r="C711" s="63"/>
      <c r="E711" s="41"/>
      <c r="F711" s="41"/>
      <c r="G711" s="41"/>
      <c r="H711" s="41"/>
      <c r="I711" s="41"/>
      <c r="K711" s="41"/>
      <c r="L711" s="64"/>
      <c r="M711" s="65"/>
    </row>
    <row r="712" spans="3:13" ht="13">
      <c r="C712" s="63"/>
      <c r="E712" s="41"/>
      <c r="F712" s="41"/>
      <c r="G712" s="41"/>
      <c r="H712" s="41"/>
      <c r="I712" s="41"/>
      <c r="K712" s="41"/>
      <c r="L712" s="64"/>
      <c r="M712" s="65"/>
    </row>
    <row r="713" spans="3:13" ht="13">
      <c r="C713" s="63"/>
      <c r="E713" s="41"/>
      <c r="F713" s="41"/>
      <c r="G713" s="41"/>
      <c r="H713" s="41"/>
      <c r="I713" s="41"/>
      <c r="K713" s="41"/>
      <c r="L713" s="64"/>
      <c r="M713" s="65"/>
    </row>
    <row r="714" spans="3:13" ht="13">
      <c r="C714" s="63"/>
      <c r="E714" s="41"/>
      <c r="F714" s="41"/>
      <c r="G714" s="41"/>
      <c r="H714" s="41"/>
      <c r="I714" s="41"/>
      <c r="K714" s="41"/>
      <c r="L714" s="64"/>
      <c r="M714" s="65"/>
    </row>
    <row r="715" spans="3:13" ht="13">
      <c r="C715" s="63"/>
      <c r="E715" s="41"/>
      <c r="F715" s="41"/>
      <c r="G715" s="41"/>
      <c r="H715" s="41"/>
      <c r="I715" s="41"/>
      <c r="K715" s="41"/>
      <c r="L715" s="64"/>
      <c r="M715" s="65"/>
    </row>
    <row r="716" spans="3:13" ht="13">
      <c r="C716" s="63"/>
      <c r="E716" s="41"/>
      <c r="F716" s="41"/>
      <c r="G716" s="41"/>
      <c r="H716" s="41"/>
      <c r="I716" s="41"/>
      <c r="K716" s="41"/>
      <c r="L716" s="64"/>
      <c r="M716" s="65"/>
    </row>
    <row r="717" spans="3:13" ht="13">
      <c r="C717" s="63"/>
      <c r="E717" s="41"/>
      <c r="F717" s="41"/>
      <c r="G717" s="41"/>
      <c r="H717" s="41"/>
      <c r="I717" s="41"/>
      <c r="K717" s="41"/>
      <c r="L717" s="64"/>
      <c r="M717" s="65"/>
    </row>
    <row r="718" spans="3:13" ht="13">
      <c r="C718" s="63"/>
      <c r="E718" s="41"/>
      <c r="F718" s="41"/>
      <c r="G718" s="41"/>
      <c r="H718" s="41"/>
      <c r="I718" s="41"/>
      <c r="K718" s="41"/>
      <c r="L718" s="64"/>
      <c r="M718" s="65"/>
    </row>
    <row r="719" spans="3:13" ht="13">
      <c r="C719" s="63"/>
      <c r="E719" s="41"/>
      <c r="F719" s="41"/>
      <c r="G719" s="41"/>
      <c r="H719" s="41"/>
      <c r="I719" s="41"/>
      <c r="K719" s="41"/>
      <c r="L719" s="64"/>
      <c r="M719" s="65"/>
    </row>
    <row r="720" spans="3:13" ht="13">
      <c r="C720" s="63"/>
      <c r="E720" s="41"/>
      <c r="F720" s="41"/>
      <c r="G720" s="41"/>
      <c r="H720" s="41"/>
      <c r="I720" s="41"/>
      <c r="K720" s="41"/>
      <c r="L720" s="64"/>
      <c r="M720" s="65"/>
    </row>
    <row r="721" spans="3:13" ht="13">
      <c r="C721" s="63"/>
      <c r="E721" s="41"/>
      <c r="F721" s="41"/>
      <c r="G721" s="41"/>
      <c r="H721" s="41"/>
      <c r="I721" s="41"/>
      <c r="K721" s="41"/>
      <c r="L721" s="64"/>
      <c r="M721" s="65"/>
    </row>
    <row r="722" spans="3:13" ht="13">
      <c r="C722" s="63"/>
      <c r="E722" s="41"/>
      <c r="F722" s="41"/>
      <c r="G722" s="41"/>
      <c r="H722" s="41"/>
      <c r="I722" s="41"/>
      <c r="K722" s="41"/>
      <c r="L722" s="64"/>
      <c r="M722" s="65"/>
    </row>
    <row r="723" spans="3:13" ht="13">
      <c r="C723" s="63"/>
      <c r="E723" s="41"/>
      <c r="F723" s="41"/>
      <c r="G723" s="41"/>
      <c r="H723" s="41"/>
      <c r="I723" s="41"/>
      <c r="K723" s="41"/>
      <c r="L723" s="64"/>
      <c r="M723" s="65"/>
    </row>
    <row r="724" spans="3:13" ht="13">
      <c r="C724" s="63"/>
      <c r="E724" s="41"/>
      <c r="F724" s="41"/>
      <c r="G724" s="41"/>
      <c r="H724" s="41"/>
      <c r="I724" s="41"/>
      <c r="K724" s="41"/>
      <c r="L724" s="64"/>
      <c r="M724" s="65"/>
    </row>
    <row r="725" spans="3:13" ht="13">
      <c r="C725" s="63"/>
      <c r="E725" s="41"/>
      <c r="F725" s="41"/>
      <c r="G725" s="41"/>
      <c r="H725" s="41"/>
      <c r="I725" s="41"/>
      <c r="K725" s="41"/>
      <c r="L725" s="64"/>
      <c r="M725" s="65"/>
    </row>
    <row r="726" spans="3:13" ht="13">
      <c r="C726" s="63"/>
      <c r="E726" s="41"/>
      <c r="F726" s="41"/>
      <c r="G726" s="41"/>
      <c r="H726" s="41"/>
      <c r="I726" s="41"/>
      <c r="K726" s="41"/>
      <c r="L726" s="64"/>
      <c r="M726" s="65"/>
    </row>
    <row r="727" spans="3:13" ht="13">
      <c r="C727" s="63"/>
      <c r="E727" s="41"/>
      <c r="F727" s="41"/>
      <c r="G727" s="41"/>
      <c r="H727" s="41"/>
      <c r="I727" s="41"/>
      <c r="K727" s="41"/>
      <c r="L727" s="64"/>
      <c r="M727" s="65"/>
    </row>
    <row r="728" spans="3:13" ht="13">
      <c r="C728" s="63"/>
      <c r="E728" s="41"/>
      <c r="F728" s="41"/>
      <c r="G728" s="41"/>
      <c r="H728" s="41"/>
      <c r="I728" s="41"/>
      <c r="K728" s="41"/>
      <c r="L728" s="64"/>
      <c r="M728" s="65"/>
    </row>
    <row r="729" spans="3:13" ht="13">
      <c r="C729" s="63"/>
      <c r="E729" s="41"/>
      <c r="F729" s="41"/>
      <c r="G729" s="41"/>
      <c r="H729" s="41"/>
      <c r="I729" s="41"/>
      <c r="K729" s="41"/>
      <c r="L729" s="64"/>
      <c r="M729" s="65"/>
    </row>
    <row r="730" spans="3:13" ht="13">
      <c r="C730" s="63"/>
      <c r="E730" s="41"/>
      <c r="F730" s="41"/>
      <c r="G730" s="41"/>
      <c r="H730" s="41"/>
      <c r="I730" s="41"/>
      <c r="K730" s="41"/>
      <c r="L730" s="64"/>
      <c r="M730" s="65"/>
    </row>
    <row r="731" spans="3:13" ht="13">
      <c r="C731" s="63"/>
      <c r="E731" s="41"/>
      <c r="F731" s="41"/>
      <c r="G731" s="41"/>
      <c r="H731" s="41"/>
      <c r="I731" s="41"/>
      <c r="K731" s="41"/>
      <c r="L731" s="64"/>
      <c r="M731" s="65"/>
    </row>
    <row r="732" spans="3:13" ht="13">
      <c r="C732" s="63"/>
      <c r="E732" s="41"/>
      <c r="F732" s="41"/>
      <c r="G732" s="41"/>
      <c r="H732" s="41"/>
      <c r="I732" s="41"/>
      <c r="K732" s="41"/>
      <c r="L732" s="64"/>
      <c r="M732" s="65"/>
    </row>
    <row r="733" spans="3:13" ht="13">
      <c r="C733" s="63"/>
      <c r="E733" s="41"/>
      <c r="F733" s="41"/>
      <c r="G733" s="41"/>
      <c r="H733" s="41"/>
      <c r="I733" s="41"/>
      <c r="K733" s="41"/>
      <c r="L733" s="64"/>
      <c r="M733" s="65"/>
    </row>
    <row r="734" spans="3:13" ht="13">
      <c r="C734" s="63"/>
      <c r="E734" s="41"/>
      <c r="F734" s="41"/>
      <c r="G734" s="41"/>
      <c r="H734" s="41"/>
      <c r="I734" s="41"/>
      <c r="K734" s="41"/>
      <c r="L734" s="64"/>
      <c r="M734" s="65"/>
    </row>
    <row r="735" spans="3:13" ht="13">
      <c r="C735" s="63"/>
      <c r="E735" s="41"/>
      <c r="F735" s="41"/>
      <c r="G735" s="41"/>
      <c r="H735" s="41"/>
      <c r="I735" s="41"/>
      <c r="K735" s="41"/>
      <c r="L735" s="64"/>
      <c r="M735" s="65"/>
    </row>
    <row r="736" spans="3:13" ht="13">
      <c r="C736" s="63"/>
      <c r="E736" s="41"/>
      <c r="F736" s="41"/>
      <c r="G736" s="41"/>
      <c r="H736" s="41"/>
      <c r="I736" s="41"/>
      <c r="K736" s="41"/>
      <c r="L736" s="64"/>
      <c r="M736" s="65"/>
    </row>
    <row r="737" spans="3:13" ht="13">
      <c r="C737" s="63"/>
      <c r="E737" s="41"/>
      <c r="F737" s="41"/>
      <c r="G737" s="41"/>
      <c r="H737" s="41"/>
      <c r="I737" s="41"/>
      <c r="K737" s="41"/>
      <c r="L737" s="64"/>
      <c r="M737" s="65"/>
    </row>
    <row r="738" spans="3:13" ht="13">
      <c r="C738" s="63"/>
      <c r="E738" s="41"/>
      <c r="F738" s="41"/>
      <c r="G738" s="41"/>
      <c r="H738" s="41"/>
      <c r="I738" s="41"/>
      <c r="K738" s="41"/>
      <c r="L738" s="64"/>
      <c r="M738" s="65"/>
    </row>
    <row r="739" spans="3:13" ht="13">
      <c r="C739" s="63"/>
      <c r="E739" s="41"/>
      <c r="F739" s="41"/>
      <c r="G739" s="41"/>
      <c r="H739" s="41"/>
      <c r="I739" s="41"/>
      <c r="K739" s="41"/>
      <c r="L739" s="64"/>
      <c r="M739" s="65"/>
    </row>
    <row r="740" spans="3:13" ht="13">
      <c r="C740" s="63"/>
      <c r="E740" s="41"/>
      <c r="F740" s="41"/>
      <c r="G740" s="41"/>
      <c r="H740" s="41"/>
      <c r="I740" s="41"/>
      <c r="K740" s="41"/>
      <c r="L740" s="64"/>
      <c r="M740" s="65"/>
    </row>
    <row r="741" spans="3:13" ht="13">
      <c r="C741" s="63"/>
      <c r="E741" s="41"/>
      <c r="F741" s="41"/>
      <c r="G741" s="41"/>
      <c r="H741" s="41"/>
      <c r="I741" s="41"/>
      <c r="K741" s="41"/>
      <c r="L741" s="64"/>
      <c r="M741" s="65"/>
    </row>
    <row r="742" spans="3:13" ht="13">
      <c r="C742" s="63"/>
      <c r="E742" s="41"/>
      <c r="F742" s="41"/>
      <c r="G742" s="41"/>
      <c r="H742" s="41"/>
      <c r="I742" s="41"/>
      <c r="K742" s="41"/>
      <c r="L742" s="64"/>
      <c r="M742" s="65"/>
    </row>
    <row r="743" spans="3:13" ht="13">
      <c r="C743" s="63"/>
      <c r="E743" s="41"/>
      <c r="F743" s="41"/>
      <c r="G743" s="41"/>
      <c r="H743" s="41"/>
      <c r="I743" s="41"/>
      <c r="K743" s="41"/>
      <c r="L743" s="64"/>
      <c r="M743" s="65"/>
    </row>
    <row r="744" spans="3:13" ht="13">
      <c r="C744" s="63"/>
      <c r="E744" s="41"/>
      <c r="F744" s="41"/>
      <c r="G744" s="41"/>
      <c r="H744" s="41"/>
      <c r="I744" s="41"/>
      <c r="K744" s="41"/>
      <c r="L744" s="64"/>
      <c r="M744" s="65"/>
    </row>
    <row r="745" spans="3:13" ht="13">
      <c r="C745" s="63"/>
      <c r="E745" s="41"/>
      <c r="F745" s="41"/>
      <c r="G745" s="41"/>
      <c r="H745" s="41"/>
      <c r="I745" s="41"/>
      <c r="K745" s="41"/>
      <c r="L745" s="64"/>
      <c r="M745" s="65"/>
    </row>
    <row r="746" spans="3:13" ht="13">
      <c r="C746" s="63"/>
      <c r="E746" s="41"/>
      <c r="F746" s="41"/>
      <c r="G746" s="41"/>
      <c r="H746" s="41"/>
      <c r="I746" s="41"/>
      <c r="K746" s="41"/>
      <c r="L746" s="64"/>
      <c r="M746" s="65"/>
    </row>
    <row r="747" spans="3:13" ht="13">
      <c r="C747" s="63"/>
      <c r="E747" s="41"/>
      <c r="F747" s="41"/>
      <c r="G747" s="41"/>
      <c r="H747" s="41"/>
      <c r="I747" s="41"/>
      <c r="K747" s="41"/>
      <c r="L747" s="64"/>
      <c r="M747" s="65"/>
    </row>
    <row r="748" spans="3:13" ht="13">
      <c r="C748" s="63"/>
      <c r="E748" s="41"/>
      <c r="F748" s="41"/>
      <c r="G748" s="41"/>
      <c r="H748" s="41"/>
      <c r="I748" s="41"/>
      <c r="K748" s="41"/>
      <c r="L748" s="64"/>
      <c r="M748" s="65"/>
    </row>
    <row r="749" spans="3:13" ht="13">
      <c r="C749" s="63"/>
      <c r="E749" s="41"/>
      <c r="F749" s="41"/>
      <c r="G749" s="41"/>
      <c r="H749" s="41"/>
      <c r="I749" s="41"/>
      <c r="K749" s="41"/>
      <c r="L749" s="64"/>
      <c r="M749" s="65"/>
    </row>
    <row r="750" spans="3:13" ht="13">
      <c r="C750" s="63"/>
      <c r="E750" s="41"/>
      <c r="F750" s="41"/>
      <c r="G750" s="41"/>
      <c r="H750" s="41"/>
      <c r="I750" s="41"/>
      <c r="K750" s="41"/>
      <c r="L750" s="64"/>
      <c r="M750" s="65"/>
    </row>
    <row r="751" spans="3:13" ht="13">
      <c r="C751" s="63"/>
      <c r="E751" s="41"/>
      <c r="F751" s="41"/>
      <c r="G751" s="41"/>
      <c r="H751" s="41"/>
      <c r="I751" s="41"/>
      <c r="K751" s="41"/>
      <c r="L751" s="64"/>
      <c r="M751" s="65"/>
    </row>
    <row r="752" spans="3:13" ht="13">
      <c r="C752" s="63"/>
      <c r="E752" s="41"/>
      <c r="F752" s="41"/>
      <c r="G752" s="41"/>
      <c r="H752" s="41"/>
      <c r="I752" s="41"/>
      <c r="K752" s="41"/>
      <c r="L752" s="64"/>
      <c r="M752" s="65"/>
    </row>
    <row r="753" spans="3:13" ht="13">
      <c r="C753" s="63"/>
      <c r="E753" s="41"/>
      <c r="F753" s="41"/>
      <c r="G753" s="41"/>
      <c r="H753" s="41"/>
      <c r="I753" s="41"/>
      <c r="K753" s="41"/>
      <c r="L753" s="64"/>
      <c r="M753" s="65"/>
    </row>
    <row r="754" spans="3:13" ht="13">
      <c r="C754" s="63"/>
      <c r="E754" s="41"/>
      <c r="F754" s="41"/>
      <c r="G754" s="41"/>
      <c r="H754" s="41"/>
      <c r="I754" s="41"/>
      <c r="K754" s="41"/>
      <c r="L754" s="64"/>
      <c r="M754" s="65"/>
    </row>
    <row r="755" spans="3:13" ht="13">
      <c r="C755" s="63"/>
      <c r="E755" s="41"/>
      <c r="F755" s="41"/>
      <c r="G755" s="41"/>
      <c r="H755" s="41"/>
      <c r="I755" s="41"/>
      <c r="K755" s="41"/>
      <c r="L755" s="64"/>
      <c r="M755" s="65"/>
    </row>
    <row r="756" spans="3:13" ht="13">
      <c r="C756" s="63"/>
      <c r="E756" s="41"/>
      <c r="F756" s="41"/>
      <c r="G756" s="41"/>
      <c r="H756" s="41"/>
      <c r="I756" s="41"/>
      <c r="K756" s="41"/>
      <c r="L756" s="64"/>
      <c r="M756" s="65"/>
    </row>
    <row r="757" spans="3:13" ht="13">
      <c r="C757" s="63"/>
      <c r="E757" s="41"/>
      <c r="F757" s="41"/>
      <c r="G757" s="41"/>
      <c r="H757" s="41"/>
      <c r="I757" s="41"/>
      <c r="K757" s="41"/>
      <c r="L757" s="64"/>
      <c r="M757" s="65"/>
    </row>
    <row r="758" spans="3:13" ht="13">
      <c r="C758" s="63"/>
      <c r="E758" s="41"/>
      <c r="F758" s="41"/>
      <c r="G758" s="41"/>
      <c r="H758" s="41"/>
      <c r="I758" s="41"/>
      <c r="K758" s="41"/>
      <c r="L758" s="64"/>
      <c r="M758" s="65"/>
    </row>
    <row r="759" spans="3:13" ht="13">
      <c r="C759" s="63"/>
      <c r="E759" s="41"/>
      <c r="F759" s="41"/>
      <c r="G759" s="41"/>
      <c r="H759" s="41"/>
      <c r="I759" s="41"/>
      <c r="K759" s="41"/>
      <c r="L759" s="64"/>
      <c r="M759" s="65"/>
    </row>
    <row r="760" spans="3:13" ht="13">
      <c r="C760" s="63"/>
      <c r="E760" s="41"/>
      <c r="F760" s="41"/>
      <c r="G760" s="41"/>
      <c r="H760" s="41"/>
      <c r="I760" s="41"/>
      <c r="K760" s="41"/>
      <c r="L760" s="64"/>
      <c r="M760" s="65"/>
    </row>
    <row r="761" spans="3:13" ht="13">
      <c r="C761" s="63"/>
      <c r="E761" s="41"/>
      <c r="F761" s="41"/>
      <c r="G761" s="41"/>
      <c r="H761" s="41"/>
      <c r="I761" s="41"/>
      <c r="K761" s="41"/>
      <c r="L761" s="64"/>
      <c r="M761" s="65"/>
    </row>
    <row r="762" spans="3:13" ht="13">
      <c r="C762" s="63"/>
      <c r="E762" s="41"/>
      <c r="F762" s="41"/>
      <c r="G762" s="41"/>
      <c r="H762" s="41"/>
      <c r="I762" s="41"/>
      <c r="K762" s="41"/>
      <c r="L762" s="64"/>
      <c r="M762" s="65"/>
    </row>
    <row r="763" spans="3:13" ht="13">
      <c r="C763" s="63"/>
      <c r="E763" s="41"/>
      <c r="F763" s="41"/>
      <c r="G763" s="41"/>
      <c r="H763" s="41"/>
      <c r="I763" s="41"/>
      <c r="K763" s="41"/>
      <c r="L763" s="64"/>
      <c r="M763" s="65"/>
    </row>
    <row r="764" spans="3:13" ht="13">
      <c r="C764" s="63"/>
      <c r="E764" s="41"/>
      <c r="F764" s="41"/>
      <c r="G764" s="41"/>
      <c r="H764" s="41"/>
      <c r="I764" s="41"/>
      <c r="K764" s="41"/>
      <c r="L764" s="64"/>
      <c r="M764" s="65"/>
    </row>
    <row r="765" spans="3:13" ht="13">
      <c r="C765" s="63"/>
      <c r="E765" s="41"/>
      <c r="F765" s="41"/>
      <c r="G765" s="41"/>
      <c r="H765" s="41"/>
      <c r="I765" s="41"/>
      <c r="K765" s="41"/>
      <c r="L765" s="64"/>
      <c r="M765" s="65"/>
    </row>
    <row r="766" spans="3:13" ht="13">
      <c r="C766" s="63"/>
      <c r="E766" s="41"/>
      <c r="F766" s="41"/>
      <c r="G766" s="41"/>
      <c r="H766" s="41"/>
      <c r="I766" s="41"/>
      <c r="K766" s="41"/>
      <c r="L766" s="64"/>
      <c r="M766" s="65"/>
    </row>
    <row r="767" spans="3:13" ht="13">
      <c r="C767" s="63"/>
      <c r="E767" s="41"/>
      <c r="F767" s="41"/>
      <c r="G767" s="41"/>
      <c r="H767" s="41"/>
      <c r="I767" s="41"/>
      <c r="K767" s="41"/>
      <c r="L767" s="64"/>
      <c r="M767" s="65"/>
    </row>
    <row r="768" spans="3:13" ht="13">
      <c r="C768" s="63"/>
      <c r="E768" s="41"/>
      <c r="F768" s="41"/>
      <c r="G768" s="41"/>
      <c r="H768" s="41"/>
      <c r="I768" s="41"/>
      <c r="K768" s="41"/>
      <c r="L768" s="64"/>
      <c r="M768" s="65"/>
    </row>
    <row r="769" spans="3:13" ht="13">
      <c r="C769" s="63"/>
      <c r="E769" s="41"/>
      <c r="F769" s="41"/>
      <c r="G769" s="41"/>
      <c r="H769" s="41"/>
      <c r="I769" s="41"/>
      <c r="K769" s="41"/>
      <c r="L769" s="64"/>
      <c r="M769" s="65"/>
    </row>
    <row r="770" spans="3:13" ht="13">
      <c r="C770" s="63"/>
      <c r="E770" s="41"/>
      <c r="F770" s="41"/>
      <c r="G770" s="41"/>
      <c r="H770" s="41"/>
      <c r="I770" s="41"/>
      <c r="K770" s="41"/>
      <c r="L770" s="64"/>
      <c r="M770" s="65"/>
    </row>
    <row r="771" spans="3:13" ht="13">
      <c r="C771" s="63"/>
      <c r="E771" s="41"/>
      <c r="F771" s="41"/>
      <c r="G771" s="41"/>
      <c r="H771" s="41"/>
      <c r="I771" s="41"/>
      <c r="K771" s="41"/>
      <c r="L771" s="64"/>
      <c r="M771" s="65"/>
    </row>
    <row r="772" spans="3:13" ht="13">
      <c r="C772" s="63"/>
      <c r="E772" s="41"/>
      <c r="F772" s="41"/>
      <c r="G772" s="41"/>
      <c r="H772" s="41"/>
      <c r="I772" s="41"/>
      <c r="K772" s="41"/>
      <c r="L772" s="64"/>
      <c r="M772" s="65"/>
    </row>
    <row r="773" spans="3:13" ht="13">
      <c r="C773" s="63"/>
      <c r="E773" s="41"/>
      <c r="F773" s="41"/>
      <c r="G773" s="41"/>
      <c r="H773" s="41"/>
      <c r="I773" s="41"/>
      <c r="K773" s="41"/>
      <c r="L773" s="64"/>
      <c r="M773" s="65"/>
    </row>
    <row r="774" spans="3:13" ht="13">
      <c r="C774" s="63"/>
      <c r="E774" s="41"/>
      <c r="F774" s="41"/>
      <c r="G774" s="41"/>
      <c r="H774" s="41"/>
      <c r="I774" s="41"/>
      <c r="K774" s="41"/>
      <c r="L774" s="64"/>
      <c r="M774" s="65"/>
    </row>
    <row r="775" spans="3:13" ht="13">
      <c r="C775" s="63"/>
      <c r="E775" s="41"/>
      <c r="F775" s="41"/>
      <c r="G775" s="41"/>
      <c r="H775" s="41"/>
      <c r="I775" s="41"/>
      <c r="K775" s="41"/>
      <c r="L775" s="64"/>
      <c r="M775" s="65"/>
    </row>
    <row r="776" spans="3:13" ht="13">
      <c r="C776" s="63"/>
      <c r="E776" s="41"/>
      <c r="F776" s="41"/>
      <c r="G776" s="41"/>
      <c r="H776" s="41"/>
      <c r="I776" s="41"/>
      <c r="K776" s="41"/>
      <c r="L776" s="64"/>
      <c r="M776" s="65"/>
    </row>
    <row r="777" spans="3:13" ht="13">
      <c r="C777" s="63"/>
      <c r="E777" s="41"/>
      <c r="F777" s="41"/>
      <c r="G777" s="41"/>
      <c r="H777" s="41"/>
      <c r="I777" s="41"/>
      <c r="K777" s="41"/>
      <c r="L777" s="64"/>
      <c r="M777" s="65"/>
    </row>
    <row r="778" spans="3:13" ht="13">
      <c r="C778" s="63"/>
      <c r="E778" s="41"/>
      <c r="F778" s="41"/>
      <c r="G778" s="41"/>
      <c r="H778" s="41"/>
      <c r="I778" s="41"/>
      <c r="K778" s="41"/>
      <c r="L778" s="64"/>
      <c r="M778" s="65"/>
    </row>
    <row r="779" spans="3:13" ht="13">
      <c r="C779" s="63"/>
      <c r="E779" s="41"/>
      <c r="F779" s="41"/>
      <c r="G779" s="41"/>
      <c r="H779" s="41"/>
      <c r="I779" s="41"/>
      <c r="K779" s="41"/>
      <c r="L779" s="64"/>
      <c r="M779" s="65"/>
    </row>
    <row r="780" spans="3:13" ht="13">
      <c r="C780" s="63"/>
      <c r="E780" s="41"/>
      <c r="F780" s="41"/>
      <c r="G780" s="41"/>
      <c r="H780" s="41"/>
      <c r="I780" s="41"/>
      <c r="K780" s="41"/>
      <c r="L780" s="64"/>
      <c r="M780" s="65"/>
    </row>
    <row r="781" spans="3:13" ht="13">
      <c r="C781" s="63"/>
      <c r="E781" s="41"/>
      <c r="F781" s="41"/>
      <c r="G781" s="41"/>
      <c r="H781" s="41"/>
      <c r="I781" s="41"/>
      <c r="K781" s="41"/>
      <c r="L781" s="64"/>
      <c r="M781" s="65"/>
    </row>
    <row r="782" spans="3:13" ht="13">
      <c r="C782" s="63"/>
      <c r="E782" s="41"/>
      <c r="F782" s="41"/>
      <c r="G782" s="41"/>
      <c r="H782" s="41"/>
      <c r="I782" s="41"/>
      <c r="K782" s="41"/>
      <c r="L782" s="64"/>
      <c r="M782" s="65"/>
    </row>
    <row r="783" spans="3:13" ht="13">
      <c r="C783" s="63"/>
      <c r="E783" s="41"/>
      <c r="F783" s="41"/>
      <c r="G783" s="41"/>
      <c r="H783" s="41"/>
      <c r="I783" s="41"/>
      <c r="K783" s="41"/>
      <c r="L783" s="64"/>
      <c r="M783" s="65"/>
    </row>
    <row r="784" spans="3:13" ht="13">
      <c r="C784" s="63"/>
      <c r="E784" s="41"/>
      <c r="F784" s="41"/>
      <c r="G784" s="41"/>
      <c r="H784" s="41"/>
      <c r="I784" s="41"/>
      <c r="K784" s="41"/>
      <c r="L784" s="64"/>
      <c r="M784" s="65"/>
    </row>
    <row r="785" spans="3:13" ht="13">
      <c r="C785" s="63"/>
      <c r="E785" s="41"/>
      <c r="F785" s="41"/>
      <c r="G785" s="41"/>
      <c r="H785" s="41"/>
      <c r="I785" s="41"/>
      <c r="K785" s="41"/>
      <c r="L785" s="64"/>
      <c r="M785" s="65"/>
    </row>
    <row r="786" spans="3:13" ht="13">
      <c r="C786" s="63"/>
      <c r="E786" s="41"/>
      <c r="F786" s="41"/>
      <c r="G786" s="41"/>
      <c r="H786" s="41"/>
      <c r="I786" s="41"/>
      <c r="K786" s="41"/>
      <c r="L786" s="64"/>
      <c r="M786" s="65"/>
    </row>
    <row r="787" spans="3:13" ht="13">
      <c r="C787" s="63"/>
      <c r="E787" s="41"/>
      <c r="F787" s="41"/>
      <c r="G787" s="41"/>
      <c r="H787" s="41"/>
      <c r="I787" s="41"/>
      <c r="K787" s="41"/>
      <c r="L787" s="64"/>
      <c r="M787" s="65"/>
    </row>
    <row r="788" spans="3:13" ht="13">
      <c r="C788" s="63"/>
      <c r="E788" s="41"/>
      <c r="F788" s="41"/>
      <c r="G788" s="41"/>
      <c r="H788" s="41"/>
      <c r="I788" s="41"/>
      <c r="K788" s="41"/>
      <c r="L788" s="64"/>
      <c r="M788" s="65"/>
    </row>
    <row r="789" spans="3:13" ht="13">
      <c r="C789" s="63"/>
      <c r="E789" s="41"/>
      <c r="F789" s="41"/>
      <c r="G789" s="41"/>
      <c r="H789" s="41"/>
      <c r="I789" s="41"/>
      <c r="K789" s="41"/>
      <c r="L789" s="64"/>
      <c r="M789" s="65"/>
    </row>
    <row r="790" spans="3:13" ht="13">
      <c r="C790" s="63"/>
      <c r="E790" s="41"/>
      <c r="F790" s="41"/>
      <c r="G790" s="41"/>
      <c r="H790" s="41"/>
      <c r="I790" s="41"/>
      <c r="K790" s="41"/>
      <c r="L790" s="64"/>
      <c r="M790" s="65"/>
    </row>
    <row r="791" spans="3:13" ht="13">
      <c r="C791" s="63"/>
      <c r="E791" s="41"/>
      <c r="F791" s="41"/>
      <c r="G791" s="41"/>
      <c r="H791" s="41"/>
      <c r="I791" s="41"/>
      <c r="K791" s="41"/>
      <c r="L791" s="64"/>
      <c r="M791" s="65"/>
    </row>
    <row r="792" spans="3:13" ht="13">
      <c r="C792" s="63"/>
      <c r="E792" s="41"/>
      <c r="F792" s="41"/>
      <c r="G792" s="41"/>
      <c r="H792" s="41"/>
      <c r="I792" s="41"/>
      <c r="K792" s="41"/>
      <c r="L792" s="64"/>
      <c r="M792" s="65"/>
    </row>
    <row r="793" spans="3:13" ht="13">
      <c r="C793" s="63"/>
      <c r="E793" s="41"/>
      <c r="F793" s="41"/>
      <c r="G793" s="41"/>
      <c r="H793" s="41"/>
      <c r="I793" s="41"/>
      <c r="K793" s="41"/>
      <c r="L793" s="64"/>
      <c r="M793" s="65"/>
    </row>
    <row r="794" spans="3:13" ht="13">
      <c r="C794" s="63"/>
      <c r="E794" s="41"/>
      <c r="F794" s="41"/>
      <c r="G794" s="41"/>
      <c r="H794" s="41"/>
      <c r="I794" s="41"/>
      <c r="K794" s="41"/>
      <c r="L794" s="64"/>
      <c r="M794" s="65"/>
    </row>
    <row r="795" spans="3:13" ht="13">
      <c r="C795" s="63"/>
      <c r="E795" s="41"/>
      <c r="F795" s="41"/>
      <c r="G795" s="41"/>
      <c r="H795" s="41"/>
      <c r="I795" s="41"/>
      <c r="K795" s="41"/>
      <c r="L795" s="64"/>
      <c r="M795" s="65"/>
    </row>
    <row r="796" spans="3:13" ht="13">
      <c r="C796" s="63"/>
      <c r="E796" s="41"/>
      <c r="F796" s="41"/>
      <c r="G796" s="41"/>
      <c r="H796" s="41"/>
      <c r="I796" s="41"/>
      <c r="K796" s="41"/>
      <c r="L796" s="64"/>
      <c r="M796" s="65"/>
    </row>
    <row r="797" spans="3:13" ht="13">
      <c r="C797" s="63"/>
      <c r="E797" s="41"/>
      <c r="F797" s="41"/>
      <c r="G797" s="41"/>
      <c r="H797" s="41"/>
      <c r="I797" s="41"/>
      <c r="K797" s="41"/>
      <c r="L797" s="64"/>
      <c r="M797" s="65"/>
    </row>
    <row r="798" spans="3:13" ht="13">
      <c r="C798" s="63"/>
      <c r="E798" s="41"/>
      <c r="F798" s="41"/>
      <c r="G798" s="41"/>
      <c r="H798" s="41"/>
      <c r="I798" s="41"/>
      <c r="K798" s="41"/>
      <c r="L798" s="64"/>
      <c r="M798" s="65"/>
    </row>
    <row r="799" spans="3:13" ht="13">
      <c r="C799" s="63"/>
      <c r="E799" s="41"/>
      <c r="F799" s="41"/>
      <c r="G799" s="41"/>
      <c r="H799" s="41"/>
      <c r="I799" s="41"/>
      <c r="K799" s="41"/>
      <c r="L799" s="64"/>
      <c r="M799" s="65"/>
    </row>
    <row r="800" spans="3:13" ht="13">
      <c r="C800" s="63"/>
      <c r="E800" s="41"/>
      <c r="F800" s="41"/>
      <c r="G800" s="41"/>
      <c r="H800" s="41"/>
      <c r="I800" s="41"/>
      <c r="K800" s="41"/>
      <c r="L800" s="64"/>
      <c r="M800" s="65"/>
    </row>
    <row r="801" spans="3:13" ht="13">
      <c r="C801" s="63"/>
      <c r="E801" s="41"/>
      <c r="F801" s="41"/>
      <c r="G801" s="41"/>
      <c r="H801" s="41"/>
      <c r="I801" s="41"/>
      <c r="K801" s="41"/>
      <c r="L801" s="64"/>
      <c r="M801" s="65"/>
    </row>
    <row r="802" spans="3:13" ht="13">
      <c r="C802" s="63"/>
      <c r="E802" s="41"/>
      <c r="F802" s="41"/>
      <c r="G802" s="41"/>
      <c r="H802" s="41"/>
      <c r="I802" s="41"/>
      <c r="K802" s="41"/>
      <c r="L802" s="64"/>
      <c r="M802" s="65"/>
    </row>
    <row r="803" spans="3:13" ht="13">
      <c r="C803" s="63"/>
      <c r="E803" s="41"/>
      <c r="F803" s="41"/>
      <c r="G803" s="41"/>
      <c r="H803" s="41"/>
      <c r="I803" s="41"/>
      <c r="K803" s="41"/>
      <c r="L803" s="64"/>
      <c r="M803" s="65"/>
    </row>
    <row r="804" spans="3:13" ht="13">
      <c r="C804" s="63"/>
      <c r="E804" s="41"/>
      <c r="F804" s="41"/>
      <c r="G804" s="41"/>
      <c r="H804" s="41"/>
      <c r="I804" s="41"/>
      <c r="K804" s="41"/>
      <c r="L804" s="64"/>
      <c r="M804" s="65"/>
    </row>
    <row r="805" spans="3:13" ht="13">
      <c r="C805" s="63"/>
      <c r="E805" s="41"/>
      <c r="F805" s="41"/>
      <c r="G805" s="41"/>
      <c r="H805" s="41"/>
      <c r="I805" s="41"/>
      <c r="K805" s="41"/>
      <c r="L805" s="64"/>
      <c r="M805" s="65"/>
    </row>
    <row r="806" spans="3:13" ht="13">
      <c r="C806" s="63"/>
      <c r="E806" s="41"/>
      <c r="F806" s="41"/>
      <c r="G806" s="41"/>
      <c r="H806" s="41"/>
      <c r="I806" s="41"/>
      <c r="K806" s="41"/>
      <c r="L806" s="64"/>
      <c r="M806" s="65"/>
    </row>
    <row r="807" spans="3:13" ht="13">
      <c r="C807" s="63"/>
      <c r="E807" s="41"/>
      <c r="F807" s="41"/>
      <c r="G807" s="41"/>
      <c r="H807" s="41"/>
      <c r="I807" s="41"/>
      <c r="K807" s="41"/>
      <c r="L807" s="64"/>
      <c r="M807" s="65"/>
    </row>
    <row r="808" spans="3:13" ht="13">
      <c r="C808" s="63"/>
      <c r="E808" s="41"/>
      <c r="F808" s="41"/>
      <c r="G808" s="41"/>
      <c r="H808" s="41"/>
      <c r="I808" s="41"/>
      <c r="K808" s="41"/>
      <c r="L808" s="64"/>
      <c r="M808" s="65"/>
    </row>
    <row r="809" spans="3:13" ht="13">
      <c r="C809" s="63"/>
      <c r="E809" s="41"/>
      <c r="F809" s="41"/>
      <c r="G809" s="41"/>
      <c r="H809" s="41"/>
      <c r="I809" s="41"/>
      <c r="K809" s="41"/>
      <c r="L809" s="64"/>
      <c r="M809" s="65"/>
    </row>
    <row r="810" spans="3:13" ht="13">
      <c r="C810" s="63"/>
      <c r="E810" s="41"/>
      <c r="F810" s="41"/>
      <c r="G810" s="41"/>
      <c r="H810" s="41"/>
      <c r="I810" s="41"/>
      <c r="K810" s="41"/>
      <c r="L810" s="64"/>
      <c r="M810" s="65"/>
    </row>
    <row r="811" spans="3:13" ht="13">
      <c r="C811" s="63"/>
      <c r="E811" s="41"/>
      <c r="F811" s="41"/>
      <c r="G811" s="41"/>
      <c r="H811" s="41"/>
      <c r="I811" s="41"/>
      <c r="K811" s="41"/>
      <c r="L811" s="64"/>
      <c r="M811" s="65"/>
    </row>
    <row r="812" spans="3:13" ht="13">
      <c r="C812" s="63"/>
      <c r="E812" s="41"/>
      <c r="F812" s="41"/>
      <c r="G812" s="41"/>
      <c r="H812" s="41"/>
      <c r="I812" s="41"/>
      <c r="K812" s="41"/>
      <c r="L812" s="64"/>
      <c r="M812" s="65"/>
    </row>
    <row r="813" spans="3:13" ht="13">
      <c r="C813" s="63"/>
      <c r="E813" s="41"/>
      <c r="F813" s="41"/>
      <c r="G813" s="41"/>
      <c r="H813" s="41"/>
      <c r="I813" s="41"/>
      <c r="K813" s="41"/>
      <c r="L813" s="64"/>
      <c r="M813" s="65"/>
    </row>
    <row r="814" spans="3:13" ht="13">
      <c r="C814" s="63"/>
      <c r="E814" s="41"/>
      <c r="F814" s="41"/>
      <c r="G814" s="41"/>
      <c r="H814" s="41"/>
      <c r="I814" s="41"/>
      <c r="K814" s="41"/>
      <c r="L814" s="64"/>
      <c r="M814" s="65"/>
    </row>
    <row r="815" spans="3:13" ht="13">
      <c r="C815" s="63"/>
      <c r="E815" s="41"/>
      <c r="F815" s="41"/>
      <c r="G815" s="41"/>
      <c r="H815" s="41"/>
      <c r="I815" s="41"/>
      <c r="K815" s="41"/>
      <c r="L815" s="64"/>
      <c r="M815" s="65"/>
    </row>
    <row r="816" spans="3:13" ht="13">
      <c r="C816" s="63"/>
      <c r="E816" s="41"/>
      <c r="F816" s="41"/>
      <c r="G816" s="41"/>
      <c r="H816" s="41"/>
      <c r="I816" s="41"/>
      <c r="K816" s="41"/>
      <c r="L816" s="64"/>
      <c r="M816" s="65"/>
    </row>
    <row r="817" spans="3:13" ht="13">
      <c r="C817" s="63"/>
      <c r="E817" s="41"/>
      <c r="F817" s="41"/>
      <c r="G817" s="41"/>
      <c r="H817" s="41"/>
      <c r="I817" s="41"/>
      <c r="K817" s="41"/>
      <c r="L817" s="64"/>
      <c r="M817" s="65"/>
    </row>
    <row r="818" spans="3:13" ht="13">
      <c r="C818" s="63"/>
      <c r="E818" s="41"/>
      <c r="F818" s="41"/>
      <c r="G818" s="41"/>
      <c r="H818" s="41"/>
      <c r="I818" s="41"/>
      <c r="K818" s="41"/>
      <c r="L818" s="64"/>
      <c r="M818" s="65"/>
    </row>
    <row r="819" spans="3:13" ht="13">
      <c r="C819" s="63"/>
      <c r="E819" s="41"/>
      <c r="F819" s="41"/>
      <c r="G819" s="41"/>
      <c r="H819" s="41"/>
      <c r="I819" s="41"/>
      <c r="K819" s="41"/>
      <c r="L819" s="64"/>
      <c r="M819" s="65"/>
    </row>
    <row r="820" spans="3:13" ht="13">
      <c r="C820" s="63"/>
      <c r="E820" s="41"/>
      <c r="F820" s="41"/>
      <c r="G820" s="41"/>
      <c r="H820" s="41"/>
      <c r="I820" s="41"/>
      <c r="K820" s="41"/>
      <c r="L820" s="64"/>
      <c r="M820" s="65"/>
    </row>
    <row r="821" spans="3:13" ht="13">
      <c r="C821" s="63"/>
      <c r="E821" s="41"/>
      <c r="F821" s="41"/>
      <c r="G821" s="41"/>
      <c r="H821" s="41"/>
      <c r="I821" s="41"/>
      <c r="K821" s="41"/>
      <c r="L821" s="64"/>
      <c r="M821" s="65"/>
    </row>
    <row r="822" spans="3:13" ht="13">
      <c r="C822" s="63"/>
      <c r="E822" s="41"/>
      <c r="F822" s="41"/>
      <c r="G822" s="41"/>
      <c r="H822" s="41"/>
      <c r="I822" s="41"/>
      <c r="K822" s="41"/>
      <c r="L822" s="64"/>
      <c r="M822" s="65"/>
    </row>
    <row r="823" spans="3:13" ht="13">
      <c r="C823" s="63"/>
      <c r="E823" s="41"/>
      <c r="F823" s="41"/>
      <c r="G823" s="41"/>
      <c r="H823" s="41"/>
      <c r="I823" s="41"/>
      <c r="K823" s="41"/>
      <c r="L823" s="64"/>
      <c r="M823" s="65"/>
    </row>
    <row r="824" spans="3:13" ht="13">
      <c r="C824" s="63"/>
      <c r="E824" s="41"/>
      <c r="F824" s="41"/>
      <c r="G824" s="41"/>
      <c r="H824" s="41"/>
      <c r="I824" s="41"/>
      <c r="K824" s="41"/>
      <c r="L824" s="64"/>
      <c r="M824" s="65"/>
    </row>
    <row r="825" spans="3:13" ht="13">
      <c r="C825" s="63"/>
      <c r="E825" s="41"/>
      <c r="F825" s="41"/>
      <c r="G825" s="41"/>
      <c r="H825" s="41"/>
      <c r="I825" s="41"/>
      <c r="K825" s="41"/>
      <c r="L825" s="64"/>
      <c r="M825" s="65"/>
    </row>
    <row r="826" spans="3:13" ht="13">
      <c r="C826" s="63"/>
      <c r="E826" s="41"/>
      <c r="F826" s="41"/>
      <c r="G826" s="41"/>
      <c r="H826" s="41"/>
      <c r="I826" s="41"/>
      <c r="K826" s="41"/>
      <c r="L826" s="64"/>
      <c r="M826" s="65"/>
    </row>
    <row r="827" spans="3:13" ht="13">
      <c r="C827" s="63"/>
      <c r="E827" s="41"/>
      <c r="F827" s="41"/>
      <c r="G827" s="41"/>
      <c r="H827" s="41"/>
      <c r="I827" s="41"/>
      <c r="K827" s="41"/>
      <c r="L827" s="64"/>
      <c r="M827" s="65"/>
    </row>
    <row r="828" spans="3:13" ht="13">
      <c r="C828" s="63"/>
      <c r="E828" s="41"/>
      <c r="F828" s="41"/>
      <c r="G828" s="41"/>
      <c r="H828" s="41"/>
      <c r="I828" s="41"/>
      <c r="K828" s="41"/>
      <c r="L828" s="64"/>
      <c r="M828" s="65"/>
    </row>
    <row r="829" spans="3:13" ht="13">
      <c r="C829" s="63"/>
      <c r="E829" s="41"/>
      <c r="F829" s="41"/>
      <c r="G829" s="41"/>
      <c r="H829" s="41"/>
      <c r="I829" s="41"/>
      <c r="K829" s="41"/>
      <c r="L829" s="64"/>
      <c r="M829" s="65"/>
    </row>
    <row r="830" spans="3:13" ht="13">
      <c r="C830" s="63"/>
      <c r="E830" s="41"/>
      <c r="F830" s="41"/>
      <c r="G830" s="41"/>
      <c r="H830" s="41"/>
      <c r="I830" s="41"/>
      <c r="K830" s="41"/>
      <c r="L830" s="64"/>
      <c r="M830" s="65"/>
    </row>
    <row r="831" spans="3:13" ht="13">
      <c r="C831" s="63"/>
      <c r="E831" s="41"/>
      <c r="F831" s="41"/>
      <c r="G831" s="41"/>
      <c r="H831" s="41"/>
      <c r="I831" s="41"/>
      <c r="K831" s="41"/>
      <c r="L831" s="64"/>
      <c r="M831" s="65"/>
    </row>
    <row r="832" spans="3:13" ht="13">
      <c r="C832" s="63"/>
      <c r="E832" s="41"/>
      <c r="F832" s="41"/>
      <c r="G832" s="41"/>
      <c r="H832" s="41"/>
      <c r="I832" s="41"/>
      <c r="K832" s="41"/>
      <c r="L832" s="64"/>
      <c r="M832" s="65"/>
    </row>
    <row r="833" spans="3:13" ht="13">
      <c r="C833" s="63"/>
      <c r="E833" s="41"/>
      <c r="F833" s="41"/>
      <c r="G833" s="41"/>
      <c r="H833" s="41"/>
      <c r="I833" s="41"/>
      <c r="K833" s="41"/>
      <c r="L833" s="64"/>
      <c r="M833" s="65"/>
    </row>
    <row r="834" spans="3:13" ht="13">
      <c r="C834" s="63"/>
      <c r="E834" s="41"/>
      <c r="F834" s="41"/>
      <c r="G834" s="41"/>
      <c r="H834" s="41"/>
      <c r="I834" s="41"/>
      <c r="K834" s="41"/>
      <c r="L834" s="64"/>
      <c r="M834" s="65"/>
    </row>
    <row r="835" spans="3:13" ht="13">
      <c r="C835" s="63"/>
      <c r="E835" s="41"/>
      <c r="F835" s="41"/>
      <c r="G835" s="41"/>
      <c r="H835" s="41"/>
      <c r="I835" s="41"/>
      <c r="K835" s="41"/>
      <c r="L835" s="64"/>
      <c r="M835" s="65"/>
    </row>
    <row r="836" spans="3:13" ht="13">
      <c r="C836" s="63"/>
      <c r="E836" s="41"/>
      <c r="F836" s="41"/>
      <c r="G836" s="41"/>
      <c r="H836" s="41"/>
      <c r="I836" s="41"/>
      <c r="K836" s="41"/>
      <c r="L836" s="64"/>
      <c r="M836" s="65"/>
    </row>
    <row r="837" spans="3:13" ht="13">
      <c r="C837" s="63"/>
      <c r="E837" s="41"/>
      <c r="F837" s="41"/>
      <c r="G837" s="41"/>
      <c r="H837" s="41"/>
      <c r="I837" s="41"/>
      <c r="K837" s="41"/>
      <c r="L837" s="64"/>
      <c r="M837" s="65"/>
    </row>
    <row r="838" spans="3:13" ht="13">
      <c r="C838" s="63"/>
      <c r="E838" s="41"/>
      <c r="F838" s="41"/>
      <c r="G838" s="41"/>
      <c r="H838" s="41"/>
      <c r="I838" s="41"/>
      <c r="K838" s="41"/>
      <c r="L838" s="64"/>
      <c r="M838" s="65"/>
    </row>
    <row r="839" spans="3:13" ht="13">
      <c r="C839" s="63"/>
      <c r="E839" s="41"/>
      <c r="F839" s="41"/>
      <c r="G839" s="41"/>
      <c r="H839" s="41"/>
      <c r="I839" s="41"/>
      <c r="K839" s="41"/>
      <c r="L839" s="64"/>
      <c r="M839" s="65"/>
    </row>
    <row r="840" spans="3:13" ht="13">
      <c r="C840" s="63"/>
      <c r="E840" s="41"/>
      <c r="F840" s="41"/>
      <c r="G840" s="41"/>
      <c r="H840" s="41"/>
      <c r="I840" s="41"/>
      <c r="K840" s="41"/>
      <c r="L840" s="64"/>
      <c r="M840" s="65"/>
    </row>
    <row r="841" spans="3:13" ht="13">
      <c r="C841" s="63"/>
      <c r="E841" s="41"/>
      <c r="F841" s="41"/>
      <c r="G841" s="41"/>
      <c r="H841" s="41"/>
      <c r="I841" s="41"/>
      <c r="K841" s="41"/>
      <c r="L841" s="64"/>
      <c r="M841" s="65"/>
    </row>
    <row r="842" spans="3:13" ht="13">
      <c r="C842" s="63"/>
      <c r="E842" s="41"/>
      <c r="F842" s="41"/>
      <c r="G842" s="41"/>
      <c r="H842" s="41"/>
      <c r="I842" s="41"/>
      <c r="K842" s="41"/>
      <c r="L842" s="64"/>
      <c r="M842" s="65"/>
    </row>
    <row r="843" spans="3:13" ht="13">
      <c r="C843" s="63"/>
      <c r="E843" s="41"/>
      <c r="F843" s="41"/>
      <c r="G843" s="41"/>
      <c r="H843" s="41"/>
      <c r="I843" s="41"/>
      <c r="K843" s="41"/>
      <c r="L843" s="64"/>
      <c r="M843" s="65"/>
    </row>
    <row r="844" spans="3:13" ht="13">
      <c r="C844" s="63"/>
      <c r="E844" s="41"/>
      <c r="F844" s="41"/>
      <c r="G844" s="41"/>
      <c r="H844" s="41"/>
      <c r="I844" s="41"/>
      <c r="K844" s="41"/>
      <c r="L844" s="64"/>
      <c r="M844" s="65"/>
    </row>
    <row r="845" spans="3:13" ht="13">
      <c r="C845" s="63"/>
      <c r="E845" s="41"/>
      <c r="F845" s="41"/>
      <c r="G845" s="41"/>
      <c r="H845" s="41"/>
      <c r="I845" s="41"/>
      <c r="K845" s="41"/>
      <c r="L845" s="64"/>
      <c r="M845" s="65"/>
    </row>
    <row r="846" spans="3:13" ht="13">
      <c r="C846" s="63"/>
      <c r="E846" s="41"/>
      <c r="F846" s="41"/>
      <c r="G846" s="41"/>
      <c r="H846" s="41"/>
      <c r="I846" s="41"/>
      <c r="K846" s="41"/>
      <c r="L846" s="64"/>
      <c r="M846" s="65"/>
    </row>
    <row r="847" spans="3:13" ht="13">
      <c r="C847" s="63"/>
      <c r="E847" s="41"/>
      <c r="F847" s="41"/>
      <c r="G847" s="41"/>
      <c r="H847" s="41"/>
      <c r="I847" s="41"/>
      <c r="K847" s="41"/>
      <c r="L847" s="64"/>
      <c r="M847" s="65"/>
    </row>
    <row r="848" spans="3:13" ht="13">
      <c r="C848" s="63"/>
      <c r="E848" s="41"/>
      <c r="F848" s="41"/>
      <c r="G848" s="41"/>
      <c r="H848" s="41"/>
      <c r="I848" s="41"/>
      <c r="K848" s="41"/>
      <c r="L848" s="64"/>
      <c r="M848" s="65"/>
    </row>
    <row r="849" spans="3:13" ht="13">
      <c r="C849" s="63"/>
      <c r="E849" s="41"/>
      <c r="F849" s="41"/>
      <c r="G849" s="41"/>
      <c r="H849" s="41"/>
      <c r="I849" s="41"/>
      <c r="K849" s="41"/>
      <c r="L849" s="64"/>
      <c r="M849" s="65"/>
    </row>
    <row r="850" spans="3:13" ht="13">
      <c r="C850" s="63"/>
      <c r="E850" s="41"/>
      <c r="F850" s="41"/>
      <c r="G850" s="41"/>
      <c r="H850" s="41"/>
      <c r="I850" s="41"/>
      <c r="K850" s="41"/>
      <c r="L850" s="64"/>
      <c r="M850" s="65"/>
    </row>
    <row r="851" spans="3:13" ht="13">
      <c r="C851" s="63"/>
      <c r="E851" s="41"/>
      <c r="F851" s="41"/>
      <c r="G851" s="41"/>
      <c r="H851" s="41"/>
      <c r="I851" s="41"/>
      <c r="K851" s="41"/>
      <c r="L851" s="64"/>
      <c r="M851" s="65"/>
    </row>
    <row r="852" spans="3:13" ht="13">
      <c r="C852" s="63"/>
      <c r="E852" s="41"/>
      <c r="F852" s="41"/>
      <c r="G852" s="41"/>
      <c r="H852" s="41"/>
      <c r="I852" s="41"/>
      <c r="K852" s="41"/>
      <c r="L852" s="64"/>
      <c r="M852" s="65"/>
    </row>
    <row r="853" spans="3:13" ht="13">
      <c r="C853" s="63"/>
      <c r="E853" s="41"/>
      <c r="F853" s="41"/>
      <c r="G853" s="41"/>
      <c r="H853" s="41"/>
      <c r="I853" s="41"/>
      <c r="K853" s="41"/>
      <c r="L853" s="64"/>
      <c r="M853" s="65"/>
    </row>
    <row r="854" spans="3:13" ht="13">
      <c r="C854" s="63"/>
      <c r="E854" s="41"/>
      <c r="F854" s="41"/>
      <c r="G854" s="41"/>
      <c r="H854" s="41"/>
      <c r="I854" s="41"/>
      <c r="K854" s="41"/>
      <c r="L854" s="64"/>
      <c r="M854" s="65"/>
    </row>
    <row r="855" spans="3:13" ht="13">
      <c r="C855" s="63"/>
      <c r="E855" s="41"/>
      <c r="F855" s="41"/>
      <c r="G855" s="41"/>
      <c r="H855" s="41"/>
      <c r="I855" s="41"/>
      <c r="K855" s="41"/>
      <c r="L855" s="64"/>
      <c r="M855" s="65"/>
    </row>
    <row r="856" spans="3:13" ht="13">
      <c r="C856" s="63"/>
      <c r="E856" s="41"/>
      <c r="F856" s="41"/>
      <c r="G856" s="41"/>
      <c r="H856" s="41"/>
      <c r="I856" s="41"/>
      <c r="K856" s="41"/>
      <c r="L856" s="64"/>
      <c r="M856" s="65"/>
    </row>
    <row r="857" spans="3:13" ht="13">
      <c r="C857" s="63"/>
      <c r="E857" s="41"/>
      <c r="F857" s="41"/>
      <c r="G857" s="41"/>
      <c r="H857" s="41"/>
      <c r="I857" s="41"/>
      <c r="K857" s="41"/>
      <c r="L857" s="64"/>
      <c r="M857" s="65"/>
    </row>
    <row r="858" spans="3:13" ht="13">
      <c r="C858" s="63"/>
      <c r="E858" s="41"/>
      <c r="F858" s="41"/>
      <c r="G858" s="41"/>
      <c r="H858" s="41"/>
      <c r="I858" s="41"/>
      <c r="K858" s="41"/>
      <c r="L858" s="64"/>
      <c r="M858" s="65"/>
    </row>
    <row r="859" spans="3:13" ht="13">
      <c r="C859" s="63"/>
      <c r="E859" s="41"/>
      <c r="F859" s="41"/>
      <c r="G859" s="41"/>
      <c r="H859" s="41"/>
      <c r="I859" s="41"/>
      <c r="K859" s="41"/>
      <c r="L859" s="64"/>
      <c r="M859" s="65"/>
    </row>
    <row r="860" spans="3:13" ht="13">
      <c r="C860" s="63"/>
      <c r="E860" s="41"/>
      <c r="F860" s="41"/>
      <c r="G860" s="41"/>
      <c r="H860" s="41"/>
      <c r="I860" s="41"/>
      <c r="K860" s="41"/>
      <c r="L860" s="64"/>
      <c r="M860" s="65"/>
    </row>
    <row r="861" spans="3:13" ht="13">
      <c r="C861" s="63"/>
      <c r="E861" s="41"/>
      <c r="F861" s="41"/>
      <c r="G861" s="41"/>
      <c r="H861" s="41"/>
      <c r="I861" s="41"/>
      <c r="K861" s="41"/>
      <c r="L861" s="64"/>
      <c r="M861" s="65"/>
    </row>
    <row r="862" spans="3:13" ht="13">
      <c r="C862" s="63"/>
      <c r="E862" s="41"/>
      <c r="F862" s="41"/>
      <c r="G862" s="41"/>
      <c r="H862" s="41"/>
      <c r="I862" s="41"/>
      <c r="K862" s="41"/>
      <c r="L862" s="64"/>
      <c r="M862" s="65"/>
    </row>
    <row r="863" spans="3:13" ht="13">
      <c r="C863" s="63"/>
      <c r="E863" s="41"/>
      <c r="F863" s="41"/>
      <c r="G863" s="41"/>
      <c r="H863" s="41"/>
      <c r="I863" s="41"/>
      <c r="K863" s="41"/>
      <c r="L863" s="64"/>
      <c r="M863" s="65"/>
    </row>
    <row r="864" spans="3:13" ht="13">
      <c r="C864" s="63"/>
      <c r="E864" s="41"/>
      <c r="F864" s="41"/>
      <c r="G864" s="41"/>
      <c r="H864" s="41"/>
      <c r="I864" s="41"/>
      <c r="K864" s="41"/>
      <c r="L864" s="64"/>
      <c r="M864" s="65"/>
    </row>
    <row r="865" spans="3:13" ht="13">
      <c r="C865" s="63"/>
      <c r="E865" s="41"/>
      <c r="F865" s="41"/>
      <c r="G865" s="41"/>
      <c r="H865" s="41"/>
      <c r="I865" s="41"/>
      <c r="K865" s="41"/>
      <c r="L865" s="64"/>
      <c r="M865" s="65"/>
    </row>
    <row r="866" spans="3:13" ht="13">
      <c r="C866" s="63"/>
      <c r="E866" s="41"/>
      <c r="F866" s="41"/>
      <c r="G866" s="41"/>
      <c r="H866" s="41"/>
      <c r="I866" s="41"/>
      <c r="K866" s="41"/>
      <c r="L866" s="64"/>
      <c r="M866" s="65"/>
    </row>
    <row r="867" spans="3:13" ht="13">
      <c r="C867" s="63"/>
      <c r="E867" s="41"/>
      <c r="F867" s="41"/>
      <c r="G867" s="41"/>
      <c r="H867" s="41"/>
      <c r="I867" s="41"/>
      <c r="K867" s="41"/>
      <c r="L867" s="64"/>
      <c r="M867" s="65"/>
    </row>
    <row r="868" spans="3:13" ht="13">
      <c r="C868" s="63"/>
      <c r="E868" s="41"/>
      <c r="F868" s="41"/>
      <c r="G868" s="41"/>
      <c r="H868" s="41"/>
      <c r="I868" s="41"/>
      <c r="K868" s="41"/>
      <c r="L868" s="64"/>
      <c r="M868" s="65"/>
    </row>
    <row r="869" spans="3:13" ht="13">
      <c r="C869" s="63"/>
      <c r="E869" s="41"/>
      <c r="F869" s="41"/>
      <c r="G869" s="41"/>
      <c r="H869" s="41"/>
      <c r="I869" s="41"/>
      <c r="K869" s="41"/>
      <c r="L869" s="64"/>
      <c r="M869" s="65"/>
    </row>
    <row r="870" spans="3:13" ht="13">
      <c r="C870" s="63"/>
      <c r="E870" s="41"/>
      <c r="F870" s="41"/>
      <c r="G870" s="41"/>
      <c r="H870" s="41"/>
      <c r="I870" s="41"/>
      <c r="K870" s="41"/>
      <c r="L870" s="64"/>
      <c r="M870" s="65"/>
    </row>
    <row r="871" spans="3:13" ht="13">
      <c r="C871" s="63"/>
      <c r="E871" s="41"/>
      <c r="F871" s="41"/>
      <c r="G871" s="41"/>
      <c r="H871" s="41"/>
      <c r="I871" s="41"/>
      <c r="K871" s="41"/>
      <c r="L871" s="64"/>
      <c r="M871" s="65"/>
    </row>
    <row r="872" spans="3:13" ht="13">
      <c r="C872" s="63"/>
      <c r="E872" s="41"/>
      <c r="F872" s="41"/>
      <c r="G872" s="41"/>
      <c r="H872" s="41"/>
      <c r="I872" s="41"/>
      <c r="K872" s="41"/>
      <c r="L872" s="64"/>
      <c r="M872" s="65"/>
    </row>
    <row r="873" spans="3:13" ht="13">
      <c r="C873" s="63"/>
      <c r="E873" s="41"/>
      <c r="F873" s="41"/>
      <c r="G873" s="41"/>
      <c r="H873" s="41"/>
      <c r="I873" s="41"/>
      <c r="K873" s="41"/>
      <c r="L873" s="64"/>
      <c r="M873" s="65"/>
    </row>
    <row r="874" spans="3:13" ht="13">
      <c r="C874" s="63"/>
      <c r="E874" s="41"/>
      <c r="F874" s="41"/>
      <c r="G874" s="41"/>
      <c r="H874" s="41"/>
      <c r="I874" s="41"/>
      <c r="K874" s="41"/>
      <c r="L874" s="64"/>
      <c r="M874" s="65"/>
    </row>
    <row r="875" spans="3:13" ht="13">
      <c r="C875" s="63"/>
      <c r="E875" s="41"/>
      <c r="F875" s="41"/>
      <c r="G875" s="41"/>
      <c r="H875" s="41"/>
      <c r="I875" s="41"/>
      <c r="K875" s="41"/>
      <c r="L875" s="64"/>
      <c r="M875" s="65"/>
    </row>
    <row r="876" spans="3:13" ht="13">
      <c r="C876" s="63"/>
      <c r="E876" s="41"/>
      <c r="F876" s="41"/>
      <c r="G876" s="41"/>
      <c r="H876" s="41"/>
      <c r="I876" s="41"/>
      <c r="K876" s="41"/>
      <c r="L876" s="64"/>
      <c r="M876" s="65"/>
    </row>
    <row r="877" spans="3:13" ht="13">
      <c r="C877" s="63"/>
      <c r="E877" s="41"/>
      <c r="F877" s="41"/>
      <c r="G877" s="41"/>
      <c r="H877" s="41"/>
      <c r="I877" s="41"/>
      <c r="K877" s="41"/>
      <c r="L877" s="64"/>
      <c r="M877" s="65"/>
    </row>
    <row r="878" spans="3:13" ht="13">
      <c r="C878" s="63"/>
      <c r="E878" s="41"/>
      <c r="F878" s="41"/>
      <c r="G878" s="41"/>
      <c r="H878" s="41"/>
      <c r="I878" s="41"/>
      <c r="K878" s="41"/>
      <c r="L878" s="64"/>
      <c r="M878" s="65"/>
    </row>
    <row r="879" spans="3:13" ht="13">
      <c r="C879" s="63"/>
      <c r="E879" s="41"/>
      <c r="F879" s="41"/>
      <c r="G879" s="41"/>
      <c r="H879" s="41"/>
      <c r="I879" s="41"/>
      <c r="K879" s="41"/>
      <c r="L879" s="64"/>
      <c r="M879" s="65"/>
    </row>
    <row r="880" spans="3:13" ht="13">
      <c r="C880" s="63"/>
      <c r="E880" s="41"/>
      <c r="F880" s="41"/>
      <c r="G880" s="41"/>
      <c r="H880" s="41"/>
      <c r="I880" s="41"/>
      <c r="K880" s="41"/>
      <c r="L880" s="64"/>
      <c r="M880" s="65"/>
    </row>
    <row r="881" spans="3:13" ht="13">
      <c r="C881" s="63"/>
      <c r="E881" s="41"/>
      <c r="F881" s="41"/>
      <c r="G881" s="41"/>
      <c r="H881" s="41"/>
      <c r="I881" s="41"/>
      <c r="K881" s="41"/>
      <c r="L881" s="64"/>
      <c r="M881" s="65"/>
    </row>
    <row r="882" spans="3:13" ht="13">
      <c r="C882" s="63"/>
      <c r="E882" s="41"/>
      <c r="F882" s="41"/>
      <c r="G882" s="41"/>
      <c r="H882" s="41"/>
      <c r="I882" s="41"/>
      <c r="K882" s="41"/>
      <c r="L882" s="64"/>
      <c r="M882" s="65"/>
    </row>
    <row r="883" spans="3:13" ht="13">
      <c r="C883" s="63"/>
      <c r="E883" s="41"/>
      <c r="F883" s="41"/>
      <c r="G883" s="41"/>
      <c r="H883" s="41"/>
      <c r="I883" s="41"/>
      <c r="K883" s="41"/>
      <c r="L883" s="64"/>
      <c r="M883" s="65"/>
    </row>
    <row r="884" spans="3:13" ht="13">
      <c r="C884" s="63"/>
      <c r="E884" s="41"/>
      <c r="F884" s="41"/>
      <c r="G884" s="41"/>
      <c r="H884" s="41"/>
      <c r="I884" s="41"/>
      <c r="K884" s="41"/>
      <c r="L884" s="64"/>
      <c r="M884" s="65"/>
    </row>
    <row r="885" spans="3:13" ht="13">
      <c r="C885" s="63"/>
      <c r="E885" s="41"/>
      <c r="F885" s="41"/>
      <c r="G885" s="41"/>
      <c r="H885" s="41"/>
      <c r="I885" s="41"/>
      <c r="K885" s="41"/>
      <c r="L885" s="64"/>
      <c r="M885" s="65"/>
    </row>
    <row r="886" spans="3:13" ht="13">
      <c r="C886" s="63"/>
      <c r="E886" s="41"/>
      <c r="F886" s="41"/>
      <c r="G886" s="41"/>
      <c r="H886" s="41"/>
      <c r="I886" s="41"/>
      <c r="K886" s="41"/>
      <c r="L886" s="64"/>
      <c r="M886" s="65"/>
    </row>
    <row r="887" spans="3:13" ht="13">
      <c r="C887" s="63"/>
      <c r="E887" s="41"/>
      <c r="F887" s="41"/>
      <c r="G887" s="41"/>
      <c r="H887" s="41"/>
      <c r="I887" s="41"/>
      <c r="K887" s="41"/>
      <c r="L887" s="64"/>
      <c r="M887" s="65"/>
    </row>
    <row r="888" spans="3:13" ht="13">
      <c r="C888" s="63"/>
      <c r="E888" s="41"/>
      <c r="F888" s="41"/>
      <c r="G888" s="41"/>
      <c r="H888" s="41"/>
      <c r="I888" s="41"/>
      <c r="K888" s="41"/>
      <c r="L888" s="64"/>
      <c r="M888" s="65"/>
    </row>
    <row r="889" spans="3:13" ht="13">
      <c r="C889" s="63"/>
      <c r="E889" s="41"/>
      <c r="F889" s="41"/>
      <c r="G889" s="41"/>
      <c r="H889" s="41"/>
      <c r="I889" s="41"/>
      <c r="K889" s="41"/>
      <c r="L889" s="64"/>
      <c r="M889" s="65"/>
    </row>
    <row r="890" spans="3:13" ht="13">
      <c r="C890" s="63"/>
      <c r="E890" s="41"/>
      <c r="F890" s="41"/>
      <c r="G890" s="41"/>
      <c r="H890" s="41"/>
      <c r="I890" s="41"/>
      <c r="K890" s="41"/>
      <c r="L890" s="64"/>
      <c r="M890" s="65"/>
    </row>
    <row r="891" spans="3:13" ht="13">
      <c r="C891" s="63"/>
      <c r="E891" s="41"/>
      <c r="F891" s="41"/>
      <c r="G891" s="41"/>
      <c r="H891" s="41"/>
      <c r="I891" s="41"/>
      <c r="K891" s="41"/>
      <c r="L891" s="64"/>
      <c r="M891" s="65"/>
    </row>
    <row r="892" spans="3:13" ht="13">
      <c r="C892" s="63"/>
      <c r="E892" s="41"/>
      <c r="F892" s="41"/>
      <c r="G892" s="41"/>
      <c r="H892" s="41"/>
      <c r="I892" s="41"/>
      <c r="K892" s="41"/>
      <c r="L892" s="64"/>
      <c r="M892" s="65"/>
    </row>
    <row r="893" spans="3:13" ht="13">
      <c r="C893" s="63"/>
      <c r="E893" s="41"/>
      <c r="F893" s="41"/>
      <c r="G893" s="41"/>
      <c r="H893" s="41"/>
      <c r="I893" s="41"/>
      <c r="K893" s="41"/>
      <c r="L893" s="64"/>
      <c r="M893" s="65"/>
    </row>
    <row r="894" spans="3:13" ht="13">
      <c r="C894" s="63"/>
      <c r="E894" s="41"/>
      <c r="F894" s="41"/>
      <c r="G894" s="41"/>
      <c r="H894" s="41"/>
      <c r="I894" s="41"/>
      <c r="K894" s="41"/>
      <c r="L894" s="64"/>
      <c r="M894" s="65"/>
    </row>
    <row r="895" spans="3:13" ht="13">
      <c r="C895" s="63"/>
      <c r="E895" s="41"/>
      <c r="F895" s="41"/>
      <c r="G895" s="41"/>
      <c r="H895" s="41"/>
      <c r="I895" s="41"/>
      <c r="K895" s="41"/>
      <c r="L895" s="64"/>
      <c r="M895" s="65"/>
    </row>
    <row r="896" spans="3:13" ht="13">
      <c r="C896" s="63"/>
      <c r="E896" s="41"/>
      <c r="F896" s="41"/>
      <c r="G896" s="41"/>
      <c r="H896" s="41"/>
      <c r="I896" s="41"/>
      <c r="K896" s="41"/>
      <c r="L896" s="64"/>
      <c r="M896" s="65"/>
    </row>
    <row r="897" spans="3:13" ht="13">
      <c r="C897" s="63"/>
      <c r="E897" s="41"/>
      <c r="F897" s="41"/>
      <c r="G897" s="41"/>
      <c r="H897" s="41"/>
      <c r="I897" s="41"/>
      <c r="K897" s="41"/>
      <c r="L897" s="64"/>
      <c r="M897" s="65"/>
    </row>
    <row r="898" spans="3:13" ht="13">
      <c r="C898" s="63"/>
      <c r="E898" s="41"/>
      <c r="F898" s="41"/>
      <c r="G898" s="41"/>
      <c r="H898" s="41"/>
      <c r="I898" s="41"/>
      <c r="K898" s="41"/>
      <c r="L898" s="64"/>
      <c r="M898" s="65"/>
    </row>
    <row r="899" spans="3:13" ht="13">
      <c r="C899" s="63"/>
      <c r="E899" s="41"/>
      <c r="F899" s="41"/>
      <c r="G899" s="41"/>
      <c r="H899" s="41"/>
      <c r="I899" s="41"/>
      <c r="K899" s="41"/>
      <c r="L899" s="64"/>
      <c r="M899" s="65"/>
    </row>
    <row r="900" spans="3:13" ht="13">
      <c r="C900" s="63"/>
      <c r="E900" s="41"/>
      <c r="F900" s="41"/>
      <c r="G900" s="41"/>
      <c r="H900" s="41"/>
      <c r="I900" s="41"/>
      <c r="K900" s="41"/>
      <c r="L900" s="64"/>
      <c r="M900" s="65"/>
    </row>
    <row r="901" spans="3:13" ht="13">
      <c r="C901" s="63"/>
      <c r="E901" s="41"/>
      <c r="F901" s="41"/>
      <c r="G901" s="41"/>
      <c r="H901" s="41"/>
      <c r="I901" s="41"/>
      <c r="K901" s="41"/>
      <c r="L901" s="64"/>
      <c r="M901" s="65"/>
    </row>
    <row r="902" spans="3:13" ht="13">
      <c r="C902" s="63"/>
      <c r="E902" s="41"/>
      <c r="F902" s="41"/>
      <c r="G902" s="41"/>
      <c r="H902" s="41"/>
      <c r="I902" s="41"/>
      <c r="K902" s="41"/>
      <c r="L902" s="64"/>
      <c r="M902" s="65"/>
    </row>
    <row r="903" spans="3:13" ht="13">
      <c r="C903" s="63"/>
      <c r="E903" s="41"/>
      <c r="F903" s="41"/>
      <c r="G903" s="41"/>
      <c r="H903" s="41"/>
      <c r="I903" s="41"/>
      <c r="K903" s="41"/>
      <c r="L903" s="64"/>
      <c r="M903" s="65"/>
    </row>
    <row r="904" spans="3:13" ht="13">
      <c r="C904" s="63"/>
      <c r="E904" s="41"/>
      <c r="F904" s="41"/>
      <c r="G904" s="41"/>
      <c r="H904" s="41"/>
      <c r="I904" s="41"/>
      <c r="K904" s="41"/>
      <c r="L904" s="64"/>
      <c r="M904" s="65"/>
    </row>
    <row r="905" spans="3:13" ht="13">
      <c r="C905" s="63"/>
      <c r="E905" s="41"/>
      <c r="F905" s="41"/>
      <c r="G905" s="41"/>
      <c r="H905" s="41"/>
      <c r="I905" s="41"/>
      <c r="K905" s="41"/>
      <c r="L905" s="64"/>
      <c r="M905" s="65"/>
    </row>
    <row r="906" spans="3:13" ht="13">
      <c r="C906" s="63"/>
      <c r="E906" s="41"/>
      <c r="F906" s="41"/>
      <c r="G906" s="41"/>
      <c r="H906" s="41"/>
      <c r="I906" s="41"/>
      <c r="K906" s="41"/>
      <c r="L906" s="64"/>
      <c r="M906" s="65"/>
    </row>
    <row r="907" spans="3:13" ht="13">
      <c r="C907" s="63"/>
      <c r="E907" s="41"/>
      <c r="F907" s="41"/>
      <c r="G907" s="41"/>
      <c r="H907" s="41"/>
      <c r="I907" s="41"/>
      <c r="K907" s="41"/>
      <c r="L907" s="64"/>
      <c r="M907" s="65"/>
    </row>
    <row r="908" spans="3:13" ht="13">
      <c r="C908" s="63"/>
      <c r="E908" s="41"/>
      <c r="F908" s="41"/>
      <c r="G908" s="41"/>
      <c r="H908" s="41"/>
      <c r="I908" s="41"/>
      <c r="K908" s="41"/>
      <c r="L908" s="64"/>
      <c r="M908" s="65"/>
    </row>
    <row r="909" spans="3:13" ht="13">
      <c r="C909" s="63"/>
      <c r="E909" s="41"/>
      <c r="F909" s="41"/>
      <c r="G909" s="41"/>
      <c r="H909" s="41"/>
      <c r="I909" s="41"/>
      <c r="K909" s="41"/>
      <c r="L909" s="64"/>
      <c r="M909" s="65"/>
    </row>
    <row r="910" spans="3:13" ht="13">
      <c r="C910" s="63"/>
      <c r="E910" s="41"/>
      <c r="F910" s="41"/>
      <c r="G910" s="41"/>
      <c r="H910" s="41"/>
      <c r="I910" s="41"/>
      <c r="K910" s="41"/>
      <c r="L910" s="64"/>
      <c r="M910" s="65"/>
    </row>
    <row r="911" spans="3:13" ht="13">
      <c r="C911" s="63"/>
      <c r="E911" s="41"/>
      <c r="F911" s="41"/>
      <c r="G911" s="41"/>
      <c r="H911" s="41"/>
      <c r="I911" s="41"/>
      <c r="K911" s="41"/>
      <c r="L911" s="64"/>
      <c r="M911" s="65"/>
    </row>
    <row r="912" spans="3:13" ht="13">
      <c r="C912" s="63"/>
      <c r="E912" s="41"/>
      <c r="F912" s="41"/>
      <c r="G912" s="41"/>
      <c r="H912" s="41"/>
      <c r="I912" s="41"/>
      <c r="K912" s="41"/>
      <c r="L912" s="64"/>
      <c r="M912" s="65"/>
    </row>
    <row r="913" spans="3:13" ht="13">
      <c r="C913" s="63"/>
      <c r="E913" s="41"/>
      <c r="F913" s="41"/>
      <c r="G913" s="41"/>
      <c r="H913" s="41"/>
      <c r="I913" s="41"/>
      <c r="K913" s="41"/>
      <c r="L913" s="64"/>
      <c r="M913" s="65"/>
    </row>
    <row r="914" spans="3:13" ht="13">
      <c r="C914" s="63"/>
      <c r="E914" s="41"/>
      <c r="F914" s="41"/>
      <c r="G914" s="41"/>
      <c r="H914" s="41"/>
      <c r="I914" s="41"/>
      <c r="K914" s="41"/>
      <c r="L914" s="64"/>
      <c r="M914" s="65"/>
    </row>
    <row r="915" spans="3:13" ht="13">
      <c r="C915" s="63"/>
      <c r="E915" s="41"/>
      <c r="F915" s="41"/>
      <c r="G915" s="41"/>
      <c r="H915" s="41"/>
      <c r="I915" s="41"/>
      <c r="K915" s="41"/>
      <c r="L915" s="64"/>
      <c r="M915" s="65"/>
    </row>
    <row r="916" spans="3:13" ht="13">
      <c r="C916" s="63"/>
      <c r="E916" s="41"/>
      <c r="F916" s="41"/>
      <c r="G916" s="41"/>
      <c r="H916" s="41"/>
      <c r="I916" s="41"/>
      <c r="K916" s="41"/>
      <c r="L916" s="64"/>
      <c r="M916" s="65"/>
    </row>
    <row r="917" spans="3:13" ht="13">
      <c r="C917" s="63"/>
      <c r="E917" s="41"/>
      <c r="F917" s="41"/>
      <c r="G917" s="41"/>
      <c r="H917" s="41"/>
      <c r="I917" s="41"/>
      <c r="K917" s="41"/>
      <c r="L917" s="64"/>
      <c r="M917" s="65"/>
    </row>
    <row r="918" spans="3:13" ht="13">
      <c r="C918" s="63"/>
      <c r="E918" s="41"/>
      <c r="F918" s="41"/>
      <c r="G918" s="41"/>
      <c r="H918" s="41"/>
      <c r="I918" s="41"/>
      <c r="K918" s="41"/>
      <c r="L918" s="64"/>
      <c r="M918" s="65"/>
    </row>
    <row r="919" spans="3:13" ht="13">
      <c r="C919" s="63"/>
      <c r="E919" s="41"/>
      <c r="F919" s="41"/>
      <c r="G919" s="41"/>
      <c r="H919" s="41"/>
      <c r="I919" s="41"/>
      <c r="K919" s="41"/>
      <c r="L919" s="64"/>
      <c r="M919" s="65"/>
    </row>
    <row r="920" spans="3:13" ht="13">
      <c r="C920" s="63"/>
      <c r="E920" s="41"/>
      <c r="F920" s="41"/>
      <c r="G920" s="41"/>
      <c r="H920" s="41"/>
      <c r="I920" s="41"/>
      <c r="K920" s="41"/>
      <c r="L920" s="64"/>
      <c r="M920" s="65"/>
    </row>
    <row r="921" spans="3:13" ht="13">
      <c r="C921" s="63"/>
      <c r="E921" s="41"/>
      <c r="F921" s="41"/>
      <c r="G921" s="41"/>
      <c r="H921" s="41"/>
      <c r="I921" s="41"/>
      <c r="K921" s="41"/>
      <c r="L921" s="64"/>
      <c r="M921" s="65"/>
    </row>
    <row r="922" spans="3:13" ht="13">
      <c r="C922" s="63"/>
      <c r="E922" s="41"/>
      <c r="F922" s="41"/>
      <c r="G922" s="41"/>
      <c r="H922" s="41"/>
      <c r="I922" s="41"/>
      <c r="K922" s="41"/>
      <c r="L922" s="64"/>
      <c r="M922" s="65"/>
    </row>
    <row r="923" spans="3:13" ht="13">
      <c r="C923" s="63"/>
      <c r="E923" s="41"/>
      <c r="F923" s="41"/>
      <c r="G923" s="41"/>
      <c r="H923" s="41"/>
      <c r="I923" s="41"/>
      <c r="K923" s="41"/>
      <c r="L923" s="64"/>
      <c r="M923" s="65"/>
    </row>
    <row r="924" spans="3:13" ht="13">
      <c r="C924" s="63"/>
      <c r="E924" s="41"/>
      <c r="F924" s="41"/>
      <c r="G924" s="41"/>
      <c r="H924" s="41"/>
      <c r="I924" s="41"/>
      <c r="K924" s="41"/>
      <c r="L924" s="64"/>
      <c r="M924" s="65"/>
    </row>
    <row r="925" spans="3:13" ht="13">
      <c r="C925" s="63"/>
      <c r="E925" s="41"/>
      <c r="F925" s="41"/>
      <c r="G925" s="41"/>
      <c r="H925" s="41"/>
      <c r="I925" s="41"/>
      <c r="K925" s="41"/>
      <c r="L925" s="64"/>
      <c r="M925" s="65"/>
    </row>
    <row r="926" spans="3:13" ht="13">
      <c r="C926" s="63"/>
      <c r="E926" s="41"/>
      <c r="F926" s="41"/>
      <c r="G926" s="41"/>
      <c r="H926" s="41"/>
      <c r="I926" s="41"/>
      <c r="K926" s="41"/>
      <c r="L926" s="64"/>
      <c r="M926" s="65"/>
    </row>
    <row r="927" spans="3:13" ht="13">
      <c r="C927" s="63"/>
      <c r="E927" s="41"/>
      <c r="F927" s="41"/>
      <c r="G927" s="41"/>
      <c r="H927" s="41"/>
      <c r="I927" s="41"/>
      <c r="K927" s="41"/>
      <c r="L927" s="64"/>
      <c r="M927" s="65"/>
    </row>
    <row r="928" spans="3:13" ht="13">
      <c r="C928" s="63"/>
      <c r="E928" s="41"/>
      <c r="F928" s="41"/>
      <c r="G928" s="41"/>
      <c r="H928" s="41"/>
      <c r="I928" s="41"/>
      <c r="K928" s="41"/>
      <c r="L928" s="64"/>
      <c r="M928" s="65"/>
    </row>
    <row r="929" spans="3:13" ht="13">
      <c r="C929" s="63"/>
      <c r="E929" s="41"/>
      <c r="F929" s="41"/>
      <c r="G929" s="41"/>
      <c r="H929" s="41"/>
      <c r="I929" s="41"/>
      <c r="K929" s="41"/>
      <c r="L929" s="64"/>
      <c r="M929" s="65"/>
    </row>
    <row r="930" spans="3:13" ht="13">
      <c r="C930" s="63"/>
      <c r="E930" s="41"/>
      <c r="F930" s="41"/>
      <c r="G930" s="41"/>
      <c r="H930" s="41"/>
      <c r="I930" s="41"/>
      <c r="K930" s="41"/>
      <c r="L930" s="64"/>
      <c r="M930" s="65"/>
    </row>
    <row r="931" spans="3:13" ht="13">
      <c r="C931" s="63"/>
      <c r="E931" s="41"/>
      <c r="F931" s="41"/>
      <c r="G931" s="41"/>
      <c r="H931" s="41"/>
      <c r="I931" s="41"/>
      <c r="K931" s="41"/>
      <c r="L931" s="64"/>
      <c r="M931" s="65"/>
    </row>
    <row r="932" spans="3:13" ht="13">
      <c r="C932" s="63"/>
      <c r="E932" s="41"/>
      <c r="F932" s="41"/>
      <c r="G932" s="41"/>
      <c r="H932" s="41"/>
      <c r="I932" s="41"/>
      <c r="K932" s="41"/>
      <c r="L932" s="64"/>
      <c r="M932" s="65"/>
    </row>
    <row r="933" spans="3:13" ht="13">
      <c r="C933" s="63"/>
      <c r="E933" s="41"/>
      <c r="F933" s="41"/>
      <c r="G933" s="41"/>
      <c r="H933" s="41"/>
      <c r="I933" s="41"/>
      <c r="K933" s="41"/>
      <c r="L933" s="64"/>
      <c r="M933" s="65"/>
    </row>
    <row r="934" spans="3:13" ht="13">
      <c r="C934" s="63"/>
      <c r="E934" s="41"/>
      <c r="F934" s="41"/>
      <c r="G934" s="41"/>
      <c r="H934" s="41"/>
      <c r="I934" s="41"/>
      <c r="K934" s="41"/>
      <c r="L934" s="64"/>
      <c r="M934" s="65"/>
    </row>
    <row r="935" spans="3:13" ht="13">
      <c r="C935" s="63"/>
      <c r="E935" s="41"/>
      <c r="F935" s="41"/>
      <c r="G935" s="41"/>
      <c r="H935" s="41"/>
      <c r="I935" s="41"/>
      <c r="K935" s="41"/>
      <c r="L935" s="64"/>
      <c r="M935" s="65"/>
    </row>
    <row r="936" spans="3:13" ht="13">
      <c r="C936" s="63"/>
      <c r="E936" s="41"/>
      <c r="F936" s="41"/>
      <c r="G936" s="41"/>
      <c r="H936" s="41"/>
      <c r="I936" s="41"/>
      <c r="K936" s="41"/>
      <c r="L936" s="64"/>
      <c r="M936" s="65"/>
    </row>
    <row r="937" spans="3:13" ht="13">
      <c r="C937" s="63"/>
      <c r="E937" s="41"/>
      <c r="F937" s="41"/>
      <c r="G937" s="41"/>
      <c r="H937" s="41"/>
      <c r="I937" s="41"/>
      <c r="K937" s="41"/>
      <c r="L937" s="64"/>
      <c r="M937" s="65"/>
    </row>
    <row r="938" spans="3:13" ht="13">
      <c r="C938" s="63"/>
      <c r="E938" s="41"/>
      <c r="F938" s="41"/>
      <c r="G938" s="41"/>
      <c r="H938" s="41"/>
      <c r="I938" s="41"/>
      <c r="K938" s="41"/>
      <c r="L938" s="64"/>
      <c r="M938" s="65"/>
    </row>
    <row r="939" spans="3:13" ht="13">
      <c r="C939" s="63"/>
      <c r="E939" s="41"/>
      <c r="F939" s="41"/>
      <c r="G939" s="41"/>
      <c r="H939" s="41"/>
      <c r="I939" s="41"/>
      <c r="K939" s="41"/>
      <c r="L939" s="64"/>
      <c r="M939" s="65"/>
    </row>
    <row r="940" spans="3:13" ht="13">
      <c r="C940" s="63"/>
      <c r="E940" s="41"/>
      <c r="F940" s="41"/>
      <c r="G940" s="41"/>
      <c r="H940" s="41"/>
      <c r="I940" s="41"/>
      <c r="K940" s="41"/>
      <c r="L940" s="64"/>
      <c r="M940" s="65"/>
    </row>
    <row r="941" spans="3:13" ht="13">
      <c r="C941" s="63"/>
      <c r="E941" s="41"/>
      <c r="F941" s="41"/>
      <c r="G941" s="41"/>
      <c r="H941" s="41"/>
      <c r="I941" s="41"/>
      <c r="K941" s="41"/>
      <c r="L941" s="64"/>
      <c r="M941" s="65"/>
    </row>
    <row r="942" spans="3:13" ht="13">
      <c r="C942" s="63"/>
      <c r="E942" s="41"/>
      <c r="F942" s="41"/>
      <c r="G942" s="41"/>
      <c r="H942" s="41"/>
      <c r="I942" s="41"/>
      <c r="K942" s="41"/>
      <c r="L942" s="64"/>
      <c r="M942" s="65"/>
    </row>
    <row r="943" spans="3:13" ht="13">
      <c r="C943" s="63"/>
      <c r="E943" s="41"/>
      <c r="F943" s="41"/>
      <c r="G943" s="41"/>
      <c r="H943" s="41"/>
      <c r="I943" s="41"/>
      <c r="K943" s="41"/>
      <c r="L943" s="64"/>
      <c r="M943" s="65"/>
    </row>
    <row r="944" spans="3:13" ht="13">
      <c r="C944" s="63"/>
      <c r="E944" s="41"/>
      <c r="F944" s="41"/>
      <c r="G944" s="41"/>
      <c r="H944" s="41"/>
      <c r="I944" s="41"/>
      <c r="K944" s="41"/>
      <c r="L944" s="64"/>
      <c r="M944" s="65"/>
    </row>
    <row r="945" spans="3:13" ht="13">
      <c r="C945" s="63"/>
      <c r="E945" s="41"/>
      <c r="F945" s="41"/>
      <c r="G945" s="41"/>
      <c r="H945" s="41"/>
      <c r="I945" s="41"/>
      <c r="K945" s="41"/>
      <c r="L945" s="64"/>
      <c r="M945" s="65"/>
    </row>
    <row r="946" spans="3:13" ht="13">
      <c r="C946" s="63"/>
      <c r="E946" s="41"/>
      <c r="F946" s="41"/>
      <c r="G946" s="41"/>
      <c r="H946" s="41"/>
      <c r="I946" s="41"/>
      <c r="K946" s="41"/>
      <c r="L946" s="64"/>
      <c r="M946" s="65"/>
    </row>
    <row r="947" spans="3:13" ht="13">
      <c r="C947" s="63"/>
      <c r="E947" s="41"/>
      <c r="F947" s="41"/>
      <c r="G947" s="41"/>
      <c r="H947" s="41"/>
      <c r="I947" s="41"/>
      <c r="K947" s="41"/>
      <c r="L947" s="64"/>
      <c r="M947" s="65"/>
    </row>
    <row r="948" spans="3:13" ht="13">
      <c r="C948" s="63"/>
      <c r="E948" s="41"/>
      <c r="F948" s="41"/>
      <c r="G948" s="41"/>
      <c r="H948" s="41"/>
      <c r="I948" s="41"/>
      <c r="K948" s="41"/>
      <c r="L948" s="64"/>
      <c r="M948" s="65"/>
    </row>
    <row r="949" spans="3:13" ht="13">
      <c r="C949" s="63"/>
      <c r="E949" s="41"/>
      <c r="F949" s="41"/>
      <c r="G949" s="41"/>
      <c r="H949" s="41"/>
      <c r="I949" s="41"/>
      <c r="K949" s="41"/>
      <c r="L949" s="64"/>
      <c r="M949" s="65"/>
    </row>
    <row r="950" spans="3:13" ht="13">
      <c r="C950" s="63"/>
      <c r="E950" s="41"/>
      <c r="F950" s="41"/>
      <c r="G950" s="41"/>
      <c r="H950" s="41"/>
      <c r="I950" s="41"/>
      <c r="K950" s="41"/>
      <c r="L950" s="64"/>
      <c r="M950" s="65"/>
    </row>
    <row r="951" spans="3:13" ht="13">
      <c r="C951" s="63"/>
      <c r="E951" s="41"/>
      <c r="F951" s="41"/>
      <c r="G951" s="41"/>
      <c r="H951" s="41"/>
      <c r="I951" s="41"/>
      <c r="K951" s="41"/>
      <c r="L951" s="64"/>
      <c r="M951" s="65"/>
    </row>
    <row r="952" spans="3:13" ht="13">
      <c r="C952" s="63"/>
      <c r="E952" s="41"/>
      <c r="F952" s="41"/>
      <c r="G952" s="41"/>
      <c r="H952" s="41"/>
      <c r="I952" s="41"/>
      <c r="K952" s="41"/>
      <c r="L952" s="64"/>
      <c r="M952" s="65"/>
    </row>
    <row r="953" spans="3:13" ht="13">
      <c r="C953" s="63"/>
      <c r="E953" s="41"/>
      <c r="F953" s="41"/>
      <c r="G953" s="41"/>
      <c r="H953" s="41"/>
      <c r="I953" s="41"/>
      <c r="K953" s="41"/>
      <c r="L953" s="64"/>
      <c r="M953" s="65"/>
    </row>
    <row r="954" spans="3:13" ht="13">
      <c r="C954" s="63"/>
      <c r="E954" s="41"/>
      <c r="F954" s="41"/>
      <c r="G954" s="41"/>
      <c r="H954" s="41"/>
      <c r="I954" s="41"/>
      <c r="K954" s="41"/>
      <c r="L954" s="64"/>
      <c r="M954" s="65"/>
    </row>
    <row r="955" spans="3:13" ht="13">
      <c r="C955" s="63"/>
      <c r="E955" s="41"/>
      <c r="F955" s="41"/>
      <c r="G955" s="41"/>
      <c r="H955" s="41"/>
      <c r="I955" s="41"/>
      <c r="K955" s="41"/>
      <c r="L955" s="64"/>
      <c r="M955" s="65"/>
    </row>
    <row r="956" spans="3:13" ht="13">
      <c r="C956" s="63"/>
      <c r="E956" s="41"/>
      <c r="F956" s="41"/>
      <c r="G956" s="41"/>
      <c r="H956" s="41"/>
      <c r="I956" s="41"/>
      <c r="K956" s="41"/>
      <c r="L956" s="64"/>
      <c r="M956" s="65"/>
    </row>
    <row r="957" spans="3:13" ht="13">
      <c r="C957" s="63"/>
      <c r="E957" s="41"/>
      <c r="F957" s="41"/>
      <c r="G957" s="41"/>
      <c r="H957" s="41"/>
      <c r="I957" s="41"/>
      <c r="K957" s="41"/>
      <c r="L957" s="64"/>
      <c r="M957" s="65"/>
    </row>
    <row r="958" spans="3:13" ht="13">
      <c r="C958" s="63"/>
      <c r="E958" s="41"/>
      <c r="F958" s="41"/>
      <c r="G958" s="41"/>
      <c r="H958" s="41"/>
      <c r="I958" s="41"/>
      <c r="K958" s="41"/>
      <c r="L958" s="64"/>
      <c r="M958" s="65"/>
    </row>
    <row r="959" spans="3:13" ht="13">
      <c r="C959" s="63"/>
      <c r="E959" s="41"/>
      <c r="F959" s="41"/>
      <c r="G959" s="41"/>
      <c r="H959" s="41"/>
      <c r="I959" s="41"/>
      <c r="K959" s="41"/>
      <c r="L959" s="64"/>
      <c r="M959" s="65"/>
    </row>
    <row r="960" spans="3:13" ht="13">
      <c r="C960" s="63"/>
      <c r="E960" s="41"/>
      <c r="F960" s="41"/>
      <c r="G960" s="41"/>
      <c r="H960" s="41"/>
      <c r="I960" s="41"/>
      <c r="K960" s="41"/>
      <c r="L960" s="64"/>
      <c r="M960" s="65"/>
    </row>
    <row r="961" spans="3:13" ht="13">
      <c r="C961" s="63"/>
      <c r="E961" s="41"/>
      <c r="F961" s="41"/>
      <c r="G961" s="41"/>
      <c r="H961" s="41"/>
      <c r="I961" s="41"/>
      <c r="K961" s="41"/>
      <c r="L961" s="64"/>
      <c r="M961" s="65"/>
    </row>
    <row r="962" spans="3:13" ht="13">
      <c r="C962" s="63"/>
      <c r="E962" s="41"/>
      <c r="F962" s="41"/>
      <c r="G962" s="41"/>
      <c r="H962" s="41"/>
      <c r="I962" s="41"/>
      <c r="K962" s="41"/>
      <c r="L962" s="64"/>
      <c r="M962" s="65"/>
    </row>
    <row r="963" spans="3:13" ht="13">
      <c r="C963" s="63"/>
      <c r="E963" s="41"/>
      <c r="F963" s="41"/>
      <c r="G963" s="41"/>
      <c r="H963" s="41"/>
      <c r="I963" s="41"/>
      <c r="K963" s="41"/>
      <c r="L963" s="64"/>
      <c r="M963" s="65"/>
    </row>
    <row r="964" spans="3:13" ht="13">
      <c r="C964" s="63"/>
      <c r="E964" s="41"/>
      <c r="F964" s="41"/>
      <c r="G964" s="41"/>
      <c r="H964" s="41"/>
      <c r="I964" s="41"/>
      <c r="K964" s="41"/>
      <c r="L964" s="64"/>
      <c r="M964" s="65"/>
    </row>
    <row r="965" spans="3:13" ht="13">
      <c r="C965" s="63"/>
      <c r="E965" s="41"/>
      <c r="F965" s="41"/>
      <c r="G965" s="41"/>
      <c r="H965" s="41"/>
      <c r="I965" s="41"/>
      <c r="K965" s="41"/>
      <c r="L965" s="64"/>
      <c r="M965" s="65"/>
    </row>
    <row r="966" spans="3:13" ht="13">
      <c r="C966" s="63"/>
      <c r="E966" s="41"/>
      <c r="F966" s="41"/>
      <c r="G966" s="41"/>
      <c r="H966" s="41"/>
      <c r="I966" s="41"/>
      <c r="K966" s="41"/>
      <c r="L966" s="64"/>
      <c r="M966" s="65"/>
    </row>
    <row r="967" spans="3:13" ht="13">
      <c r="C967" s="63"/>
      <c r="E967" s="41"/>
      <c r="F967" s="41"/>
      <c r="G967" s="41"/>
      <c r="H967" s="41"/>
      <c r="I967" s="41"/>
      <c r="K967" s="41"/>
      <c r="L967" s="64"/>
      <c r="M967" s="65"/>
    </row>
    <row r="968" spans="3:13" ht="13">
      <c r="C968" s="63"/>
      <c r="E968" s="41"/>
      <c r="F968" s="41"/>
      <c r="G968" s="41"/>
      <c r="H968" s="41"/>
      <c r="I968" s="41"/>
      <c r="K968" s="41"/>
      <c r="L968" s="64"/>
      <c r="M968" s="65"/>
    </row>
    <row r="969" spans="3:13" ht="13">
      <c r="C969" s="63"/>
      <c r="E969" s="41"/>
      <c r="F969" s="41"/>
      <c r="G969" s="41"/>
      <c r="H969" s="41"/>
      <c r="I969" s="41"/>
      <c r="K969" s="41"/>
      <c r="L969" s="64"/>
      <c r="M969" s="65"/>
    </row>
    <row r="970" spans="3:13" ht="13">
      <c r="C970" s="63"/>
      <c r="E970" s="41"/>
      <c r="F970" s="41"/>
      <c r="G970" s="41"/>
      <c r="H970" s="41"/>
      <c r="I970" s="41"/>
      <c r="K970" s="41"/>
      <c r="L970" s="64"/>
      <c r="M970" s="65"/>
    </row>
    <row r="971" spans="3:13" ht="13">
      <c r="C971" s="63"/>
      <c r="E971" s="41"/>
      <c r="F971" s="41"/>
      <c r="G971" s="41"/>
      <c r="H971" s="41"/>
      <c r="I971" s="41"/>
      <c r="K971" s="41"/>
      <c r="L971" s="64"/>
      <c r="M971" s="65"/>
    </row>
    <row r="972" spans="3:13" ht="13">
      <c r="C972" s="63"/>
      <c r="E972" s="41"/>
      <c r="F972" s="41"/>
      <c r="G972" s="41"/>
      <c r="H972" s="41"/>
      <c r="I972" s="41"/>
      <c r="K972" s="41"/>
      <c r="L972" s="64"/>
      <c r="M972" s="65"/>
    </row>
    <row r="973" spans="3:13" ht="13">
      <c r="C973" s="63"/>
      <c r="E973" s="41"/>
      <c r="F973" s="41"/>
      <c r="G973" s="41"/>
      <c r="H973" s="41"/>
      <c r="I973" s="41"/>
      <c r="K973" s="41"/>
      <c r="L973" s="64"/>
      <c r="M973" s="65"/>
    </row>
    <row r="974" spans="3:13" ht="13">
      <c r="C974" s="63"/>
      <c r="E974" s="41"/>
      <c r="F974" s="41"/>
      <c r="G974" s="41"/>
      <c r="H974" s="41"/>
      <c r="I974" s="41"/>
      <c r="K974" s="41"/>
      <c r="L974" s="64"/>
      <c r="M974" s="65"/>
    </row>
    <row r="975" spans="3:13" ht="13">
      <c r="C975" s="63"/>
      <c r="E975" s="41"/>
      <c r="F975" s="41"/>
      <c r="G975" s="41"/>
      <c r="H975" s="41"/>
      <c r="I975" s="41"/>
      <c r="K975" s="41"/>
      <c r="L975" s="64"/>
      <c r="M975" s="65"/>
    </row>
    <row r="976" spans="3:13" ht="13">
      <c r="C976" s="63"/>
      <c r="E976" s="41"/>
      <c r="F976" s="41"/>
      <c r="G976" s="41"/>
      <c r="H976" s="41"/>
      <c r="I976" s="41"/>
      <c r="K976" s="41"/>
      <c r="L976" s="64"/>
      <c r="M976" s="65"/>
    </row>
    <row r="977" spans="3:13" ht="13">
      <c r="C977" s="63"/>
      <c r="E977" s="41"/>
      <c r="F977" s="41"/>
      <c r="G977" s="41"/>
      <c r="H977" s="41"/>
      <c r="I977" s="41"/>
      <c r="K977" s="41"/>
      <c r="L977" s="64"/>
      <c r="M977" s="65"/>
    </row>
    <row r="978" spans="3:13" ht="13">
      <c r="C978" s="63"/>
      <c r="E978" s="41"/>
      <c r="F978" s="41"/>
      <c r="G978" s="41"/>
      <c r="H978" s="41"/>
      <c r="I978" s="41"/>
      <c r="K978" s="41"/>
      <c r="L978" s="64"/>
      <c r="M978" s="65"/>
    </row>
    <row r="979" spans="3:13" ht="13">
      <c r="C979" s="63"/>
      <c r="E979" s="41"/>
      <c r="F979" s="41"/>
      <c r="G979" s="41"/>
      <c r="H979" s="41"/>
      <c r="I979" s="41"/>
      <c r="K979" s="41"/>
      <c r="L979" s="64"/>
      <c r="M979" s="65"/>
    </row>
    <row r="980" spans="3:13" ht="13">
      <c r="C980" s="63"/>
      <c r="E980" s="41"/>
      <c r="F980" s="41"/>
      <c r="G980" s="41"/>
      <c r="H980" s="41"/>
      <c r="I980" s="41"/>
      <c r="K980" s="41"/>
      <c r="L980" s="64"/>
      <c r="M980" s="65"/>
    </row>
    <row r="981" spans="3:13" ht="13">
      <c r="C981" s="63"/>
      <c r="E981" s="41"/>
      <c r="F981" s="41"/>
      <c r="G981" s="41"/>
      <c r="H981" s="41"/>
      <c r="I981" s="41"/>
      <c r="K981" s="41"/>
      <c r="L981" s="64"/>
      <c r="M981" s="65"/>
    </row>
    <row r="982" spans="3:13" ht="13">
      <c r="C982" s="63"/>
      <c r="E982" s="41"/>
      <c r="F982" s="41"/>
      <c r="G982" s="41"/>
      <c r="H982" s="41"/>
      <c r="I982" s="41"/>
      <c r="K982" s="41"/>
      <c r="L982" s="64"/>
      <c r="M982" s="65"/>
    </row>
    <row r="983" spans="3:13" ht="13">
      <c r="C983" s="63"/>
      <c r="E983" s="41"/>
      <c r="F983" s="41"/>
      <c r="G983" s="41"/>
      <c r="H983" s="41"/>
      <c r="I983" s="41"/>
      <c r="K983" s="41"/>
      <c r="L983" s="64"/>
      <c r="M983" s="65"/>
    </row>
    <row r="984" spans="3:13" ht="13">
      <c r="C984" s="63"/>
      <c r="E984" s="41"/>
      <c r="F984" s="41"/>
      <c r="G984" s="41"/>
      <c r="H984" s="41"/>
      <c r="I984" s="41"/>
      <c r="K984" s="41"/>
      <c r="L984" s="64"/>
      <c r="M984" s="65"/>
    </row>
    <row r="985" spans="3:13" ht="13">
      <c r="C985" s="63"/>
      <c r="E985" s="41"/>
      <c r="F985" s="41"/>
      <c r="G985" s="41"/>
      <c r="H985" s="41"/>
      <c r="I985" s="41"/>
      <c r="K985" s="41"/>
      <c r="L985" s="64"/>
      <c r="M985" s="65"/>
    </row>
    <row r="986" spans="3:13" ht="13">
      <c r="C986" s="63"/>
      <c r="E986" s="41"/>
      <c r="F986" s="41"/>
      <c r="G986" s="41"/>
      <c r="H986" s="41"/>
      <c r="I986" s="41"/>
      <c r="K986" s="41"/>
      <c r="L986" s="64"/>
      <c r="M986" s="65"/>
    </row>
    <row r="987" spans="3:13" ht="13">
      <c r="C987" s="63"/>
      <c r="E987" s="41"/>
      <c r="F987" s="41"/>
      <c r="G987" s="41"/>
      <c r="H987" s="41"/>
      <c r="I987" s="41"/>
      <c r="K987" s="41"/>
      <c r="L987" s="64"/>
      <c r="M987" s="65"/>
    </row>
    <row r="988" spans="3:13" ht="13">
      <c r="C988" s="63"/>
      <c r="E988" s="41"/>
      <c r="F988" s="41"/>
      <c r="G988" s="41"/>
      <c r="H988" s="41"/>
      <c r="I988" s="41"/>
      <c r="K988" s="41"/>
      <c r="L988" s="64"/>
      <c r="M988" s="65"/>
    </row>
    <row r="989" spans="3:13" ht="13">
      <c r="C989" s="63"/>
      <c r="E989" s="41"/>
      <c r="F989" s="41"/>
      <c r="G989" s="41"/>
      <c r="H989" s="41"/>
      <c r="I989" s="41"/>
      <c r="K989" s="41"/>
      <c r="L989" s="64"/>
      <c r="M989" s="65"/>
    </row>
    <row r="990" spans="3:13" ht="13">
      <c r="C990" s="63"/>
      <c r="E990" s="41"/>
      <c r="F990" s="41"/>
      <c r="G990" s="41"/>
      <c r="H990" s="41"/>
      <c r="I990" s="41"/>
      <c r="K990" s="41"/>
      <c r="L990" s="64"/>
      <c r="M990" s="65"/>
    </row>
    <row r="991" spans="3:13" ht="13">
      <c r="C991" s="63"/>
      <c r="E991" s="41"/>
      <c r="F991" s="41"/>
      <c r="G991" s="41"/>
      <c r="H991" s="41"/>
      <c r="I991" s="41"/>
      <c r="K991" s="41"/>
      <c r="L991" s="64"/>
      <c r="M991" s="65"/>
    </row>
    <row r="992" spans="3:13" ht="13">
      <c r="C992" s="63"/>
      <c r="E992" s="41"/>
      <c r="F992" s="41"/>
      <c r="G992" s="41"/>
      <c r="H992" s="41"/>
      <c r="I992" s="41"/>
      <c r="K992" s="41"/>
      <c r="L992" s="64"/>
      <c r="M992" s="65"/>
    </row>
    <row r="993" spans="3:13" ht="13">
      <c r="C993" s="63"/>
      <c r="E993" s="41"/>
      <c r="F993" s="41"/>
      <c r="G993" s="41"/>
      <c r="H993" s="41"/>
      <c r="I993" s="41"/>
      <c r="K993" s="41"/>
      <c r="L993" s="64"/>
      <c r="M993" s="65"/>
    </row>
    <row r="994" spans="3:13" ht="13">
      <c r="C994" s="63"/>
      <c r="E994" s="41"/>
      <c r="F994" s="41"/>
      <c r="G994" s="41"/>
      <c r="H994" s="41"/>
      <c r="I994" s="41"/>
      <c r="K994" s="41"/>
      <c r="L994" s="64"/>
      <c r="M994" s="65"/>
    </row>
    <row r="995" spans="3:13" ht="13">
      <c r="C995" s="63"/>
      <c r="E995" s="41"/>
      <c r="F995" s="41"/>
      <c r="G995" s="41"/>
      <c r="H995" s="41"/>
      <c r="I995" s="41"/>
      <c r="K995" s="41"/>
      <c r="L995" s="64"/>
      <c r="M995" s="65"/>
    </row>
    <row r="996" spans="3:13" ht="13">
      <c r="C996" s="63"/>
      <c r="E996" s="41"/>
      <c r="F996" s="41"/>
      <c r="G996" s="41"/>
      <c r="H996" s="41"/>
      <c r="I996" s="41"/>
      <c r="K996" s="41"/>
      <c r="L996" s="64"/>
      <c r="M996" s="65"/>
    </row>
    <row r="997" spans="3:13" ht="13">
      <c r="C997" s="63"/>
      <c r="E997" s="41"/>
      <c r="F997" s="41"/>
      <c r="G997" s="41"/>
      <c r="H997" s="41"/>
      <c r="I997" s="41"/>
      <c r="K997" s="41"/>
      <c r="L997" s="64"/>
      <c r="M997" s="65"/>
    </row>
    <row r="998" spans="3:13" ht="13">
      <c r="C998" s="63"/>
      <c r="E998" s="41"/>
      <c r="F998" s="41"/>
      <c r="G998" s="41"/>
      <c r="H998" s="41"/>
      <c r="I998" s="41"/>
      <c r="K998" s="41"/>
      <c r="L998" s="64"/>
      <c r="M998" s="65"/>
    </row>
    <row r="999" spans="3:13" ht="13">
      <c r="C999" s="63"/>
      <c r="E999" s="41"/>
      <c r="F999" s="41"/>
      <c r="G999" s="41"/>
      <c r="H999" s="41"/>
      <c r="I999" s="41"/>
      <c r="K999" s="41"/>
      <c r="L999" s="64"/>
      <c r="M999" s="65"/>
    </row>
    <row r="1000" spans="3:13" ht="13">
      <c r="C1000" s="63"/>
      <c r="E1000" s="41"/>
      <c r="F1000" s="41"/>
      <c r="G1000" s="41"/>
      <c r="H1000" s="41"/>
      <c r="I1000" s="41"/>
      <c r="K1000" s="41"/>
      <c r="L1000" s="64"/>
      <c r="M1000" s="65"/>
    </row>
  </sheetData>
  <autoFilter ref="A1:N27" xr:uid="{00000000-0009-0000-0000-000005000000}">
    <filterColumn colId="2">
      <filters>
        <filter val="Dewa, Monica, Radha"/>
      </filters>
    </filterColumn>
    <filterColumn colId="3">
      <filters>
        <filter val="Anne"/>
        <filter val="Fauzan"/>
        <filter val="Meita"/>
      </filters>
    </filterColumn>
  </autoFilter>
  <customSheetViews>
    <customSheetView guid="{77FDD5E9-7DAF-40B0-B3B1-F8362FD3445E}" filter="1" showAutoFilter="1">
      <pageMargins left="0.7" right="0.7" top="0.75" bottom="0.75" header="0.3" footer="0.3"/>
      <autoFilter ref="A1:M27" xr:uid="{00000000-0000-0000-0000-000000000000}"/>
    </customSheetView>
  </customSheetView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M1000"/>
  <sheetViews>
    <sheetView workbookViewId="0">
      <pane xSplit="1" ySplit="1" topLeftCell="B2" activePane="bottomRight" state="frozen"/>
      <selection pane="topRight" activeCell="B1" sqref="B1"/>
      <selection pane="bottomLeft" activeCell="A2" sqref="A2"/>
      <selection pane="bottomRight" activeCell="E27" sqref="E27:I27"/>
    </sheetView>
  </sheetViews>
  <sheetFormatPr baseColWidth="10" defaultColWidth="14.5" defaultRowHeight="15.75" customHeight="1"/>
  <cols>
    <col min="1" max="1" width="29.1640625" customWidth="1"/>
    <col min="2" max="2" width="14.5" hidden="1"/>
    <col min="3" max="3" width="19.5" customWidth="1"/>
    <col min="5" max="5" width="15.83203125" customWidth="1"/>
    <col min="6" max="6" width="20.6640625" customWidth="1"/>
    <col min="9" max="9" width="25.5" customWidth="1"/>
    <col min="11" max="11" width="21.6640625" customWidth="1"/>
    <col min="12" max="12" width="102" customWidth="1"/>
    <col min="13" max="13" width="49.5" customWidth="1"/>
  </cols>
  <sheetData>
    <row r="1" spans="1:13" ht="15">
      <c r="A1" s="66" t="s">
        <v>175</v>
      </c>
      <c r="B1" s="13" t="s">
        <v>46</v>
      </c>
      <c r="C1" s="42" t="s">
        <v>109</v>
      </c>
      <c r="D1" s="14" t="s">
        <v>47</v>
      </c>
      <c r="E1" s="13" t="s">
        <v>48</v>
      </c>
      <c r="F1" s="13" t="s">
        <v>49</v>
      </c>
      <c r="G1" s="13" t="s">
        <v>50</v>
      </c>
      <c r="H1" s="13" t="s">
        <v>51</v>
      </c>
      <c r="I1" s="13" t="s">
        <v>52</v>
      </c>
      <c r="J1" s="15" t="s">
        <v>53</v>
      </c>
      <c r="K1" s="15" t="s">
        <v>54</v>
      </c>
      <c r="L1" s="43" t="s">
        <v>55</v>
      </c>
      <c r="M1" s="67" t="s">
        <v>301</v>
      </c>
    </row>
    <row r="2" spans="1:13" ht="98">
      <c r="A2" s="40" t="s">
        <v>63</v>
      </c>
      <c r="B2" s="45"/>
      <c r="C2" s="40" t="s">
        <v>111</v>
      </c>
      <c r="D2" s="68" t="s">
        <v>112</v>
      </c>
      <c r="E2" s="48">
        <v>4</v>
      </c>
      <c r="F2" s="89">
        <v>2</v>
      </c>
      <c r="G2" s="89">
        <v>4</v>
      </c>
      <c r="H2" s="89">
        <v>3</v>
      </c>
      <c r="I2" s="90">
        <v>3</v>
      </c>
      <c r="J2" s="50">
        <f t="shared" ref="J2:J27" si="0">AVERAGE(E2:I2)</f>
        <v>3.2</v>
      </c>
      <c r="K2" s="40"/>
      <c r="L2" s="31" t="s">
        <v>302</v>
      </c>
      <c r="M2" s="44" t="s">
        <v>303</v>
      </c>
    </row>
    <row r="3" spans="1:13" ht="15.75" customHeight="1">
      <c r="A3" s="40" t="s">
        <v>85</v>
      </c>
      <c r="B3" s="45"/>
      <c r="C3" s="40" t="s">
        <v>111</v>
      </c>
      <c r="D3" s="68" t="s">
        <v>112</v>
      </c>
      <c r="E3" s="54">
        <v>4</v>
      </c>
      <c r="F3" s="54">
        <v>4</v>
      </c>
      <c r="G3" s="54">
        <v>4</v>
      </c>
      <c r="H3" s="54">
        <v>4</v>
      </c>
      <c r="I3" s="54">
        <v>4</v>
      </c>
      <c r="J3" s="50">
        <f t="shared" si="0"/>
        <v>4</v>
      </c>
      <c r="K3" s="40"/>
      <c r="L3" s="52" t="s">
        <v>304</v>
      </c>
      <c r="M3" s="44" t="s">
        <v>305</v>
      </c>
    </row>
    <row r="4" spans="1:13" ht="15.75" customHeight="1">
      <c r="A4" s="40" t="s">
        <v>91</v>
      </c>
      <c r="B4" s="45"/>
      <c r="C4" s="40" t="s">
        <v>111</v>
      </c>
      <c r="D4" s="68" t="s">
        <v>112</v>
      </c>
      <c r="E4" s="48">
        <v>4</v>
      </c>
      <c r="F4" s="49">
        <v>5</v>
      </c>
      <c r="G4" s="49">
        <v>4</v>
      </c>
      <c r="H4" s="49">
        <v>4</v>
      </c>
      <c r="I4" s="54">
        <v>4</v>
      </c>
      <c r="J4" s="50">
        <f t="shared" si="0"/>
        <v>4.2</v>
      </c>
      <c r="K4" s="40"/>
      <c r="L4" s="52" t="s">
        <v>306</v>
      </c>
      <c r="M4" s="44" t="s">
        <v>307</v>
      </c>
    </row>
    <row r="5" spans="1:13" ht="15.75" customHeight="1">
      <c r="A5" s="40" t="s">
        <v>93</v>
      </c>
      <c r="B5" s="45"/>
      <c r="C5" s="40" t="s">
        <v>119</v>
      </c>
      <c r="D5" s="40" t="s">
        <v>112</v>
      </c>
      <c r="E5" s="54">
        <v>5</v>
      </c>
      <c r="F5" s="54">
        <v>5</v>
      </c>
      <c r="G5" s="54">
        <v>4</v>
      </c>
      <c r="H5" s="54">
        <v>3</v>
      </c>
      <c r="I5" s="54">
        <v>4</v>
      </c>
      <c r="J5" s="50">
        <f t="shared" si="0"/>
        <v>4.2</v>
      </c>
      <c r="K5" s="72"/>
      <c r="L5" s="55" t="s">
        <v>308</v>
      </c>
      <c r="M5" s="67" t="s">
        <v>309</v>
      </c>
    </row>
    <row r="6" spans="1:13" ht="15.75" customHeight="1">
      <c r="A6" s="40" t="s">
        <v>103</v>
      </c>
      <c r="B6" s="45"/>
      <c r="C6" s="40" t="s">
        <v>186</v>
      </c>
      <c r="D6" s="68" t="s">
        <v>123</v>
      </c>
      <c r="E6" s="54">
        <v>4</v>
      </c>
      <c r="F6" s="54">
        <v>3</v>
      </c>
      <c r="G6" s="54">
        <v>4</v>
      </c>
      <c r="H6" s="54">
        <v>4</v>
      </c>
      <c r="I6" s="54">
        <v>3</v>
      </c>
      <c r="J6" s="50">
        <f t="shared" si="0"/>
        <v>3.6</v>
      </c>
      <c r="K6" s="55" t="s">
        <v>310</v>
      </c>
      <c r="L6" s="56" t="s">
        <v>311</v>
      </c>
      <c r="M6" s="44"/>
    </row>
    <row r="7" spans="1:13" ht="126">
      <c r="A7" s="40" t="s">
        <v>105</v>
      </c>
      <c r="B7" s="45"/>
      <c r="C7" s="40" t="s">
        <v>111</v>
      </c>
      <c r="D7" s="68" t="s">
        <v>123</v>
      </c>
      <c r="E7" s="91">
        <v>4</v>
      </c>
      <c r="F7" s="92">
        <v>4</v>
      </c>
      <c r="G7" s="92">
        <v>4</v>
      </c>
      <c r="H7" s="92">
        <v>3</v>
      </c>
      <c r="I7" s="93">
        <v>4</v>
      </c>
      <c r="J7" s="50">
        <f t="shared" si="0"/>
        <v>3.8</v>
      </c>
      <c r="K7" s="51">
        <v>1</v>
      </c>
      <c r="L7" s="31" t="s">
        <v>312</v>
      </c>
      <c r="M7" s="44" t="s">
        <v>313</v>
      </c>
    </row>
    <row r="8" spans="1:13" ht="15.75" customHeight="1">
      <c r="A8" s="40" t="s">
        <v>59</v>
      </c>
      <c r="B8" s="45"/>
      <c r="C8" s="40" t="s">
        <v>186</v>
      </c>
      <c r="D8" s="40" t="s">
        <v>123</v>
      </c>
      <c r="E8" s="54">
        <v>3</v>
      </c>
      <c r="F8" s="49">
        <v>4</v>
      </c>
      <c r="G8" s="54">
        <v>4</v>
      </c>
      <c r="H8" s="54">
        <v>4</v>
      </c>
      <c r="I8" s="40">
        <v>3</v>
      </c>
      <c r="J8" s="50">
        <f t="shared" si="0"/>
        <v>3.6</v>
      </c>
      <c r="K8" s="51">
        <v>1</v>
      </c>
      <c r="L8" s="57" t="s">
        <v>314</v>
      </c>
      <c r="M8" s="44"/>
    </row>
    <row r="9" spans="1:13" ht="15.75" customHeight="1">
      <c r="A9" s="40" t="s">
        <v>101</v>
      </c>
      <c r="B9" s="45"/>
      <c r="C9" s="40" t="s">
        <v>186</v>
      </c>
      <c r="D9" s="40" t="s">
        <v>123</v>
      </c>
      <c r="E9" s="48">
        <v>3</v>
      </c>
      <c r="F9" s="49">
        <v>4</v>
      </c>
      <c r="G9" s="49">
        <v>4</v>
      </c>
      <c r="H9" s="49">
        <v>4</v>
      </c>
      <c r="I9" s="40">
        <v>3</v>
      </c>
      <c r="J9" s="50">
        <f t="shared" si="0"/>
        <v>3.6</v>
      </c>
      <c r="K9" s="51">
        <v>1</v>
      </c>
      <c r="L9" s="55" t="s">
        <v>315</v>
      </c>
      <c r="M9" s="44"/>
    </row>
    <row r="10" spans="1:13" ht="15.75" customHeight="1">
      <c r="A10" s="40" t="s">
        <v>79</v>
      </c>
      <c r="B10" s="45"/>
      <c r="C10" s="40" t="s">
        <v>119</v>
      </c>
      <c r="D10" s="40" t="s">
        <v>132</v>
      </c>
      <c r="E10" s="59">
        <v>4</v>
      </c>
      <c r="F10" s="54">
        <v>4</v>
      </c>
      <c r="G10" s="54">
        <v>4</v>
      </c>
      <c r="H10" s="54">
        <v>4</v>
      </c>
      <c r="I10" s="54">
        <v>4</v>
      </c>
      <c r="J10" s="50">
        <f t="shared" si="0"/>
        <v>4</v>
      </c>
      <c r="K10" s="72">
        <v>1</v>
      </c>
      <c r="L10" s="55" t="s">
        <v>316</v>
      </c>
      <c r="M10" s="73" t="s">
        <v>317</v>
      </c>
    </row>
    <row r="11" spans="1:13" ht="15.75" customHeight="1">
      <c r="A11" s="40" t="s">
        <v>56</v>
      </c>
      <c r="B11" s="45"/>
      <c r="C11" s="40" t="s">
        <v>135</v>
      </c>
      <c r="D11" s="40" t="s">
        <v>132</v>
      </c>
      <c r="E11" s="54">
        <v>4</v>
      </c>
      <c r="F11" s="54">
        <v>3</v>
      </c>
      <c r="G11" s="54">
        <v>3</v>
      </c>
      <c r="H11" s="54">
        <v>3</v>
      </c>
      <c r="I11" s="40">
        <v>4</v>
      </c>
      <c r="J11" s="50">
        <f t="shared" si="0"/>
        <v>3.4</v>
      </c>
      <c r="K11" s="51">
        <v>1</v>
      </c>
      <c r="L11" s="44" t="s">
        <v>318</v>
      </c>
      <c r="M11" s="44" t="s">
        <v>319</v>
      </c>
    </row>
    <row r="12" spans="1:13" ht="15.75" customHeight="1">
      <c r="A12" s="40" t="s">
        <v>89</v>
      </c>
      <c r="B12" s="45"/>
      <c r="C12" s="40" t="s">
        <v>119</v>
      </c>
      <c r="D12" s="68" t="s">
        <v>132</v>
      </c>
      <c r="E12" s="54">
        <v>4</v>
      </c>
      <c r="F12" s="54">
        <v>3</v>
      </c>
      <c r="G12" s="54">
        <v>4</v>
      </c>
      <c r="H12" s="54">
        <v>4</v>
      </c>
      <c r="I12" s="54">
        <v>4</v>
      </c>
      <c r="J12" s="50">
        <f t="shared" si="0"/>
        <v>3.8</v>
      </c>
      <c r="K12" s="72">
        <v>1</v>
      </c>
      <c r="L12" s="55" t="s">
        <v>320</v>
      </c>
      <c r="M12" s="67" t="s">
        <v>321</v>
      </c>
    </row>
    <row r="13" spans="1:13" ht="15.75" customHeight="1">
      <c r="A13" s="40" t="s">
        <v>61</v>
      </c>
      <c r="B13" s="45"/>
      <c r="C13" s="40" t="s">
        <v>148</v>
      </c>
      <c r="D13" s="40" t="s">
        <v>132</v>
      </c>
      <c r="E13" s="59">
        <v>3</v>
      </c>
      <c r="F13" s="54">
        <v>3</v>
      </c>
      <c r="G13" s="54">
        <v>4</v>
      </c>
      <c r="H13" s="54">
        <v>4</v>
      </c>
      <c r="I13" s="40">
        <v>3</v>
      </c>
      <c r="J13" s="50">
        <f t="shared" si="0"/>
        <v>3.4</v>
      </c>
      <c r="K13" s="51">
        <v>0.9</v>
      </c>
      <c r="L13" s="74" t="s">
        <v>322</v>
      </c>
      <c r="M13" s="55" t="s">
        <v>323</v>
      </c>
    </row>
    <row r="14" spans="1:13" ht="15.75" customHeight="1">
      <c r="A14" s="40" t="s">
        <v>71</v>
      </c>
      <c r="B14" s="45"/>
      <c r="C14" s="40" t="s">
        <v>135</v>
      </c>
      <c r="D14" s="68" t="s">
        <v>143</v>
      </c>
      <c r="E14" s="54">
        <v>4</v>
      </c>
      <c r="F14" s="54">
        <v>4</v>
      </c>
      <c r="G14" s="54">
        <v>4</v>
      </c>
      <c r="H14" s="54">
        <v>4</v>
      </c>
      <c r="I14" s="40">
        <v>5</v>
      </c>
      <c r="J14" s="50">
        <f t="shared" si="0"/>
        <v>4.2</v>
      </c>
      <c r="K14" s="51">
        <v>1</v>
      </c>
      <c r="L14" s="55" t="s">
        <v>324</v>
      </c>
      <c r="M14" s="44" t="s">
        <v>325</v>
      </c>
    </row>
    <row r="15" spans="1:13" ht="15.75" customHeight="1">
      <c r="A15" s="40" t="s">
        <v>73</v>
      </c>
      <c r="B15" s="45"/>
      <c r="C15" s="40" t="s">
        <v>135</v>
      </c>
      <c r="D15" s="68" t="s">
        <v>143</v>
      </c>
      <c r="E15" s="48">
        <v>4</v>
      </c>
      <c r="F15" s="49">
        <v>4</v>
      </c>
      <c r="G15" s="49">
        <v>4</v>
      </c>
      <c r="H15" s="49">
        <v>4</v>
      </c>
      <c r="I15" s="40">
        <v>4</v>
      </c>
      <c r="J15" s="50">
        <f t="shared" si="0"/>
        <v>4</v>
      </c>
      <c r="K15" s="51">
        <v>1</v>
      </c>
      <c r="L15" s="55" t="s">
        <v>326</v>
      </c>
      <c r="M15" s="44" t="s">
        <v>327</v>
      </c>
    </row>
    <row r="16" spans="1:13" ht="15.75" customHeight="1">
      <c r="A16" s="40" t="s">
        <v>81</v>
      </c>
      <c r="B16" s="45"/>
      <c r="C16" s="40" t="s">
        <v>148</v>
      </c>
      <c r="D16" s="40" t="s">
        <v>143</v>
      </c>
      <c r="E16" s="48">
        <v>3</v>
      </c>
      <c r="F16" s="49">
        <v>3</v>
      </c>
      <c r="G16" s="49">
        <v>3</v>
      </c>
      <c r="H16" s="49">
        <v>4</v>
      </c>
      <c r="I16" s="40">
        <v>2</v>
      </c>
      <c r="J16" s="50">
        <f t="shared" si="0"/>
        <v>3</v>
      </c>
      <c r="K16" s="51">
        <v>0.65</v>
      </c>
      <c r="L16" s="74" t="s">
        <v>328</v>
      </c>
      <c r="M16" s="55" t="s">
        <v>329</v>
      </c>
    </row>
    <row r="17" spans="1:13" ht="56">
      <c r="A17" s="40" t="s">
        <v>65</v>
      </c>
      <c r="B17" s="45"/>
      <c r="C17" s="40" t="s">
        <v>111</v>
      </c>
      <c r="D17" s="68" t="s">
        <v>143</v>
      </c>
      <c r="E17" s="71">
        <v>4</v>
      </c>
      <c r="F17" s="71">
        <v>4</v>
      </c>
      <c r="G17" s="71">
        <v>4</v>
      </c>
      <c r="H17" s="71">
        <v>3</v>
      </c>
      <c r="I17" s="81">
        <v>3</v>
      </c>
      <c r="J17" s="50">
        <f t="shared" si="0"/>
        <v>3.6</v>
      </c>
      <c r="K17" s="51">
        <v>1</v>
      </c>
      <c r="L17" s="31" t="s">
        <v>330</v>
      </c>
      <c r="M17" s="61" t="s">
        <v>331</v>
      </c>
    </row>
    <row r="18" spans="1:13" ht="15.75" customHeight="1">
      <c r="A18" s="40" t="s">
        <v>99</v>
      </c>
      <c r="B18" s="45"/>
      <c r="C18" s="40" t="s">
        <v>186</v>
      </c>
      <c r="D18" s="40" t="s">
        <v>153</v>
      </c>
      <c r="E18" s="54">
        <v>3</v>
      </c>
      <c r="F18" s="54">
        <v>4</v>
      </c>
      <c r="G18" s="54">
        <v>3</v>
      </c>
      <c r="H18" s="54">
        <v>4</v>
      </c>
      <c r="I18" s="40">
        <v>3</v>
      </c>
      <c r="J18" s="50">
        <f t="shared" si="0"/>
        <v>3.4</v>
      </c>
      <c r="K18" s="51">
        <v>1</v>
      </c>
      <c r="L18" s="52" t="s">
        <v>332</v>
      </c>
      <c r="M18" s="44"/>
    </row>
    <row r="19" spans="1:13" ht="15.75" customHeight="1">
      <c r="A19" s="40" t="s">
        <v>97</v>
      </c>
      <c r="B19" s="45"/>
      <c r="C19" s="40" t="s">
        <v>119</v>
      </c>
      <c r="D19" s="40" t="s">
        <v>153</v>
      </c>
      <c r="E19" s="54">
        <v>3</v>
      </c>
      <c r="F19" s="54">
        <v>4</v>
      </c>
      <c r="G19" s="54">
        <v>4</v>
      </c>
      <c r="H19" s="54">
        <v>4</v>
      </c>
      <c r="I19" s="54">
        <v>4</v>
      </c>
      <c r="J19" s="50">
        <f t="shared" si="0"/>
        <v>3.8</v>
      </c>
      <c r="K19" s="54" t="s">
        <v>333</v>
      </c>
      <c r="L19" s="55" t="s">
        <v>334</v>
      </c>
      <c r="M19" s="76" t="s">
        <v>335</v>
      </c>
    </row>
    <row r="20" spans="1:13" ht="15.75" customHeight="1">
      <c r="A20" s="40" t="s">
        <v>87</v>
      </c>
      <c r="B20" s="45"/>
      <c r="C20" s="40" t="s">
        <v>148</v>
      </c>
      <c r="D20" s="40" t="s">
        <v>153</v>
      </c>
      <c r="E20" s="54">
        <v>3</v>
      </c>
      <c r="F20" s="54">
        <v>4</v>
      </c>
      <c r="G20" s="54">
        <v>3</v>
      </c>
      <c r="H20" s="54">
        <v>4</v>
      </c>
      <c r="I20" s="40">
        <v>4</v>
      </c>
      <c r="J20" s="50">
        <f t="shared" si="0"/>
        <v>3.6</v>
      </c>
      <c r="K20" s="51"/>
      <c r="L20" s="74" t="s">
        <v>336</v>
      </c>
      <c r="M20" s="55" t="s">
        <v>337</v>
      </c>
    </row>
    <row r="21" spans="1:13" ht="15.75" customHeight="1">
      <c r="A21" s="40" t="s">
        <v>107</v>
      </c>
      <c r="B21" s="45"/>
      <c r="C21" s="40" t="s">
        <v>135</v>
      </c>
      <c r="D21" s="68" t="s">
        <v>153</v>
      </c>
      <c r="E21" s="48">
        <v>4</v>
      </c>
      <c r="F21" s="49">
        <v>4</v>
      </c>
      <c r="G21" s="49">
        <v>4</v>
      </c>
      <c r="H21" s="49">
        <v>3</v>
      </c>
      <c r="I21" s="40">
        <v>3</v>
      </c>
      <c r="J21" s="50">
        <f t="shared" si="0"/>
        <v>3.6</v>
      </c>
      <c r="K21" s="51">
        <v>0.75</v>
      </c>
      <c r="L21" s="55" t="s">
        <v>338</v>
      </c>
      <c r="M21" s="44" t="s">
        <v>339</v>
      </c>
    </row>
    <row r="22" spans="1:13" ht="15.75" customHeight="1">
      <c r="A22" s="40" t="s">
        <v>69</v>
      </c>
      <c r="B22" s="45"/>
      <c r="C22" s="40" t="s">
        <v>135</v>
      </c>
      <c r="D22" s="40" t="s">
        <v>153</v>
      </c>
      <c r="E22" s="54">
        <v>4</v>
      </c>
      <c r="F22" s="54">
        <v>4</v>
      </c>
      <c r="G22" s="54">
        <v>5</v>
      </c>
      <c r="H22" s="54">
        <v>4</v>
      </c>
      <c r="I22" s="40">
        <v>3</v>
      </c>
      <c r="J22" s="50">
        <f t="shared" si="0"/>
        <v>4</v>
      </c>
      <c r="K22" s="51">
        <v>1</v>
      </c>
      <c r="L22" s="55" t="s">
        <v>340</v>
      </c>
      <c r="M22" s="44" t="s">
        <v>341</v>
      </c>
    </row>
    <row r="23" spans="1:13" ht="15.75" customHeight="1">
      <c r="A23" s="40" t="s">
        <v>83</v>
      </c>
      <c r="B23" s="45"/>
      <c r="C23" s="40" t="s">
        <v>119</v>
      </c>
      <c r="D23" s="68" t="s">
        <v>164</v>
      </c>
      <c r="E23" s="54">
        <v>4</v>
      </c>
      <c r="F23" s="54">
        <v>4</v>
      </c>
      <c r="G23" s="54">
        <v>3</v>
      </c>
      <c r="H23" s="54">
        <v>4</v>
      </c>
      <c r="I23" s="54">
        <v>3</v>
      </c>
      <c r="J23" s="50">
        <f t="shared" si="0"/>
        <v>3.6</v>
      </c>
      <c r="K23" s="51">
        <v>1</v>
      </c>
      <c r="L23" s="52" t="s">
        <v>342</v>
      </c>
      <c r="M23" s="67" t="s">
        <v>343</v>
      </c>
    </row>
    <row r="24" spans="1:13" ht="15.75" customHeight="1">
      <c r="A24" s="40" t="s">
        <v>75</v>
      </c>
      <c r="B24" s="45"/>
      <c r="C24" s="40" t="s">
        <v>186</v>
      </c>
      <c r="D24" s="40" t="s">
        <v>164</v>
      </c>
      <c r="E24" s="54">
        <v>3</v>
      </c>
      <c r="F24" s="54">
        <v>4</v>
      </c>
      <c r="G24" s="54">
        <v>3</v>
      </c>
      <c r="H24" s="54">
        <v>3</v>
      </c>
      <c r="I24" s="54">
        <v>3</v>
      </c>
      <c r="J24" s="50">
        <f t="shared" si="0"/>
        <v>3.2</v>
      </c>
      <c r="K24" s="51">
        <v>1</v>
      </c>
      <c r="L24" s="52" t="s">
        <v>344</v>
      </c>
      <c r="M24" s="44"/>
    </row>
    <row r="25" spans="1:13" ht="42">
      <c r="A25" s="40" t="s">
        <v>77</v>
      </c>
      <c r="B25" s="45"/>
      <c r="C25" s="40" t="s">
        <v>111</v>
      </c>
      <c r="D25" s="40" t="s">
        <v>164</v>
      </c>
      <c r="E25" s="71">
        <v>3</v>
      </c>
      <c r="F25" s="71">
        <v>4</v>
      </c>
      <c r="G25" s="71">
        <v>4</v>
      </c>
      <c r="H25" s="71">
        <v>3</v>
      </c>
      <c r="I25" s="81">
        <v>3</v>
      </c>
      <c r="J25" s="50">
        <f t="shared" si="0"/>
        <v>3.4</v>
      </c>
      <c r="K25" s="51">
        <v>1</v>
      </c>
      <c r="L25" s="78" t="s">
        <v>345</v>
      </c>
      <c r="M25" s="44" t="s">
        <v>346</v>
      </c>
    </row>
    <row r="26" spans="1:13" ht="15.75" customHeight="1">
      <c r="A26" s="40" t="s">
        <v>95</v>
      </c>
      <c r="B26" s="45"/>
      <c r="C26" s="40" t="s">
        <v>148</v>
      </c>
      <c r="D26" s="37" t="s">
        <v>164</v>
      </c>
      <c r="E26" s="59">
        <v>4</v>
      </c>
      <c r="F26" s="54">
        <v>5</v>
      </c>
      <c r="G26" s="54">
        <v>4</v>
      </c>
      <c r="H26" s="54">
        <v>4</v>
      </c>
      <c r="I26" s="40">
        <v>4</v>
      </c>
      <c r="J26" s="50">
        <f t="shared" si="0"/>
        <v>4.2</v>
      </c>
      <c r="K26" s="51">
        <v>1</v>
      </c>
      <c r="L26" s="74" t="s">
        <v>347</v>
      </c>
      <c r="M26" s="55" t="s">
        <v>348</v>
      </c>
    </row>
    <row r="27" spans="1:13" ht="15.75" customHeight="1">
      <c r="A27" s="40" t="s">
        <v>67</v>
      </c>
      <c r="B27" s="45"/>
      <c r="C27" s="40" t="s">
        <v>148</v>
      </c>
      <c r="D27" s="40" t="s">
        <v>164</v>
      </c>
      <c r="E27" s="54">
        <v>4</v>
      </c>
      <c r="F27" s="54">
        <v>4</v>
      </c>
      <c r="G27" s="54">
        <v>3</v>
      </c>
      <c r="H27" s="54">
        <v>4</v>
      </c>
      <c r="I27" s="40">
        <v>5</v>
      </c>
      <c r="J27" s="50">
        <f t="shared" si="0"/>
        <v>4</v>
      </c>
      <c r="K27" s="51">
        <v>1</v>
      </c>
      <c r="L27" s="74" t="s">
        <v>349</v>
      </c>
      <c r="M27" s="55" t="s">
        <v>350</v>
      </c>
    </row>
    <row r="28" spans="1:13" ht="14">
      <c r="C28" s="45"/>
      <c r="D28" s="26"/>
      <c r="E28" s="41"/>
      <c r="F28" s="41"/>
      <c r="G28" s="41"/>
      <c r="H28" s="41"/>
      <c r="I28" s="41"/>
      <c r="K28" s="41"/>
      <c r="L28" s="64"/>
      <c r="M28" s="79"/>
    </row>
    <row r="29" spans="1:13" ht="14">
      <c r="C29" s="45"/>
      <c r="D29" s="26"/>
      <c r="E29" s="41"/>
      <c r="F29" s="41"/>
      <c r="G29" s="41"/>
      <c r="H29" s="41"/>
      <c r="I29" s="41"/>
      <c r="K29" s="41"/>
      <c r="L29" s="64"/>
      <c r="M29" s="79"/>
    </row>
    <row r="30" spans="1:13" ht="14">
      <c r="C30" s="45"/>
      <c r="D30" s="26"/>
      <c r="E30" s="41"/>
      <c r="F30" s="41"/>
      <c r="G30" s="41"/>
      <c r="H30" s="41"/>
      <c r="I30" s="41"/>
      <c r="K30" s="41"/>
      <c r="L30" s="64"/>
      <c r="M30" s="79"/>
    </row>
    <row r="31" spans="1:13" ht="14">
      <c r="C31" s="45"/>
      <c r="D31" s="26"/>
      <c r="E31" s="41"/>
      <c r="F31" s="41"/>
      <c r="G31" s="41"/>
      <c r="H31" s="41"/>
      <c r="I31" s="41"/>
      <c r="K31" s="41"/>
      <c r="L31" s="64"/>
      <c r="M31" s="79"/>
    </row>
    <row r="32" spans="1:13" ht="14">
      <c r="C32" s="45"/>
      <c r="D32" s="26"/>
      <c r="E32" s="41"/>
      <c r="F32" s="41"/>
      <c r="G32" s="41"/>
      <c r="H32" s="41"/>
      <c r="I32" s="41"/>
      <c r="K32" s="41"/>
      <c r="L32" s="64"/>
      <c r="M32" s="79"/>
    </row>
    <row r="33" spans="3:13" ht="14">
      <c r="C33" s="45"/>
      <c r="D33" s="26"/>
      <c r="E33" s="41"/>
      <c r="F33" s="41"/>
      <c r="G33" s="41"/>
      <c r="H33" s="41"/>
      <c r="I33" s="41"/>
      <c r="K33" s="41"/>
      <c r="L33" s="64"/>
      <c r="M33" s="79"/>
    </row>
    <row r="34" spans="3:13" ht="14">
      <c r="C34" s="45"/>
      <c r="D34" s="26"/>
      <c r="E34" s="41"/>
      <c r="F34" s="41"/>
      <c r="G34" s="41"/>
      <c r="H34" s="41"/>
      <c r="I34" s="41"/>
      <c r="K34" s="41"/>
      <c r="L34" s="64"/>
      <c r="M34" s="79"/>
    </row>
    <row r="35" spans="3:13" ht="14">
      <c r="C35" s="45"/>
      <c r="D35" s="26"/>
      <c r="E35" s="41"/>
      <c r="F35" s="41"/>
      <c r="G35" s="41"/>
      <c r="H35" s="41"/>
      <c r="I35" s="41"/>
      <c r="K35" s="41"/>
      <c r="L35" s="64"/>
      <c r="M35" s="79"/>
    </row>
    <row r="36" spans="3:13" ht="14">
      <c r="C36" s="45"/>
      <c r="D36" s="26"/>
      <c r="E36" s="41"/>
      <c r="F36" s="41"/>
      <c r="G36" s="41"/>
      <c r="H36" s="41"/>
      <c r="I36" s="41"/>
      <c r="K36" s="41"/>
      <c r="L36" s="64"/>
      <c r="M36" s="79"/>
    </row>
    <row r="37" spans="3:13" ht="14">
      <c r="C37" s="45"/>
      <c r="D37" s="26"/>
      <c r="E37" s="41"/>
      <c r="F37" s="41"/>
      <c r="G37" s="41"/>
      <c r="H37" s="41"/>
      <c r="I37" s="41"/>
      <c r="K37" s="41"/>
      <c r="L37" s="64"/>
      <c r="M37" s="79"/>
    </row>
    <row r="38" spans="3:13" ht="14">
      <c r="C38" s="45"/>
      <c r="D38" s="26"/>
      <c r="E38" s="41"/>
      <c r="F38" s="41"/>
      <c r="G38" s="41"/>
      <c r="H38" s="41"/>
      <c r="I38" s="41"/>
      <c r="K38" s="41"/>
      <c r="L38" s="64"/>
      <c r="M38" s="79"/>
    </row>
    <row r="39" spans="3:13" ht="14">
      <c r="C39" s="45"/>
      <c r="D39" s="26"/>
      <c r="E39" s="41"/>
      <c r="F39" s="41"/>
      <c r="G39" s="41"/>
      <c r="H39" s="41"/>
      <c r="I39" s="41"/>
      <c r="K39" s="41"/>
      <c r="L39" s="64"/>
      <c r="M39" s="79"/>
    </row>
    <row r="40" spans="3:13" ht="14">
      <c r="C40" s="45"/>
      <c r="D40" s="26"/>
      <c r="E40" s="41"/>
      <c r="F40" s="41"/>
      <c r="G40" s="41"/>
      <c r="H40" s="41"/>
      <c r="I40" s="41"/>
      <c r="K40" s="41"/>
      <c r="L40" s="64"/>
      <c r="M40" s="79"/>
    </row>
    <row r="41" spans="3:13" ht="14">
      <c r="C41" s="45"/>
      <c r="D41" s="26"/>
      <c r="E41" s="41"/>
      <c r="F41" s="41"/>
      <c r="G41" s="41"/>
      <c r="H41" s="41"/>
      <c r="I41" s="41"/>
      <c r="K41" s="41"/>
      <c r="L41" s="64"/>
      <c r="M41" s="79"/>
    </row>
    <row r="42" spans="3:13" ht="14">
      <c r="C42" s="45"/>
      <c r="D42" s="26"/>
      <c r="E42" s="41"/>
      <c r="F42" s="41"/>
      <c r="G42" s="41"/>
      <c r="H42" s="41"/>
      <c r="I42" s="41"/>
      <c r="K42" s="41"/>
      <c r="L42" s="64"/>
      <c r="M42" s="79"/>
    </row>
    <row r="43" spans="3:13" ht="14">
      <c r="C43" s="45"/>
      <c r="D43" s="26"/>
      <c r="E43" s="41"/>
      <c r="F43" s="41"/>
      <c r="G43" s="41"/>
      <c r="H43" s="41"/>
      <c r="I43" s="41"/>
      <c r="K43" s="41"/>
      <c r="L43" s="64"/>
      <c r="M43" s="79"/>
    </row>
    <row r="44" spans="3:13" ht="14">
      <c r="C44" s="45"/>
      <c r="D44" s="26"/>
      <c r="E44" s="41"/>
      <c r="F44" s="41"/>
      <c r="G44" s="41"/>
      <c r="H44" s="41"/>
      <c r="I44" s="41"/>
      <c r="K44" s="41"/>
      <c r="L44" s="64"/>
      <c r="M44" s="79"/>
    </row>
    <row r="45" spans="3:13" ht="14">
      <c r="C45" s="45"/>
      <c r="D45" s="26"/>
      <c r="E45" s="41"/>
      <c r="F45" s="41"/>
      <c r="G45" s="41"/>
      <c r="H45" s="41"/>
      <c r="I45" s="41"/>
      <c r="K45" s="41"/>
      <c r="L45" s="64"/>
      <c r="M45" s="79"/>
    </row>
    <row r="46" spans="3:13" ht="14">
      <c r="C46" s="45"/>
      <c r="D46" s="26"/>
      <c r="E46" s="41"/>
      <c r="F46" s="41"/>
      <c r="G46" s="41"/>
      <c r="H46" s="41"/>
      <c r="I46" s="41"/>
      <c r="K46" s="41"/>
      <c r="L46" s="64"/>
      <c r="M46" s="79"/>
    </row>
    <row r="47" spans="3:13" ht="14">
      <c r="C47" s="45"/>
      <c r="D47" s="26"/>
      <c r="E47" s="41"/>
      <c r="F47" s="41"/>
      <c r="G47" s="41"/>
      <c r="H47" s="41"/>
      <c r="I47" s="41"/>
      <c r="K47" s="41"/>
      <c r="L47" s="64"/>
      <c r="M47" s="79"/>
    </row>
    <row r="48" spans="3:13" ht="14">
      <c r="C48" s="45"/>
      <c r="D48" s="26"/>
      <c r="E48" s="41"/>
      <c r="F48" s="41"/>
      <c r="G48" s="41"/>
      <c r="H48" s="41"/>
      <c r="I48" s="41"/>
      <c r="K48" s="41"/>
      <c r="L48" s="64"/>
      <c r="M48" s="79"/>
    </row>
    <row r="49" spans="3:13" ht="14">
      <c r="C49" s="45"/>
      <c r="D49" s="26"/>
      <c r="E49" s="41"/>
      <c r="F49" s="41"/>
      <c r="G49" s="41"/>
      <c r="H49" s="41"/>
      <c r="I49" s="41"/>
      <c r="K49" s="41"/>
      <c r="L49" s="64"/>
      <c r="M49" s="79"/>
    </row>
    <row r="50" spans="3:13" ht="14">
      <c r="C50" s="45"/>
      <c r="D50" s="26"/>
      <c r="E50" s="41"/>
      <c r="F50" s="41"/>
      <c r="G50" s="41"/>
      <c r="H50" s="41"/>
      <c r="I50" s="41"/>
      <c r="K50" s="41"/>
      <c r="L50" s="64"/>
      <c r="M50" s="79"/>
    </row>
    <row r="51" spans="3:13" ht="14">
      <c r="C51" s="45"/>
      <c r="D51" s="26"/>
      <c r="E51" s="41"/>
      <c r="F51" s="41"/>
      <c r="G51" s="41"/>
      <c r="H51" s="41"/>
      <c r="I51" s="41"/>
      <c r="K51" s="41"/>
      <c r="L51" s="64"/>
      <c r="M51" s="79"/>
    </row>
    <row r="52" spans="3:13" ht="15.75" customHeight="1">
      <c r="C52" s="63"/>
      <c r="E52" s="41"/>
      <c r="F52" s="41"/>
      <c r="G52" s="41"/>
      <c r="H52" s="41"/>
      <c r="I52" s="41"/>
      <c r="K52" s="41"/>
      <c r="L52" s="64"/>
      <c r="M52" s="79"/>
    </row>
    <row r="53" spans="3:13" ht="15.75" customHeight="1">
      <c r="C53" s="63"/>
      <c r="E53" s="41"/>
      <c r="F53" s="41"/>
      <c r="G53" s="41"/>
      <c r="H53" s="41"/>
      <c r="I53" s="41"/>
      <c r="K53" s="41"/>
      <c r="L53" s="64"/>
      <c r="M53" s="79"/>
    </row>
    <row r="54" spans="3:13" ht="15.75" customHeight="1">
      <c r="C54" s="63"/>
      <c r="E54" s="41"/>
      <c r="F54" s="41"/>
      <c r="G54" s="41"/>
      <c r="H54" s="41"/>
      <c r="I54" s="41"/>
      <c r="K54" s="41"/>
      <c r="L54" s="64"/>
      <c r="M54" s="79"/>
    </row>
    <row r="55" spans="3:13" ht="15.75" customHeight="1">
      <c r="C55" s="63"/>
      <c r="E55" s="41"/>
      <c r="F55" s="41"/>
      <c r="G55" s="41"/>
      <c r="H55" s="41"/>
      <c r="I55" s="41"/>
      <c r="K55" s="41"/>
      <c r="L55" s="64"/>
      <c r="M55" s="79"/>
    </row>
    <row r="56" spans="3:13" ht="15.75" customHeight="1">
      <c r="C56" s="63"/>
      <c r="E56" s="41"/>
      <c r="F56" s="41"/>
      <c r="G56" s="41"/>
      <c r="H56" s="41"/>
      <c r="I56" s="41"/>
      <c r="K56" s="41"/>
      <c r="L56" s="64"/>
      <c r="M56" s="79"/>
    </row>
    <row r="57" spans="3:13" ht="15.75" customHeight="1">
      <c r="C57" s="63"/>
      <c r="E57" s="41"/>
      <c r="F57" s="41"/>
      <c r="G57" s="41"/>
      <c r="H57" s="41"/>
      <c r="I57" s="41"/>
      <c r="K57" s="41"/>
      <c r="L57" s="64"/>
      <c r="M57" s="79"/>
    </row>
    <row r="58" spans="3:13" ht="15.75" customHeight="1">
      <c r="C58" s="63"/>
      <c r="E58" s="41"/>
      <c r="F58" s="41"/>
      <c r="G58" s="41"/>
      <c r="H58" s="41"/>
      <c r="I58" s="41"/>
      <c r="K58" s="41"/>
      <c r="L58" s="64"/>
      <c r="M58" s="79"/>
    </row>
    <row r="59" spans="3:13" ht="15.75" customHeight="1">
      <c r="C59" s="63"/>
      <c r="E59" s="41"/>
      <c r="F59" s="41"/>
      <c r="G59" s="41"/>
      <c r="H59" s="41"/>
      <c r="I59" s="41"/>
      <c r="K59" s="41"/>
      <c r="L59" s="64"/>
      <c r="M59" s="79"/>
    </row>
    <row r="60" spans="3:13" ht="15.75" customHeight="1">
      <c r="C60" s="63"/>
      <c r="E60" s="41"/>
      <c r="F60" s="41"/>
      <c r="G60" s="41"/>
      <c r="H60" s="41"/>
      <c r="I60" s="41"/>
      <c r="K60" s="41"/>
      <c r="L60" s="64"/>
      <c r="M60" s="79"/>
    </row>
    <row r="61" spans="3:13" ht="13">
      <c r="C61" s="63"/>
      <c r="E61" s="41"/>
      <c r="F61" s="41"/>
      <c r="G61" s="41"/>
      <c r="H61" s="41"/>
      <c r="I61" s="41"/>
      <c r="K61" s="41"/>
      <c r="L61" s="64"/>
      <c r="M61" s="79"/>
    </row>
    <row r="62" spans="3:13" ht="13">
      <c r="C62" s="63"/>
      <c r="E62" s="41"/>
      <c r="F62" s="41"/>
      <c r="G62" s="41"/>
      <c r="H62" s="41"/>
      <c r="I62" s="41"/>
      <c r="K62" s="41"/>
      <c r="L62" s="64"/>
      <c r="M62" s="79"/>
    </row>
    <row r="63" spans="3:13" ht="13">
      <c r="C63" s="63"/>
      <c r="E63" s="41"/>
      <c r="F63" s="41"/>
      <c r="G63" s="41"/>
      <c r="H63" s="41"/>
      <c r="I63" s="41"/>
      <c r="K63" s="41"/>
      <c r="L63" s="64"/>
      <c r="M63" s="79"/>
    </row>
    <row r="64" spans="3:13" ht="13">
      <c r="C64" s="63"/>
      <c r="E64" s="41"/>
      <c r="F64" s="41"/>
      <c r="G64" s="41"/>
      <c r="H64" s="41"/>
      <c r="I64" s="41"/>
      <c r="K64" s="41"/>
      <c r="L64" s="64"/>
      <c r="M64" s="79"/>
    </row>
    <row r="65" spans="3:13" ht="13">
      <c r="C65" s="63"/>
      <c r="E65" s="41"/>
      <c r="F65" s="41"/>
      <c r="G65" s="41"/>
      <c r="H65" s="41"/>
      <c r="I65" s="41"/>
      <c r="K65" s="41"/>
      <c r="L65" s="64"/>
      <c r="M65" s="79"/>
    </row>
    <row r="66" spans="3:13" ht="13">
      <c r="C66" s="63"/>
      <c r="E66" s="41"/>
      <c r="F66" s="41"/>
      <c r="G66" s="41"/>
      <c r="H66" s="41"/>
      <c r="I66" s="41"/>
      <c r="K66" s="41"/>
      <c r="L66" s="64"/>
      <c r="M66" s="79"/>
    </row>
    <row r="67" spans="3:13" ht="13">
      <c r="C67" s="63"/>
      <c r="E67" s="41"/>
      <c r="F67" s="41"/>
      <c r="G67" s="41"/>
      <c r="H67" s="41"/>
      <c r="I67" s="41"/>
      <c r="K67" s="41"/>
      <c r="L67" s="64"/>
      <c r="M67" s="79"/>
    </row>
    <row r="68" spans="3:13" ht="13">
      <c r="C68" s="63"/>
      <c r="E68" s="41"/>
      <c r="F68" s="41"/>
      <c r="G68" s="41"/>
      <c r="H68" s="41"/>
      <c r="I68" s="41"/>
      <c r="K68" s="41"/>
      <c r="L68" s="64"/>
      <c r="M68" s="79"/>
    </row>
    <row r="69" spans="3:13" ht="13">
      <c r="C69" s="63"/>
      <c r="E69" s="41"/>
      <c r="F69" s="41"/>
      <c r="G69" s="41"/>
      <c r="H69" s="41"/>
      <c r="I69" s="41"/>
      <c r="K69" s="41"/>
      <c r="L69" s="64"/>
      <c r="M69" s="79"/>
    </row>
    <row r="70" spans="3:13" ht="13">
      <c r="C70" s="63"/>
      <c r="E70" s="41"/>
      <c r="F70" s="41"/>
      <c r="G70" s="41"/>
      <c r="H70" s="41"/>
      <c r="I70" s="41"/>
      <c r="K70" s="41"/>
      <c r="L70" s="64"/>
      <c r="M70" s="79"/>
    </row>
    <row r="71" spans="3:13" ht="13">
      <c r="C71" s="63"/>
      <c r="E71" s="41"/>
      <c r="F71" s="41"/>
      <c r="G71" s="41"/>
      <c r="H71" s="41"/>
      <c r="I71" s="41"/>
      <c r="K71" s="41"/>
      <c r="L71" s="64"/>
      <c r="M71" s="79"/>
    </row>
    <row r="72" spans="3:13" ht="13">
      <c r="C72" s="63"/>
      <c r="E72" s="41"/>
      <c r="F72" s="41"/>
      <c r="G72" s="41"/>
      <c r="H72" s="41"/>
      <c r="I72" s="41"/>
      <c r="K72" s="41"/>
      <c r="L72" s="64"/>
      <c r="M72" s="79"/>
    </row>
    <row r="73" spans="3:13" ht="13">
      <c r="C73" s="63"/>
      <c r="E73" s="41"/>
      <c r="F73" s="41"/>
      <c r="G73" s="41"/>
      <c r="H73" s="41"/>
      <c r="I73" s="41"/>
      <c r="K73" s="41"/>
      <c r="L73" s="64"/>
      <c r="M73" s="79"/>
    </row>
    <row r="74" spans="3:13" ht="13">
      <c r="C74" s="63"/>
      <c r="E74" s="41"/>
      <c r="F74" s="41"/>
      <c r="G74" s="41"/>
      <c r="H74" s="41"/>
      <c r="I74" s="41"/>
      <c r="K74" s="41"/>
      <c r="L74" s="64"/>
      <c r="M74" s="79"/>
    </row>
    <row r="75" spans="3:13" ht="13">
      <c r="C75" s="63"/>
      <c r="E75" s="41"/>
      <c r="F75" s="41"/>
      <c r="G75" s="41"/>
      <c r="H75" s="41"/>
      <c r="I75" s="41"/>
      <c r="K75" s="41"/>
      <c r="L75" s="64"/>
      <c r="M75" s="79"/>
    </row>
    <row r="76" spans="3:13" ht="13">
      <c r="C76" s="63"/>
      <c r="E76" s="41"/>
      <c r="F76" s="41"/>
      <c r="G76" s="41"/>
      <c r="H76" s="41"/>
      <c r="I76" s="41"/>
      <c r="K76" s="41"/>
      <c r="L76" s="64"/>
      <c r="M76" s="79"/>
    </row>
    <row r="77" spans="3:13" ht="13">
      <c r="C77" s="63"/>
      <c r="E77" s="41"/>
      <c r="F77" s="41"/>
      <c r="G77" s="41"/>
      <c r="H77" s="41"/>
      <c r="I77" s="41"/>
      <c r="K77" s="41"/>
      <c r="L77" s="64"/>
      <c r="M77" s="79"/>
    </row>
    <row r="78" spans="3:13" ht="13">
      <c r="C78" s="63"/>
      <c r="E78" s="41"/>
      <c r="F78" s="41"/>
      <c r="G78" s="41"/>
      <c r="H78" s="41"/>
      <c r="I78" s="41"/>
      <c r="K78" s="41"/>
      <c r="L78" s="64"/>
      <c r="M78" s="79"/>
    </row>
    <row r="79" spans="3:13" ht="13">
      <c r="C79" s="63"/>
      <c r="E79" s="41"/>
      <c r="F79" s="41"/>
      <c r="G79" s="41"/>
      <c r="H79" s="41"/>
      <c r="I79" s="41"/>
      <c r="K79" s="41"/>
      <c r="L79" s="64"/>
      <c r="M79" s="79"/>
    </row>
    <row r="80" spans="3:13" ht="13">
      <c r="C80" s="63"/>
      <c r="E80" s="41"/>
      <c r="F80" s="41"/>
      <c r="G80" s="41"/>
      <c r="H80" s="41"/>
      <c r="I80" s="41"/>
      <c r="K80" s="41"/>
      <c r="L80" s="64"/>
      <c r="M80" s="79"/>
    </row>
    <row r="81" spans="3:13" ht="13">
      <c r="C81" s="63"/>
      <c r="E81" s="41"/>
      <c r="F81" s="41"/>
      <c r="G81" s="41"/>
      <c r="H81" s="41"/>
      <c r="I81" s="41"/>
      <c r="K81" s="41"/>
      <c r="L81" s="64"/>
      <c r="M81" s="79"/>
    </row>
    <row r="82" spans="3:13" ht="13">
      <c r="C82" s="63"/>
      <c r="E82" s="41"/>
      <c r="F82" s="41"/>
      <c r="G82" s="41"/>
      <c r="H82" s="41"/>
      <c r="I82" s="41"/>
      <c r="K82" s="41"/>
      <c r="L82" s="64"/>
      <c r="M82" s="79"/>
    </row>
    <row r="83" spans="3:13" ht="13">
      <c r="C83" s="63"/>
      <c r="E83" s="41"/>
      <c r="F83" s="41"/>
      <c r="G83" s="41"/>
      <c r="H83" s="41"/>
      <c r="I83" s="41"/>
      <c r="K83" s="41"/>
      <c r="L83" s="64"/>
      <c r="M83" s="79"/>
    </row>
    <row r="84" spans="3:13" ht="13">
      <c r="C84" s="63"/>
      <c r="E84" s="41"/>
      <c r="F84" s="41"/>
      <c r="G84" s="41"/>
      <c r="H84" s="41"/>
      <c r="I84" s="41"/>
      <c r="K84" s="41"/>
      <c r="L84" s="64"/>
      <c r="M84" s="79"/>
    </row>
    <row r="85" spans="3:13" ht="13">
      <c r="C85" s="63"/>
      <c r="E85" s="41"/>
      <c r="F85" s="41"/>
      <c r="G85" s="41"/>
      <c r="H85" s="41"/>
      <c r="I85" s="41"/>
      <c r="K85" s="41"/>
      <c r="L85" s="64"/>
      <c r="M85" s="79"/>
    </row>
    <row r="86" spans="3:13" ht="13">
      <c r="C86" s="63"/>
      <c r="E86" s="41"/>
      <c r="F86" s="41"/>
      <c r="G86" s="41"/>
      <c r="H86" s="41"/>
      <c r="I86" s="41"/>
      <c r="K86" s="41"/>
      <c r="L86" s="64"/>
      <c r="M86" s="79"/>
    </row>
    <row r="87" spans="3:13" ht="13">
      <c r="C87" s="63"/>
      <c r="E87" s="41"/>
      <c r="F87" s="41"/>
      <c r="G87" s="41"/>
      <c r="H87" s="41"/>
      <c r="I87" s="41"/>
      <c r="K87" s="41"/>
      <c r="L87" s="64"/>
      <c r="M87" s="79"/>
    </row>
    <row r="88" spans="3:13" ht="13">
      <c r="C88" s="63"/>
      <c r="E88" s="41"/>
      <c r="F88" s="41"/>
      <c r="G88" s="41"/>
      <c r="H88" s="41"/>
      <c r="I88" s="41"/>
      <c r="K88" s="41"/>
      <c r="L88" s="64"/>
      <c r="M88" s="79"/>
    </row>
    <row r="89" spans="3:13" ht="13">
      <c r="C89" s="63"/>
      <c r="E89" s="41"/>
      <c r="F89" s="41"/>
      <c r="G89" s="41"/>
      <c r="H89" s="41"/>
      <c r="I89" s="41"/>
      <c r="K89" s="41"/>
      <c r="L89" s="64"/>
      <c r="M89" s="79"/>
    </row>
    <row r="90" spans="3:13" ht="13">
      <c r="C90" s="63"/>
      <c r="E90" s="41"/>
      <c r="F90" s="41"/>
      <c r="G90" s="41"/>
      <c r="H90" s="41"/>
      <c r="I90" s="41"/>
      <c r="K90" s="41"/>
      <c r="L90" s="64"/>
      <c r="M90" s="79"/>
    </row>
    <row r="91" spans="3:13" ht="13">
      <c r="C91" s="63"/>
      <c r="E91" s="41"/>
      <c r="F91" s="41"/>
      <c r="G91" s="41"/>
      <c r="H91" s="41"/>
      <c r="I91" s="41"/>
      <c r="K91" s="41"/>
      <c r="L91" s="64"/>
      <c r="M91" s="79"/>
    </row>
    <row r="92" spans="3:13" ht="13">
      <c r="C92" s="63"/>
      <c r="E92" s="41"/>
      <c r="F92" s="41"/>
      <c r="G92" s="41"/>
      <c r="H92" s="41"/>
      <c r="I92" s="41"/>
      <c r="K92" s="41"/>
      <c r="L92" s="64"/>
      <c r="M92" s="79"/>
    </row>
    <row r="93" spans="3:13" ht="13">
      <c r="C93" s="63"/>
      <c r="E93" s="41"/>
      <c r="F93" s="41"/>
      <c r="G93" s="41"/>
      <c r="H93" s="41"/>
      <c r="I93" s="41"/>
      <c r="K93" s="41"/>
      <c r="L93" s="64"/>
      <c r="M93" s="79"/>
    </row>
    <row r="94" spans="3:13" ht="13">
      <c r="C94" s="63"/>
      <c r="E94" s="41"/>
      <c r="F94" s="41"/>
      <c r="G94" s="41"/>
      <c r="H94" s="41"/>
      <c r="I94" s="41"/>
      <c r="K94" s="41"/>
      <c r="L94" s="64"/>
      <c r="M94" s="79"/>
    </row>
    <row r="95" spans="3:13" ht="13">
      <c r="C95" s="63"/>
      <c r="E95" s="41"/>
      <c r="F95" s="41"/>
      <c r="G95" s="41"/>
      <c r="H95" s="41"/>
      <c r="I95" s="41"/>
      <c r="K95" s="41"/>
      <c r="L95" s="64"/>
      <c r="M95" s="79"/>
    </row>
    <row r="96" spans="3:13" ht="13">
      <c r="C96" s="63"/>
      <c r="E96" s="41"/>
      <c r="F96" s="41"/>
      <c r="G96" s="41"/>
      <c r="H96" s="41"/>
      <c r="I96" s="41"/>
      <c r="K96" s="41"/>
      <c r="L96" s="64"/>
      <c r="M96" s="79"/>
    </row>
    <row r="97" spans="3:13" ht="13">
      <c r="C97" s="63"/>
      <c r="E97" s="41"/>
      <c r="F97" s="41"/>
      <c r="G97" s="41"/>
      <c r="H97" s="41"/>
      <c r="I97" s="41"/>
      <c r="K97" s="41"/>
      <c r="L97" s="64"/>
      <c r="M97" s="79"/>
    </row>
    <row r="98" spans="3:13" ht="13">
      <c r="C98" s="63"/>
      <c r="E98" s="41"/>
      <c r="F98" s="41"/>
      <c r="G98" s="41"/>
      <c r="H98" s="41"/>
      <c r="I98" s="41"/>
      <c r="K98" s="41"/>
      <c r="L98" s="64"/>
      <c r="M98" s="79"/>
    </row>
    <row r="99" spans="3:13" ht="13">
      <c r="C99" s="63"/>
      <c r="E99" s="41"/>
      <c r="F99" s="41"/>
      <c r="G99" s="41"/>
      <c r="H99" s="41"/>
      <c r="I99" s="41"/>
      <c r="K99" s="41"/>
      <c r="L99" s="64"/>
      <c r="M99" s="79"/>
    </row>
    <row r="100" spans="3:13" ht="13">
      <c r="C100" s="63"/>
      <c r="E100" s="41"/>
      <c r="F100" s="41"/>
      <c r="G100" s="41"/>
      <c r="H100" s="41"/>
      <c r="I100" s="41"/>
      <c r="K100" s="41"/>
      <c r="L100" s="64"/>
      <c r="M100" s="79"/>
    </row>
    <row r="101" spans="3:13" ht="13">
      <c r="C101" s="63"/>
      <c r="E101" s="41"/>
      <c r="F101" s="41"/>
      <c r="G101" s="41"/>
      <c r="H101" s="41"/>
      <c r="I101" s="41"/>
      <c r="K101" s="41"/>
      <c r="L101" s="64"/>
      <c r="M101" s="79"/>
    </row>
    <row r="102" spans="3:13" ht="13">
      <c r="C102" s="63"/>
      <c r="E102" s="41"/>
      <c r="F102" s="41"/>
      <c r="G102" s="41"/>
      <c r="H102" s="41"/>
      <c r="I102" s="41"/>
      <c r="K102" s="41"/>
      <c r="L102" s="64"/>
      <c r="M102" s="79"/>
    </row>
    <row r="103" spans="3:13" ht="13">
      <c r="C103" s="63"/>
      <c r="E103" s="41"/>
      <c r="F103" s="41"/>
      <c r="G103" s="41"/>
      <c r="H103" s="41"/>
      <c r="I103" s="41"/>
      <c r="K103" s="41"/>
      <c r="L103" s="64"/>
      <c r="M103" s="79"/>
    </row>
    <row r="104" spans="3:13" ht="13">
      <c r="C104" s="63"/>
      <c r="E104" s="41"/>
      <c r="F104" s="41"/>
      <c r="G104" s="41"/>
      <c r="H104" s="41"/>
      <c r="I104" s="41"/>
      <c r="K104" s="41"/>
      <c r="L104" s="64"/>
      <c r="M104" s="79"/>
    </row>
    <row r="105" spans="3:13" ht="13">
      <c r="C105" s="63"/>
      <c r="E105" s="41"/>
      <c r="F105" s="41"/>
      <c r="G105" s="41"/>
      <c r="H105" s="41"/>
      <c r="I105" s="41"/>
      <c r="K105" s="41"/>
      <c r="L105" s="64"/>
      <c r="M105" s="79"/>
    </row>
    <row r="106" spans="3:13" ht="13">
      <c r="C106" s="63"/>
      <c r="E106" s="41"/>
      <c r="F106" s="41"/>
      <c r="G106" s="41"/>
      <c r="H106" s="41"/>
      <c r="I106" s="41"/>
      <c r="K106" s="41"/>
      <c r="L106" s="64"/>
      <c r="M106" s="79"/>
    </row>
    <row r="107" spans="3:13" ht="13">
      <c r="C107" s="63"/>
      <c r="E107" s="41"/>
      <c r="F107" s="41"/>
      <c r="G107" s="41"/>
      <c r="H107" s="41"/>
      <c r="I107" s="41"/>
      <c r="K107" s="41"/>
      <c r="L107" s="64"/>
      <c r="M107" s="79"/>
    </row>
    <row r="108" spans="3:13" ht="13">
      <c r="C108" s="63"/>
      <c r="E108" s="41"/>
      <c r="F108" s="41"/>
      <c r="G108" s="41"/>
      <c r="H108" s="41"/>
      <c r="I108" s="41"/>
      <c r="K108" s="41"/>
      <c r="L108" s="64"/>
      <c r="M108" s="79"/>
    </row>
    <row r="109" spans="3:13" ht="13">
      <c r="C109" s="63"/>
      <c r="E109" s="41"/>
      <c r="F109" s="41"/>
      <c r="G109" s="41"/>
      <c r="H109" s="41"/>
      <c r="I109" s="41"/>
      <c r="K109" s="41"/>
      <c r="L109" s="64"/>
      <c r="M109" s="79"/>
    </row>
    <row r="110" spans="3:13" ht="13">
      <c r="C110" s="63"/>
      <c r="E110" s="41"/>
      <c r="F110" s="41"/>
      <c r="G110" s="41"/>
      <c r="H110" s="41"/>
      <c r="I110" s="41"/>
      <c r="K110" s="41"/>
      <c r="L110" s="64"/>
      <c r="M110" s="79"/>
    </row>
    <row r="111" spans="3:13" ht="13">
      <c r="C111" s="63"/>
      <c r="E111" s="41"/>
      <c r="F111" s="41"/>
      <c r="G111" s="41"/>
      <c r="H111" s="41"/>
      <c r="I111" s="41"/>
      <c r="K111" s="41"/>
      <c r="L111" s="64"/>
      <c r="M111" s="79"/>
    </row>
    <row r="112" spans="3:13" ht="13">
      <c r="C112" s="63"/>
      <c r="E112" s="41"/>
      <c r="F112" s="41"/>
      <c r="G112" s="41"/>
      <c r="H112" s="41"/>
      <c r="I112" s="41"/>
      <c r="K112" s="41"/>
      <c r="L112" s="64"/>
      <c r="M112" s="79"/>
    </row>
    <row r="113" spans="3:13" ht="13">
      <c r="C113" s="63"/>
      <c r="E113" s="41"/>
      <c r="F113" s="41"/>
      <c r="G113" s="41"/>
      <c r="H113" s="41"/>
      <c r="I113" s="41"/>
      <c r="K113" s="41"/>
      <c r="L113" s="64"/>
      <c r="M113" s="79"/>
    </row>
    <row r="114" spans="3:13" ht="13">
      <c r="C114" s="63"/>
      <c r="E114" s="41"/>
      <c r="F114" s="41"/>
      <c r="G114" s="41"/>
      <c r="H114" s="41"/>
      <c r="I114" s="41"/>
      <c r="K114" s="41"/>
      <c r="L114" s="64"/>
      <c r="M114" s="79"/>
    </row>
    <row r="115" spans="3:13" ht="13">
      <c r="C115" s="63"/>
      <c r="E115" s="41"/>
      <c r="F115" s="41"/>
      <c r="G115" s="41"/>
      <c r="H115" s="41"/>
      <c r="I115" s="41"/>
      <c r="K115" s="41"/>
      <c r="L115" s="64"/>
      <c r="M115" s="79"/>
    </row>
    <row r="116" spans="3:13" ht="13">
      <c r="C116" s="63"/>
      <c r="E116" s="41"/>
      <c r="F116" s="41"/>
      <c r="G116" s="41"/>
      <c r="H116" s="41"/>
      <c r="I116" s="41"/>
      <c r="K116" s="41"/>
      <c r="L116" s="64"/>
      <c r="M116" s="79"/>
    </row>
    <row r="117" spans="3:13" ht="13">
      <c r="C117" s="63"/>
      <c r="E117" s="41"/>
      <c r="F117" s="41"/>
      <c r="G117" s="41"/>
      <c r="H117" s="41"/>
      <c r="I117" s="41"/>
      <c r="K117" s="41"/>
      <c r="L117" s="64"/>
      <c r="M117" s="79"/>
    </row>
    <row r="118" spans="3:13" ht="13">
      <c r="C118" s="63"/>
      <c r="E118" s="41"/>
      <c r="F118" s="41"/>
      <c r="G118" s="41"/>
      <c r="H118" s="41"/>
      <c r="I118" s="41"/>
      <c r="K118" s="41"/>
      <c r="L118" s="64"/>
      <c r="M118" s="79"/>
    </row>
    <row r="119" spans="3:13" ht="13">
      <c r="C119" s="63"/>
      <c r="E119" s="41"/>
      <c r="F119" s="41"/>
      <c r="G119" s="41"/>
      <c r="H119" s="41"/>
      <c r="I119" s="41"/>
      <c r="K119" s="41"/>
      <c r="L119" s="64"/>
      <c r="M119" s="79"/>
    </row>
    <row r="120" spans="3:13" ht="13">
      <c r="C120" s="63"/>
      <c r="E120" s="41"/>
      <c r="F120" s="41"/>
      <c r="G120" s="41"/>
      <c r="H120" s="41"/>
      <c r="I120" s="41"/>
      <c r="K120" s="41"/>
      <c r="L120" s="64"/>
      <c r="M120" s="79"/>
    </row>
    <row r="121" spans="3:13" ht="13">
      <c r="C121" s="63"/>
      <c r="E121" s="41"/>
      <c r="F121" s="41"/>
      <c r="G121" s="41"/>
      <c r="H121" s="41"/>
      <c r="I121" s="41"/>
      <c r="K121" s="41"/>
      <c r="L121" s="64"/>
      <c r="M121" s="79"/>
    </row>
    <row r="122" spans="3:13" ht="13">
      <c r="C122" s="63"/>
      <c r="E122" s="41"/>
      <c r="F122" s="41"/>
      <c r="G122" s="41"/>
      <c r="H122" s="41"/>
      <c r="I122" s="41"/>
      <c r="K122" s="41"/>
      <c r="L122" s="64"/>
      <c r="M122" s="79"/>
    </row>
    <row r="123" spans="3:13" ht="13">
      <c r="C123" s="63"/>
      <c r="E123" s="41"/>
      <c r="F123" s="41"/>
      <c r="G123" s="41"/>
      <c r="H123" s="41"/>
      <c r="I123" s="41"/>
      <c r="K123" s="41"/>
      <c r="L123" s="64"/>
      <c r="M123" s="79"/>
    </row>
    <row r="124" spans="3:13" ht="13">
      <c r="C124" s="63"/>
      <c r="E124" s="41"/>
      <c r="F124" s="41"/>
      <c r="G124" s="41"/>
      <c r="H124" s="41"/>
      <c r="I124" s="41"/>
      <c r="K124" s="41"/>
      <c r="L124" s="64"/>
      <c r="M124" s="79"/>
    </row>
    <row r="125" spans="3:13" ht="13">
      <c r="C125" s="63"/>
      <c r="E125" s="41"/>
      <c r="F125" s="41"/>
      <c r="G125" s="41"/>
      <c r="H125" s="41"/>
      <c r="I125" s="41"/>
      <c r="K125" s="41"/>
      <c r="L125" s="64"/>
      <c r="M125" s="79"/>
    </row>
    <row r="126" spans="3:13" ht="13">
      <c r="C126" s="63"/>
      <c r="E126" s="41"/>
      <c r="F126" s="41"/>
      <c r="G126" s="41"/>
      <c r="H126" s="41"/>
      <c r="I126" s="41"/>
      <c r="K126" s="41"/>
      <c r="L126" s="64"/>
      <c r="M126" s="79"/>
    </row>
    <row r="127" spans="3:13" ht="13">
      <c r="C127" s="63"/>
      <c r="E127" s="41"/>
      <c r="F127" s="41"/>
      <c r="G127" s="41"/>
      <c r="H127" s="41"/>
      <c r="I127" s="41"/>
      <c r="K127" s="41"/>
      <c r="L127" s="64"/>
      <c r="M127" s="79"/>
    </row>
    <row r="128" spans="3:13" ht="13">
      <c r="C128" s="63"/>
      <c r="E128" s="41"/>
      <c r="F128" s="41"/>
      <c r="G128" s="41"/>
      <c r="H128" s="41"/>
      <c r="I128" s="41"/>
      <c r="K128" s="41"/>
      <c r="L128" s="64"/>
      <c r="M128" s="79"/>
    </row>
    <row r="129" spans="3:13" ht="13">
      <c r="C129" s="63"/>
      <c r="E129" s="41"/>
      <c r="F129" s="41"/>
      <c r="G129" s="41"/>
      <c r="H129" s="41"/>
      <c r="I129" s="41"/>
      <c r="K129" s="41"/>
      <c r="L129" s="64"/>
      <c r="M129" s="79"/>
    </row>
    <row r="130" spans="3:13" ht="13">
      <c r="C130" s="63"/>
      <c r="E130" s="41"/>
      <c r="F130" s="41"/>
      <c r="G130" s="41"/>
      <c r="H130" s="41"/>
      <c r="I130" s="41"/>
      <c r="K130" s="41"/>
      <c r="L130" s="64"/>
      <c r="M130" s="79"/>
    </row>
    <row r="131" spans="3:13" ht="13">
      <c r="C131" s="63"/>
      <c r="E131" s="41"/>
      <c r="F131" s="41"/>
      <c r="G131" s="41"/>
      <c r="H131" s="41"/>
      <c r="I131" s="41"/>
      <c r="K131" s="41"/>
      <c r="L131" s="64"/>
      <c r="M131" s="79"/>
    </row>
    <row r="132" spans="3:13" ht="13">
      <c r="C132" s="63"/>
      <c r="E132" s="41"/>
      <c r="F132" s="41"/>
      <c r="G132" s="41"/>
      <c r="H132" s="41"/>
      <c r="I132" s="41"/>
      <c r="K132" s="41"/>
      <c r="L132" s="64"/>
      <c r="M132" s="79"/>
    </row>
    <row r="133" spans="3:13" ht="13">
      <c r="C133" s="63"/>
      <c r="E133" s="41"/>
      <c r="F133" s="41"/>
      <c r="G133" s="41"/>
      <c r="H133" s="41"/>
      <c r="I133" s="41"/>
      <c r="K133" s="41"/>
      <c r="L133" s="64"/>
      <c r="M133" s="79"/>
    </row>
    <row r="134" spans="3:13" ht="13">
      <c r="C134" s="63"/>
      <c r="E134" s="41"/>
      <c r="F134" s="41"/>
      <c r="G134" s="41"/>
      <c r="H134" s="41"/>
      <c r="I134" s="41"/>
      <c r="K134" s="41"/>
      <c r="L134" s="64"/>
      <c r="M134" s="79"/>
    </row>
    <row r="135" spans="3:13" ht="13">
      <c r="C135" s="63"/>
      <c r="E135" s="41"/>
      <c r="F135" s="41"/>
      <c r="G135" s="41"/>
      <c r="H135" s="41"/>
      <c r="I135" s="41"/>
      <c r="K135" s="41"/>
      <c r="L135" s="64"/>
      <c r="M135" s="79"/>
    </row>
    <row r="136" spans="3:13" ht="13">
      <c r="C136" s="63"/>
      <c r="E136" s="41"/>
      <c r="F136" s="41"/>
      <c r="G136" s="41"/>
      <c r="H136" s="41"/>
      <c r="I136" s="41"/>
      <c r="K136" s="41"/>
      <c r="L136" s="64"/>
      <c r="M136" s="79"/>
    </row>
    <row r="137" spans="3:13" ht="13">
      <c r="C137" s="63"/>
      <c r="E137" s="41"/>
      <c r="F137" s="41"/>
      <c r="G137" s="41"/>
      <c r="H137" s="41"/>
      <c r="I137" s="41"/>
      <c r="K137" s="41"/>
      <c r="L137" s="64"/>
      <c r="M137" s="79"/>
    </row>
    <row r="138" spans="3:13" ht="13">
      <c r="C138" s="63"/>
      <c r="E138" s="41"/>
      <c r="F138" s="41"/>
      <c r="G138" s="41"/>
      <c r="H138" s="41"/>
      <c r="I138" s="41"/>
      <c r="K138" s="41"/>
      <c r="L138" s="64"/>
      <c r="M138" s="79"/>
    </row>
    <row r="139" spans="3:13" ht="13">
      <c r="C139" s="63"/>
      <c r="E139" s="41"/>
      <c r="F139" s="41"/>
      <c r="G139" s="41"/>
      <c r="H139" s="41"/>
      <c r="I139" s="41"/>
      <c r="K139" s="41"/>
      <c r="L139" s="64"/>
      <c r="M139" s="79"/>
    </row>
    <row r="140" spans="3:13" ht="13">
      <c r="C140" s="63"/>
      <c r="E140" s="41"/>
      <c r="F140" s="41"/>
      <c r="G140" s="41"/>
      <c r="H140" s="41"/>
      <c r="I140" s="41"/>
      <c r="K140" s="41"/>
      <c r="L140" s="64"/>
      <c r="M140" s="79"/>
    </row>
    <row r="141" spans="3:13" ht="13">
      <c r="C141" s="63"/>
      <c r="E141" s="41"/>
      <c r="F141" s="41"/>
      <c r="G141" s="41"/>
      <c r="H141" s="41"/>
      <c r="I141" s="41"/>
      <c r="K141" s="41"/>
      <c r="L141" s="64"/>
      <c r="M141" s="79"/>
    </row>
    <row r="142" spans="3:13" ht="13">
      <c r="C142" s="63"/>
      <c r="E142" s="41"/>
      <c r="F142" s="41"/>
      <c r="G142" s="41"/>
      <c r="H142" s="41"/>
      <c r="I142" s="41"/>
      <c r="K142" s="41"/>
      <c r="L142" s="64"/>
      <c r="M142" s="79"/>
    </row>
    <row r="143" spans="3:13" ht="13">
      <c r="C143" s="63"/>
      <c r="E143" s="41"/>
      <c r="F143" s="41"/>
      <c r="G143" s="41"/>
      <c r="H143" s="41"/>
      <c r="I143" s="41"/>
      <c r="K143" s="41"/>
      <c r="L143" s="64"/>
      <c r="M143" s="79"/>
    </row>
    <row r="144" spans="3:13" ht="13">
      <c r="C144" s="63"/>
      <c r="E144" s="41"/>
      <c r="F144" s="41"/>
      <c r="G144" s="41"/>
      <c r="H144" s="41"/>
      <c r="I144" s="41"/>
      <c r="K144" s="41"/>
      <c r="L144" s="64"/>
      <c r="M144" s="79"/>
    </row>
    <row r="145" spans="3:13" ht="13">
      <c r="C145" s="63"/>
      <c r="E145" s="41"/>
      <c r="F145" s="41"/>
      <c r="G145" s="41"/>
      <c r="H145" s="41"/>
      <c r="I145" s="41"/>
      <c r="K145" s="41"/>
      <c r="L145" s="64"/>
      <c r="M145" s="79"/>
    </row>
    <row r="146" spans="3:13" ht="13">
      <c r="C146" s="63"/>
      <c r="E146" s="41"/>
      <c r="F146" s="41"/>
      <c r="G146" s="41"/>
      <c r="H146" s="41"/>
      <c r="I146" s="41"/>
      <c r="K146" s="41"/>
      <c r="L146" s="64"/>
      <c r="M146" s="79"/>
    </row>
    <row r="147" spans="3:13" ht="13">
      <c r="C147" s="63"/>
      <c r="E147" s="41"/>
      <c r="F147" s="41"/>
      <c r="G147" s="41"/>
      <c r="H147" s="41"/>
      <c r="I147" s="41"/>
      <c r="K147" s="41"/>
      <c r="L147" s="64"/>
      <c r="M147" s="79"/>
    </row>
    <row r="148" spans="3:13" ht="13">
      <c r="C148" s="63"/>
      <c r="E148" s="41"/>
      <c r="F148" s="41"/>
      <c r="G148" s="41"/>
      <c r="H148" s="41"/>
      <c r="I148" s="41"/>
      <c r="K148" s="41"/>
      <c r="L148" s="64"/>
      <c r="M148" s="79"/>
    </row>
    <row r="149" spans="3:13" ht="13">
      <c r="C149" s="63"/>
      <c r="E149" s="41"/>
      <c r="F149" s="41"/>
      <c r="G149" s="41"/>
      <c r="H149" s="41"/>
      <c r="I149" s="41"/>
      <c r="K149" s="41"/>
      <c r="L149" s="64"/>
      <c r="M149" s="79"/>
    </row>
    <row r="150" spans="3:13" ht="13">
      <c r="C150" s="63"/>
      <c r="E150" s="41"/>
      <c r="F150" s="41"/>
      <c r="G150" s="41"/>
      <c r="H150" s="41"/>
      <c r="I150" s="41"/>
      <c r="K150" s="41"/>
      <c r="L150" s="64"/>
      <c r="M150" s="79"/>
    </row>
    <row r="151" spans="3:13" ht="13">
      <c r="C151" s="63"/>
      <c r="E151" s="41"/>
      <c r="F151" s="41"/>
      <c r="G151" s="41"/>
      <c r="H151" s="41"/>
      <c r="I151" s="41"/>
      <c r="K151" s="41"/>
      <c r="L151" s="64"/>
      <c r="M151" s="79"/>
    </row>
    <row r="152" spans="3:13" ht="13">
      <c r="C152" s="63"/>
      <c r="E152" s="41"/>
      <c r="F152" s="41"/>
      <c r="G152" s="41"/>
      <c r="H152" s="41"/>
      <c r="I152" s="41"/>
      <c r="K152" s="41"/>
      <c r="L152" s="64"/>
      <c r="M152" s="79"/>
    </row>
    <row r="153" spans="3:13" ht="13">
      <c r="C153" s="63"/>
      <c r="E153" s="41"/>
      <c r="F153" s="41"/>
      <c r="G153" s="41"/>
      <c r="H153" s="41"/>
      <c r="I153" s="41"/>
      <c r="K153" s="41"/>
      <c r="L153" s="64"/>
      <c r="M153" s="79"/>
    </row>
    <row r="154" spans="3:13" ht="13">
      <c r="C154" s="63"/>
      <c r="E154" s="41"/>
      <c r="F154" s="41"/>
      <c r="G154" s="41"/>
      <c r="H154" s="41"/>
      <c r="I154" s="41"/>
      <c r="K154" s="41"/>
      <c r="L154" s="64"/>
      <c r="M154" s="79"/>
    </row>
    <row r="155" spans="3:13" ht="13">
      <c r="C155" s="63"/>
      <c r="E155" s="41"/>
      <c r="F155" s="41"/>
      <c r="G155" s="41"/>
      <c r="H155" s="41"/>
      <c r="I155" s="41"/>
      <c r="K155" s="41"/>
      <c r="L155" s="64"/>
      <c r="M155" s="79"/>
    </row>
    <row r="156" spans="3:13" ht="13">
      <c r="C156" s="63"/>
      <c r="E156" s="41"/>
      <c r="F156" s="41"/>
      <c r="G156" s="41"/>
      <c r="H156" s="41"/>
      <c r="I156" s="41"/>
      <c r="K156" s="41"/>
      <c r="L156" s="64"/>
      <c r="M156" s="79"/>
    </row>
    <row r="157" spans="3:13" ht="13">
      <c r="C157" s="63"/>
      <c r="E157" s="41"/>
      <c r="F157" s="41"/>
      <c r="G157" s="41"/>
      <c r="H157" s="41"/>
      <c r="I157" s="41"/>
      <c r="K157" s="41"/>
      <c r="L157" s="64"/>
      <c r="M157" s="79"/>
    </row>
    <row r="158" spans="3:13" ht="13">
      <c r="C158" s="63"/>
      <c r="E158" s="41"/>
      <c r="F158" s="41"/>
      <c r="G158" s="41"/>
      <c r="H158" s="41"/>
      <c r="I158" s="41"/>
      <c r="K158" s="41"/>
      <c r="L158" s="64"/>
      <c r="M158" s="79"/>
    </row>
    <row r="159" spans="3:13" ht="13">
      <c r="C159" s="63"/>
      <c r="E159" s="41"/>
      <c r="F159" s="41"/>
      <c r="G159" s="41"/>
      <c r="H159" s="41"/>
      <c r="I159" s="41"/>
      <c r="K159" s="41"/>
      <c r="L159" s="64"/>
      <c r="M159" s="79"/>
    </row>
    <row r="160" spans="3:13" ht="13">
      <c r="C160" s="63"/>
      <c r="E160" s="41"/>
      <c r="F160" s="41"/>
      <c r="G160" s="41"/>
      <c r="H160" s="41"/>
      <c r="I160" s="41"/>
      <c r="K160" s="41"/>
      <c r="L160" s="64"/>
      <c r="M160" s="79"/>
    </row>
    <row r="161" spans="3:13" ht="13">
      <c r="C161" s="63"/>
      <c r="E161" s="41"/>
      <c r="F161" s="41"/>
      <c r="G161" s="41"/>
      <c r="H161" s="41"/>
      <c r="I161" s="41"/>
      <c r="K161" s="41"/>
      <c r="L161" s="64"/>
      <c r="M161" s="79"/>
    </row>
    <row r="162" spans="3:13" ht="13">
      <c r="C162" s="63"/>
      <c r="E162" s="41"/>
      <c r="F162" s="41"/>
      <c r="G162" s="41"/>
      <c r="H162" s="41"/>
      <c r="I162" s="41"/>
      <c r="K162" s="41"/>
      <c r="L162" s="64"/>
      <c r="M162" s="79"/>
    </row>
    <row r="163" spans="3:13" ht="13">
      <c r="C163" s="63"/>
      <c r="E163" s="41"/>
      <c r="F163" s="41"/>
      <c r="G163" s="41"/>
      <c r="H163" s="41"/>
      <c r="I163" s="41"/>
      <c r="K163" s="41"/>
      <c r="L163" s="64"/>
      <c r="M163" s="79"/>
    </row>
    <row r="164" spans="3:13" ht="13">
      <c r="C164" s="63"/>
      <c r="E164" s="41"/>
      <c r="F164" s="41"/>
      <c r="G164" s="41"/>
      <c r="H164" s="41"/>
      <c r="I164" s="41"/>
      <c r="K164" s="41"/>
      <c r="L164" s="64"/>
      <c r="M164" s="79"/>
    </row>
    <row r="165" spans="3:13" ht="13">
      <c r="C165" s="63"/>
      <c r="E165" s="41"/>
      <c r="F165" s="41"/>
      <c r="G165" s="41"/>
      <c r="H165" s="41"/>
      <c r="I165" s="41"/>
      <c r="K165" s="41"/>
      <c r="L165" s="64"/>
      <c r="M165" s="79"/>
    </row>
    <row r="166" spans="3:13" ht="13">
      <c r="C166" s="63"/>
      <c r="E166" s="41"/>
      <c r="F166" s="41"/>
      <c r="G166" s="41"/>
      <c r="H166" s="41"/>
      <c r="I166" s="41"/>
      <c r="K166" s="41"/>
      <c r="L166" s="64"/>
      <c r="M166" s="79"/>
    </row>
    <row r="167" spans="3:13" ht="13">
      <c r="C167" s="63"/>
      <c r="E167" s="41"/>
      <c r="F167" s="41"/>
      <c r="G167" s="41"/>
      <c r="H167" s="41"/>
      <c r="I167" s="41"/>
      <c r="K167" s="41"/>
      <c r="L167" s="64"/>
      <c r="M167" s="79"/>
    </row>
    <row r="168" spans="3:13" ht="13">
      <c r="C168" s="63"/>
      <c r="E168" s="41"/>
      <c r="F168" s="41"/>
      <c r="G168" s="41"/>
      <c r="H168" s="41"/>
      <c r="I168" s="41"/>
      <c r="K168" s="41"/>
      <c r="L168" s="64"/>
      <c r="M168" s="79"/>
    </row>
    <row r="169" spans="3:13" ht="13">
      <c r="C169" s="63"/>
      <c r="E169" s="41"/>
      <c r="F169" s="41"/>
      <c r="G169" s="41"/>
      <c r="H169" s="41"/>
      <c r="I169" s="41"/>
      <c r="K169" s="41"/>
      <c r="L169" s="64"/>
      <c r="M169" s="79"/>
    </row>
    <row r="170" spans="3:13" ht="13">
      <c r="C170" s="63"/>
      <c r="E170" s="41"/>
      <c r="F170" s="41"/>
      <c r="G170" s="41"/>
      <c r="H170" s="41"/>
      <c r="I170" s="41"/>
      <c r="K170" s="41"/>
      <c r="L170" s="64"/>
      <c r="M170" s="79"/>
    </row>
    <row r="171" spans="3:13" ht="13">
      <c r="C171" s="63"/>
      <c r="E171" s="41"/>
      <c r="F171" s="41"/>
      <c r="G171" s="41"/>
      <c r="H171" s="41"/>
      <c r="I171" s="41"/>
      <c r="K171" s="41"/>
      <c r="L171" s="64"/>
      <c r="M171" s="79"/>
    </row>
    <row r="172" spans="3:13" ht="13">
      <c r="C172" s="63"/>
      <c r="E172" s="41"/>
      <c r="F172" s="41"/>
      <c r="G172" s="41"/>
      <c r="H172" s="41"/>
      <c r="I172" s="41"/>
      <c r="K172" s="41"/>
      <c r="L172" s="64"/>
      <c r="M172" s="79"/>
    </row>
    <row r="173" spans="3:13" ht="13">
      <c r="C173" s="63"/>
      <c r="E173" s="41"/>
      <c r="F173" s="41"/>
      <c r="G173" s="41"/>
      <c r="H173" s="41"/>
      <c r="I173" s="41"/>
      <c r="K173" s="41"/>
      <c r="L173" s="64"/>
      <c r="M173" s="79"/>
    </row>
    <row r="174" spans="3:13" ht="13">
      <c r="C174" s="63"/>
      <c r="E174" s="41"/>
      <c r="F174" s="41"/>
      <c r="G174" s="41"/>
      <c r="H174" s="41"/>
      <c r="I174" s="41"/>
      <c r="K174" s="41"/>
      <c r="L174" s="64"/>
      <c r="M174" s="79"/>
    </row>
    <row r="175" spans="3:13" ht="13">
      <c r="C175" s="63"/>
      <c r="E175" s="41"/>
      <c r="F175" s="41"/>
      <c r="G175" s="41"/>
      <c r="H175" s="41"/>
      <c r="I175" s="41"/>
      <c r="K175" s="41"/>
      <c r="L175" s="64"/>
      <c r="M175" s="79"/>
    </row>
    <row r="176" spans="3:13" ht="13">
      <c r="C176" s="63"/>
      <c r="E176" s="41"/>
      <c r="F176" s="41"/>
      <c r="G176" s="41"/>
      <c r="H176" s="41"/>
      <c r="I176" s="41"/>
      <c r="K176" s="41"/>
      <c r="L176" s="64"/>
      <c r="M176" s="79"/>
    </row>
    <row r="177" spans="3:13" ht="13">
      <c r="C177" s="63"/>
      <c r="E177" s="41"/>
      <c r="F177" s="41"/>
      <c r="G177" s="41"/>
      <c r="H177" s="41"/>
      <c r="I177" s="41"/>
      <c r="K177" s="41"/>
      <c r="L177" s="64"/>
      <c r="M177" s="79"/>
    </row>
    <row r="178" spans="3:13" ht="13">
      <c r="C178" s="63"/>
      <c r="E178" s="41"/>
      <c r="F178" s="41"/>
      <c r="G178" s="41"/>
      <c r="H178" s="41"/>
      <c r="I178" s="41"/>
      <c r="K178" s="41"/>
      <c r="L178" s="64"/>
      <c r="M178" s="79"/>
    </row>
    <row r="179" spans="3:13" ht="13">
      <c r="C179" s="63"/>
      <c r="E179" s="41"/>
      <c r="F179" s="41"/>
      <c r="G179" s="41"/>
      <c r="H179" s="41"/>
      <c r="I179" s="41"/>
      <c r="K179" s="41"/>
      <c r="L179" s="64"/>
      <c r="M179" s="79"/>
    </row>
    <row r="180" spans="3:13" ht="13">
      <c r="C180" s="63"/>
      <c r="E180" s="41"/>
      <c r="F180" s="41"/>
      <c r="G180" s="41"/>
      <c r="H180" s="41"/>
      <c r="I180" s="41"/>
      <c r="K180" s="41"/>
      <c r="L180" s="64"/>
      <c r="M180" s="79"/>
    </row>
    <row r="181" spans="3:13" ht="13">
      <c r="C181" s="63"/>
      <c r="E181" s="41"/>
      <c r="F181" s="41"/>
      <c r="G181" s="41"/>
      <c r="H181" s="41"/>
      <c r="I181" s="41"/>
      <c r="K181" s="41"/>
      <c r="L181" s="64"/>
      <c r="M181" s="79"/>
    </row>
    <row r="182" spans="3:13" ht="13">
      <c r="C182" s="63"/>
      <c r="E182" s="41"/>
      <c r="F182" s="41"/>
      <c r="G182" s="41"/>
      <c r="H182" s="41"/>
      <c r="I182" s="41"/>
      <c r="K182" s="41"/>
      <c r="L182" s="64"/>
      <c r="M182" s="79"/>
    </row>
    <row r="183" spans="3:13" ht="13">
      <c r="C183" s="63"/>
      <c r="E183" s="41"/>
      <c r="F183" s="41"/>
      <c r="G183" s="41"/>
      <c r="H183" s="41"/>
      <c r="I183" s="41"/>
      <c r="K183" s="41"/>
      <c r="L183" s="64"/>
      <c r="M183" s="79"/>
    </row>
    <row r="184" spans="3:13" ht="13">
      <c r="C184" s="63"/>
      <c r="E184" s="41"/>
      <c r="F184" s="41"/>
      <c r="G184" s="41"/>
      <c r="H184" s="41"/>
      <c r="I184" s="41"/>
      <c r="K184" s="41"/>
      <c r="L184" s="64"/>
      <c r="M184" s="79"/>
    </row>
    <row r="185" spans="3:13" ht="13">
      <c r="C185" s="63"/>
      <c r="E185" s="41"/>
      <c r="F185" s="41"/>
      <c r="G185" s="41"/>
      <c r="H185" s="41"/>
      <c r="I185" s="41"/>
      <c r="K185" s="41"/>
      <c r="L185" s="64"/>
      <c r="M185" s="79"/>
    </row>
    <row r="186" spans="3:13" ht="13">
      <c r="C186" s="63"/>
      <c r="E186" s="41"/>
      <c r="F186" s="41"/>
      <c r="G186" s="41"/>
      <c r="H186" s="41"/>
      <c r="I186" s="41"/>
      <c r="K186" s="41"/>
      <c r="L186" s="64"/>
      <c r="M186" s="79"/>
    </row>
    <row r="187" spans="3:13" ht="13">
      <c r="C187" s="63"/>
      <c r="E187" s="41"/>
      <c r="F187" s="41"/>
      <c r="G187" s="41"/>
      <c r="H187" s="41"/>
      <c r="I187" s="41"/>
      <c r="K187" s="41"/>
      <c r="L187" s="64"/>
      <c r="M187" s="79"/>
    </row>
    <row r="188" spans="3:13" ht="13">
      <c r="C188" s="63"/>
      <c r="E188" s="41"/>
      <c r="F188" s="41"/>
      <c r="G188" s="41"/>
      <c r="H188" s="41"/>
      <c r="I188" s="41"/>
      <c r="K188" s="41"/>
      <c r="L188" s="64"/>
      <c r="M188" s="79"/>
    </row>
    <row r="189" spans="3:13" ht="13">
      <c r="C189" s="63"/>
      <c r="E189" s="41"/>
      <c r="F189" s="41"/>
      <c r="G189" s="41"/>
      <c r="H189" s="41"/>
      <c r="I189" s="41"/>
      <c r="K189" s="41"/>
      <c r="L189" s="64"/>
      <c r="M189" s="79"/>
    </row>
    <row r="190" spans="3:13" ht="13">
      <c r="C190" s="63"/>
      <c r="E190" s="41"/>
      <c r="F190" s="41"/>
      <c r="G190" s="41"/>
      <c r="H190" s="41"/>
      <c r="I190" s="41"/>
      <c r="K190" s="41"/>
      <c r="L190" s="64"/>
      <c r="M190" s="79"/>
    </row>
    <row r="191" spans="3:13" ht="13">
      <c r="C191" s="63"/>
      <c r="E191" s="41"/>
      <c r="F191" s="41"/>
      <c r="G191" s="41"/>
      <c r="H191" s="41"/>
      <c r="I191" s="41"/>
      <c r="K191" s="41"/>
      <c r="L191" s="64"/>
      <c r="M191" s="79"/>
    </row>
    <row r="192" spans="3:13" ht="13">
      <c r="C192" s="63"/>
      <c r="E192" s="41"/>
      <c r="F192" s="41"/>
      <c r="G192" s="41"/>
      <c r="H192" s="41"/>
      <c r="I192" s="41"/>
      <c r="K192" s="41"/>
      <c r="L192" s="64"/>
      <c r="M192" s="79"/>
    </row>
    <row r="193" spans="3:13" ht="13">
      <c r="C193" s="63"/>
      <c r="E193" s="41"/>
      <c r="F193" s="41"/>
      <c r="G193" s="41"/>
      <c r="H193" s="41"/>
      <c r="I193" s="41"/>
      <c r="K193" s="41"/>
      <c r="L193" s="64"/>
      <c r="M193" s="79"/>
    </row>
    <row r="194" spans="3:13" ht="13">
      <c r="C194" s="63"/>
      <c r="E194" s="41"/>
      <c r="F194" s="41"/>
      <c r="G194" s="41"/>
      <c r="H194" s="41"/>
      <c r="I194" s="41"/>
      <c r="K194" s="41"/>
      <c r="L194" s="64"/>
      <c r="M194" s="79"/>
    </row>
    <row r="195" spans="3:13" ht="13">
      <c r="C195" s="63"/>
      <c r="E195" s="41"/>
      <c r="F195" s="41"/>
      <c r="G195" s="41"/>
      <c r="H195" s="41"/>
      <c r="I195" s="41"/>
      <c r="K195" s="41"/>
      <c r="L195" s="64"/>
      <c r="M195" s="79"/>
    </row>
    <row r="196" spans="3:13" ht="13">
      <c r="C196" s="63"/>
      <c r="E196" s="41"/>
      <c r="F196" s="41"/>
      <c r="G196" s="41"/>
      <c r="H196" s="41"/>
      <c r="I196" s="41"/>
      <c r="K196" s="41"/>
      <c r="L196" s="64"/>
      <c r="M196" s="79"/>
    </row>
    <row r="197" spans="3:13" ht="13">
      <c r="C197" s="63"/>
      <c r="E197" s="41"/>
      <c r="F197" s="41"/>
      <c r="G197" s="41"/>
      <c r="H197" s="41"/>
      <c r="I197" s="41"/>
      <c r="K197" s="41"/>
      <c r="L197" s="64"/>
      <c r="M197" s="79"/>
    </row>
    <row r="198" spans="3:13" ht="13">
      <c r="C198" s="63"/>
      <c r="E198" s="41"/>
      <c r="F198" s="41"/>
      <c r="G198" s="41"/>
      <c r="H198" s="41"/>
      <c r="I198" s="41"/>
      <c r="K198" s="41"/>
      <c r="L198" s="64"/>
      <c r="M198" s="79"/>
    </row>
    <row r="199" spans="3:13" ht="13">
      <c r="C199" s="63"/>
      <c r="E199" s="41"/>
      <c r="F199" s="41"/>
      <c r="G199" s="41"/>
      <c r="H199" s="41"/>
      <c r="I199" s="41"/>
      <c r="K199" s="41"/>
      <c r="L199" s="64"/>
      <c r="M199" s="79"/>
    </row>
    <row r="200" spans="3:13" ht="13">
      <c r="C200" s="63"/>
      <c r="E200" s="41"/>
      <c r="F200" s="41"/>
      <c r="G200" s="41"/>
      <c r="H200" s="41"/>
      <c r="I200" s="41"/>
      <c r="K200" s="41"/>
      <c r="L200" s="64"/>
      <c r="M200" s="79"/>
    </row>
    <row r="201" spans="3:13" ht="13">
      <c r="C201" s="63"/>
      <c r="E201" s="41"/>
      <c r="F201" s="41"/>
      <c r="G201" s="41"/>
      <c r="H201" s="41"/>
      <c r="I201" s="41"/>
      <c r="K201" s="41"/>
      <c r="L201" s="64"/>
      <c r="M201" s="79"/>
    </row>
    <row r="202" spans="3:13" ht="13">
      <c r="C202" s="63"/>
      <c r="E202" s="41"/>
      <c r="F202" s="41"/>
      <c r="G202" s="41"/>
      <c r="H202" s="41"/>
      <c r="I202" s="41"/>
      <c r="K202" s="41"/>
      <c r="L202" s="64"/>
      <c r="M202" s="79"/>
    </row>
    <row r="203" spans="3:13" ht="13">
      <c r="C203" s="63"/>
      <c r="E203" s="41"/>
      <c r="F203" s="41"/>
      <c r="G203" s="41"/>
      <c r="H203" s="41"/>
      <c r="I203" s="41"/>
      <c r="K203" s="41"/>
      <c r="L203" s="64"/>
      <c r="M203" s="79"/>
    </row>
    <row r="204" spans="3:13" ht="13">
      <c r="C204" s="63"/>
      <c r="E204" s="41"/>
      <c r="F204" s="41"/>
      <c r="G204" s="41"/>
      <c r="H204" s="41"/>
      <c r="I204" s="41"/>
      <c r="K204" s="41"/>
      <c r="L204" s="64"/>
      <c r="M204" s="79"/>
    </row>
    <row r="205" spans="3:13" ht="13">
      <c r="C205" s="63"/>
      <c r="E205" s="41"/>
      <c r="F205" s="41"/>
      <c r="G205" s="41"/>
      <c r="H205" s="41"/>
      <c r="I205" s="41"/>
      <c r="K205" s="41"/>
      <c r="L205" s="64"/>
      <c r="M205" s="79"/>
    </row>
    <row r="206" spans="3:13" ht="13">
      <c r="C206" s="63"/>
      <c r="E206" s="41"/>
      <c r="F206" s="41"/>
      <c r="G206" s="41"/>
      <c r="H206" s="41"/>
      <c r="I206" s="41"/>
      <c r="K206" s="41"/>
      <c r="L206" s="64"/>
      <c r="M206" s="79"/>
    </row>
    <row r="207" spans="3:13" ht="13">
      <c r="C207" s="63"/>
      <c r="E207" s="41"/>
      <c r="F207" s="41"/>
      <c r="G207" s="41"/>
      <c r="H207" s="41"/>
      <c r="I207" s="41"/>
      <c r="K207" s="41"/>
      <c r="L207" s="64"/>
      <c r="M207" s="79"/>
    </row>
    <row r="208" spans="3:13" ht="13">
      <c r="C208" s="63"/>
      <c r="E208" s="41"/>
      <c r="F208" s="41"/>
      <c r="G208" s="41"/>
      <c r="H208" s="41"/>
      <c r="I208" s="41"/>
      <c r="K208" s="41"/>
      <c r="L208" s="64"/>
      <c r="M208" s="79"/>
    </row>
    <row r="209" spans="3:13" ht="13">
      <c r="C209" s="63"/>
      <c r="E209" s="41"/>
      <c r="F209" s="41"/>
      <c r="G209" s="41"/>
      <c r="H209" s="41"/>
      <c r="I209" s="41"/>
      <c r="K209" s="41"/>
      <c r="L209" s="64"/>
      <c r="M209" s="79"/>
    </row>
    <row r="210" spans="3:13" ht="13">
      <c r="C210" s="63"/>
      <c r="E210" s="41"/>
      <c r="F210" s="41"/>
      <c r="G210" s="41"/>
      <c r="H210" s="41"/>
      <c r="I210" s="41"/>
      <c r="K210" s="41"/>
      <c r="L210" s="64"/>
      <c r="M210" s="79"/>
    </row>
    <row r="211" spans="3:13" ht="13">
      <c r="C211" s="63"/>
      <c r="E211" s="41"/>
      <c r="F211" s="41"/>
      <c r="G211" s="41"/>
      <c r="H211" s="41"/>
      <c r="I211" s="41"/>
      <c r="K211" s="41"/>
      <c r="L211" s="64"/>
      <c r="M211" s="79"/>
    </row>
    <row r="212" spans="3:13" ht="13">
      <c r="C212" s="63"/>
      <c r="E212" s="41"/>
      <c r="F212" s="41"/>
      <c r="G212" s="41"/>
      <c r="H212" s="41"/>
      <c r="I212" s="41"/>
      <c r="K212" s="41"/>
      <c r="L212" s="64"/>
      <c r="M212" s="79"/>
    </row>
    <row r="213" spans="3:13" ht="13">
      <c r="C213" s="63"/>
      <c r="E213" s="41"/>
      <c r="F213" s="41"/>
      <c r="G213" s="41"/>
      <c r="H213" s="41"/>
      <c r="I213" s="41"/>
      <c r="K213" s="41"/>
      <c r="L213" s="64"/>
      <c r="M213" s="79"/>
    </row>
    <row r="214" spans="3:13" ht="13">
      <c r="C214" s="63"/>
      <c r="E214" s="41"/>
      <c r="F214" s="41"/>
      <c r="G214" s="41"/>
      <c r="H214" s="41"/>
      <c r="I214" s="41"/>
      <c r="K214" s="41"/>
      <c r="L214" s="64"/>
      <c r="M214" s="79"/>
    </row>
    <row r="215" spans="3:13" ht="13">
      <c r="C215" s="63"/>
      <c r="E215" s="41"/>
      <c r="F215" s="41"/>
      <c r="G215" s="41"/>
      <c r="H215" s="41"/>
      <c r="I215" s="41"/>
      <c r="K215" s="41"/>
      <c r="L215" s="64"/>
      <c r="M215" s="79"/>
    </row>
    <row r="216" spans="3:13" ht="13">
      <c r="C216" s="63"/>
      <c r="E216" s="41"/>
      <c r="F216" s="41"/>
      <c r="G216" s="41"/>
      <c r="H216" s="41"/>
      <c r="I216" s="41"/>
      <c r="K216" s="41"/>
      <c r="L216" s="64"/>
      <c r="M216" s="79"/>
    </row>
    <row r="217" spans="3:13" ht="13">
      <c r="C217" s="63"/>
      <c r="E217" s="41"/>
      <c r="F217" s="41"/>
      <c r="G217" s="41"/>
      <c r="H217" s="41"/>
      <c r="I217" s="41"/>
      <c r="K217" s="41"/>
      <c r="L217" s="64"/>
      <c r="M217" s="79"/>
    </row>
    <row r="218" spans="3:13" ht="13">
      <c r="C218" s="63"/>
      <c r="E218" s="41"/>
      <c r="F218" s="41"/>
      <c r="G218" s="41"/>
      <c r="H218" s="41"/>
      <c r="I218" s="41"/>
      <c r="K218" s="41"/>
      <c r="L218" s="64"/>
      <c r="M218" s="79"/>
    </row>
    <row r="219" spans="3:13" ht="13">
      <c r="C219" s="63"/>
      <c r="E219" s="41"/>
      <c r="F219" s="41"/>
      <c r="G219" s="41"/>
      <c r="H219" s="41"/>
      <c r="I219" s="41"/>
      <c r="K219" s="41"/>
      <c r="L219" s="64"/>
      <c r="M219" s="79"/>
    </row>
    <row r="220" spans="3:13" ht="13">
      <c r="C220" s="63"/>
      <c r="E220" s="41"/>
      <c r="F220" s="41"/>
      <c r="G220" s="41"/>
      <c r="H220" s="41"/>
      <c r="I220" s="41"/>
      <c r="K220" s="41"/>
      <c r="L220" s="64"/>
      <c r="M220" s="79"/>
    </row>
    <row r="221" spans="3:13" ht="13">
      <c r="C221" s="63"/>
      <c r="E221" s="41"/>
      <c r="F221" s="41"/>
      <c r="G221" s="41"/>
      <c r="H221" s="41"/>
      <c r="I221" s="41"/>
      <c r="K221" s="41"/>
      <c r="L221" s="64"/>
      <c r="M221" s="79"/>
    </row>
    <row r="222" spans="3:13" ht="13">
      <c r="C222" s="63"/>
      <c r="E222" s="41"/>
      <c r="F222" s="41"/>
      <c r="G222" s="41"/>
      <c r="H222" s="41"/>
      <c r="I222" s="41"/>
      <c r="K222" s="41"/>
      <c r="L222" s="64"/>
      <c r="M222" s="79"/>
    </row>
    <row r="223" spans="3:13" ht="13">
      <c r="C223" s="63"/>
      <c r="E223" s="41"/>
      <c r="F223" s="41"/>
      <c r="G223" s="41"/>
      <c r="H223" s="41"/>
      <c r="I223" s="41"/>
      <c r="K223" s="41"/>
      <c r="L223" s="64"/>
      <c r="M223" s="79"/>
    </row>
    <row r="224" spans="3:13" ht="13">
      <c r="C224" s="63"/>
      <c r="E224" s="41"/>
      <c r="F224" s="41"/>
      <c r="G224" s="41"/>
      <c r="H224" s="41"/>
      <c r="I224" s="41"/>
      <c r="K224" s="41"/>
      <c r="L224" s="64"/>
      <c r="M224" s="79"/>
    </row>
    <row r="225" spans="3:13" ht="13">
      <c r="C225" s="63"/>
      <c r="E225" s="41"/>
      <c r="F225" s="41"/>
      <c r="G225" s="41"/>
      <c r="H225" s="41"/>
      <c r="I225" s="41"/>
      <c r="K225" s="41"/>
      <c r="L225" s="64"/>
      <c r="M225" s="79"/>
    </row>
    <row r="226" spans="3:13" ht="13">
      <c r="C226" s="63"/>
      <c r="E226" s="41"/>
      <c r="F226" s="41"/>
      <c r="G226" s="41"/>
      <c r="H226" s="41"/>
      <c r="I226" s="41"/>
      <c r="K226" s="41"/>
      <c r="L226" s="64"/>
      <c r="M226" s="79"/>
    </row>
    <row r="227" spans="3:13" ht="13">
      <c r="C227" s="63"/>
      <c r="E227" s="41"/>
      <c r="F227" s="41"/>
      <c r="G227" s="41"/>
      <c r="H227" s="41"/>
      <c r="I227" s="41"/>
      <c r="K227" s="41"/>
      <c r="L227" s="64"/>
      <c r="M227" s="79"/>
    </row>
    <row r="228" spans="3:13" ht="13">
      <c r="C228" s="63"/>
      <c r="E228" s="41"/>
      <c r="F228" s="41"/>
      <c r="G228" s="41"/>
      <c r="H228" s="41"/>
      <c r="I228" s="41"/>
      <c r="K228" s="41"/>
      <c r="L228" s="64"/>
      <c r="M228" s="79"/>
    </row>
    <row r="229" spans="3:13" ht="13">
      <c r="C229" s="63"/>
      <c r="E229" s="41"/>
      <c r="F229" s="41"/>
      <c r="G229" s="41"/>
      <c r="H229" s="41"/>
      <c r="I229" s="41"/>
      <c r="K229" s="41"/>
      <c r="L229" s="64"/>
      <c r="M229" s="79"/>
    </row>
    <row r="230" spans="3:13" ht="13">
      <c r="C230" s="63"/>
      <c r="E230" s="41"/>
      <c r="F230" s="41"/>
      <c r="G230" s="41"/>
      <c r="H230" s="41"/>
      <c r="I230" s="41"/>
      <c r="K230" s="41"/>
      <c r="L230" s="64"/>
      <c r="M230" s="79"/>
    </row>
    <row r="231" spans="3:13" ht="13">
      <c r="C231" s="63"/>
      <c r="E231" s="41"/>
      <c r="F231" s="41"/>
      <c r="G231" s="41"/>
      <c r="H231" s="41"/>
      <c r="I231" s="41"/>
      <c r="K231" s="41"/>
      <c r="L231" s="64"/>
      <c r="M231" s="79"/>
    </row>
    <row r="232" spans="3:13" ht="13">
      <c r="C232" s="63"/>
      <c r="E232" s="41"/>
      <c r="F232" s="41"/>
      <c r="G232" s="41"/>
      <c r="H232" s="41"/>
      <c r="I232" s="41"/>
      <c r="K232" s="41"/>
      <c r="L232" s="64"/>
      <c r="M232" s="79"/>
    </row>
    <row r="233" spans="3:13" ht="13">
      <c r="C233" s="63"/>
      <c r="E233" s="41"/>
      <c r="F233" s="41"/>
      <c r="G233" s="41"/>
      <c r="H233" s="41"/>
      <c r="I233" s="41"/>
      <c r="K233" s="41"/>
      <c r="L233" s="64"/>
      <c r="M233" s="79"/>
    </row>
    <row r="234" spans="3:13" ht="13">
      <c r="C234" s="63"/>
      <c r="E234" s="41"/>
      <c r="F234" s="41"/>
      <c r="G234" s="41"/>
      <c r="H234" s="41"/>
      <c r="I234" s="41"/>
      <c r="K234" s="41"/>
      <c r="L234" s="64"/>
      <c r="M234" s="79"/>
    </row>
    <row r="235" spans="3:13" ht="13">
      <c r="C235" s="63"/>
      <c r="E235" s="41"/>
      <c r="F235" s="41"/>
      <c r="G235" s="41"/>
      <c r="H235" s="41"/>
      <c r="I235" s="41"/>
      <c r="K235" s="41"/>
      <c r="L235" s="64"/>
      <c r="M235" s="79"/>
    </row>
    <row r="236" spans="3:13" ht="13">
      <c r="C236" s="63"/>
      <c r="E236" s="41"/>
      <c r="F236" s="41"/>
      <c r="G236" s="41"/>
      <c r="H236" s="41"/>
      <c r="I236" s="41"/>
      <c r="K236" s="41"/>
      <c r="L236" s="64"/>
      <c r="M236" s="79"/>
    </row>
    <row r="237" spans="3:13" ht="13">
      <c r="C237" s="63"/>
      <c r="E237" s="41"/>
      <c r="F237" s="41"/>
      <c r="G237" s="41"/>
      <c r="H237" s="41"/>
      <c r="I237" s="41"/>
      <c r="K237" s="41"/>
      <c r="L237" s="64"/>
      <c r="M237" s="79"/>
    </row>
    <row r="238" spans="3:13" ht="13">
      <c r="C238" s="63"/>
      <c r="E238" s="41"/>
      <c r="F238" s="41"/>
      <c r="G238" s="41"/>
      <c r="H238" s="41"/>
      <c r="I238" s="41"/>
      <c r="K238" s="41"/>
      <c r="L238" s="64"/>
      <c r="M238" s="79"/>
    </row>
    <row r="239" spans="3:13" ht="13">
      <c r="C239" s="63"/>
      <c r="E239" s="41"/>
      <c r="F239" s="41"/>
      <c r="G239" s="41"/>
      <c r="H239" s="41"/>
      <c r="I239" s="41"/>
      <c r="K239" s="41"/>
      <c r="L239" s="64"/>
      <c r="M239" s="79"/>
    </row>
    <row r="240" spans="3:13" ht="13">
      <c r="C240" s="63"/>
      <c r="E240" s="41"/>
      <c r="F240" s="41"/>
      <c r="G240" s="41"/>
      <c r="H240" s="41"/>
      <c r="I240" s="41"/>
      <c r="K240" s="41"/>
      <c r="L240" s="64"/>
      <c r="M240" s="79"/>
    </row>
    <row r="241" spans="3:13" ht="13">
      <c r="C241" s="63"/>
      <c r="E241" s="41"/>
      <c r="F241" s="41"/>
      <c r="G241" s="41"/>
      <c r="H241" s="41"/>
      <c r="I241" s="41"/>
      <c r="K241" s="41"/>
      <c r="L241" s="64"/>
      <c r="M241" s="79"/>
    </row>
    <row r="242" spans="3:13" ht="13">
      <c r="C242" s="63"/>
      <c r="E242" s="41"/>
      <c r="F242" s="41"/>
      <c r="G242" s="41"/>
      <c r="H242" s="41"/>
      <c r="I242" s="41"/>
      <c r="K242" s="41"/>
      <c r="L242" s="64"/>
      <c r="M242" s="79"/>
    </row>
    <row r="243" spans="3:13" ht="13">
      <c r="C243" s="63"/>
      <c r="E243" s="41"/>
      <c r="F243" s="41"/>
      <c r="G243" s="41"/>
      <c r="H243" s="41"/>
      <c r="I243" s="41"/>
      <c r="K243" s="41"/>
      <c r="L243" s="64"/>
      <c r="M243" s="79"/>
    </row>
    <row r="244" spans="3:13" ht="13">
      <c r="C244" s="63"/>
      <c r="E244" s="41"/>
      <c r="F244" s="41"/>
      <c r="G244" s="41"/>
      <c r="H244" s="41"/>
      <c r="I244" s="41"/>
      <c r="K244" s="41"/>
      <c r="L244" s="64"/>
      <c r="M244" s="79"/>
    </row>
    <row r="245" spans="3:13" ht="13">
      <c r="C245" s="63"/>
      <c r="E245" s="41"/>
      <c r="F245" s="41"/>
      <c r="G245" s="41"/>
      <c r="H245" s="41"/>
      <c r="I245" s="41"/>
      <c r="K245" s="41"/>
      <c r="L245" s="64"/>
      <c r="M245" s="79"/>
    </row>
    <row r="246" spans="3:13" ht="13">
      <c r="C246" s="63"/>
      <c r="E246" s="41"/>
      <c r="F246" s="41"/>
      <c r="G246" s="41"/>
      <c r="H246" s="41"/>
      <c r="I246" s="41"/>
      <c r="K246" s="41"/>
      <c r="L246" s="64"/>
      <c r="M246" s="79"/>
    </row>
    <row r="247" spans="3:13" ht="13">
      <c r="C247" s="63"/>
      <c r="E247" s="41"/>
      <c r="F247" s="41"/>
      <c r="G247" s="41"/>
      <c r="H247" s="41"/>
      <c r="I247" s="41"/>
      <c r="K247" s="41"/>
      <c r="L247" s="64"/>
      <c r="M247" s="79"/>
    </row>
    <row r="248" spans="3:13" ht="13">
      <c r="C248" s="63"/>
      <c r="E248" s="41"/>
      <c r="F248" s="41"/>
      <c r="G248" s="41"/>
      <c r="H248" s="41"/>
      <c r="I248" s="41"/>
      <c r="K248" s="41"/>
      <c r="L248" s="64"/>
      <c r="M248" s="79"/>
    </row>
    <row r="249" spans="3:13" ht="13">
      <c r="C249" s="63"/>
      <c r="E249" s="41"/>
      <c r="F249" s="41"/>
      <c r="G249" s="41"/>
      <c r="H249" s="41"/>
      <c r="I249" s="41"/>
      <c r="K249" s="41"/>
      <c r="L249" s="64"/>
      <c r="M249" s="79"/>
    </row>
    <row r="250" spans="3:13" ht="13">
      <c r="C250" s="63"/>
      <c r="E250" s="41"/>
      <c r="F250" s="41"/>
      <c r="G250" s="41"/>
      <c r="H250" s="41"/>
      <c r="I250" s="41"/>
      <c r="K250" s="41"/>
      <c r="L250" s="64"/>
      <c r="M250" s="79"/>
    </row>
    <row r="251" spans="3:13" ht="13">
      <c r="C251" s="63"/>
      <c r="E251" s="41"/>
      <c r="F251" s="41"/>
      <c r="G251" s="41"/>
      <c r="H251" s="41"/>
      <c r="I251" s="41"/>
      <c r="K251" s="41"/>
      <c r="L251" s="64"/>
      <c r="M251" s="79"/>
    </row>
    <row r="252" spans="3:13" ht="13">
      <c r="C252" s="63"/>
      <c r="E252" s="41"/>
      <c r="F252" s="41"/>
      <c r="G252" s="41"/>
      <c r="H252" s="41"/>
      <c r="I252" s="41"/>
      <c r="K252" s="41"/>
      <c r="L252" s="64"/>
      <c r="M252" s="79"/>
    </row>
    <row r="253" spans="3:13" ht="13">
      <c r="C253" s="63"/>
      <c r="E253" s="41"/>
      <c r="F253" s="41"/>
      <c r="G253" s="41"/>
      <c r="H253" s="41"/>
      <c r="I253" s="41"/>
      <c r="K253" s="41"/>
      <c r="L253" s="64"/>
      <c r="M253" s="79"/>
    </row>
    <row r="254" spans="3:13" ht="13">
      <c r="C254" s="63"/>
      <c r="E254" s="41"/>
      <c r="F254" s="41"/>
      <c r="G254" s="41"/>
      <c r="H254" s="41"/>
      <c r="I254" s="41"/>
      <c r="K254" s="41"/>
      <c r="L254" s="64"/>
      <c r="M254" s="79"/>
    </row>
    <row r="255" spans="3:13" ht="13">
      <c r="C255" s="63"/>
      <c r="E255" s="41"/>
      <c r="F255" s="41"/>
      <c r="G255" s="41"/>
      <c r="H255" s="41"/>
      <c r="I255" s="41"/>
      <c r="K255" s="41"/>
      <c r="L255" s="64"/>
      <c r="M255" s="79"/>
    </row>
    <row r="256" spans="3:13" ht="13">
      <c r="C256" s="63"/>
      <c r="E256" s="41"/>
      <c r="F256" s="41"/>
      <c r="G256" s="41"/>
      <c r="H256" s="41"/>
      <c r="I256" s="41"/>
      <c r="K256" s="41"/>
      <c r="L256" s="64"/>
      <c r="M256" s="79"/>
    </row>
    <row r="257" spans="3:13" ht="13">
      <c r="C257" s="63"/>
      <c r="E257" s="41"/>
      <c r="F257" s="41"/>
      <c r="G257" s="41"/>
      <c r="H257" s="41"/>
      <c r="I257" s="41"/>
      <c r="K257" s="41"/>
      <c r="L257" s="64"/>
      <c r="M257" s="79"/>
    </row>
    <row r="258" spans="3:13" ht="13">
      <c r="C258" s="63"/>
      <c r="E258" s="41"/>
      <c r="F258" s="41"/>
      <c r="G258" s="41"/>
      <c r="H258" s="41"/>
      <c r="I258" s="41"/>
      <c r="K258" s="41"/>
      <c r="L258" s="64"/>
      <c r="M258" s="79"/>
    </row>
    <row r="259" spans="3:13" ht="13">
      <c r="C259" s="63"/>
      <c r="E259" s="41"/>
      <c r="F259" s="41"/>
      <c r="G259" s="41"/>
      <c r="H259" s="41"/>
      <c r="I259" s="41"/>
      <c r="K259" s="41"/>
      <c r="L259" s="64"/>
      <c r="M259" s="79"/>
    </row>
    <row r="260" spans="3:13" ht="13">
      <c r="C260" s="63"/>
      <c r="E260" s="41"/>
      <c r="F260" s="41"/>
      <c r="G260" s="41"/>
      <c r="H260" s="41"/>
      <c r="I260" s="41"/>
      <c r="K260" s="41"/>
      <c r="L260" s="64"/>
      <c r="M260" s="79"/>
    </row>
    <row r="261" spans="3:13" ht="13">
      <c r="C261" s="63"/>
      <c r="E261" s="41"/>
      <c r="F261" s="41"/>
      <c r="G261" s="41"/>
      <c r="H261" s="41"/>
      <c r="I261" s="41"/>
      <c r="K261" s="41"/>
      <c r="L261" s="64"/>
      <c r="M261" s="79"/>
    </row>
    <row r="262" spans="3:13" ht="13">
      <c r="C262" s="63"/>
      <c r="E262" s="41"/>
      <c r="F262" s="41"/>
      <c r="G262" s="41"/>
      <c r="H262" s="41"/>
      <c r="I262" s="41"/>
      <c r="K262" s="41"/>
      <c r="L262" s="64"/>
      <c r="M262" s="79"/>
    </row>
    <row r="263" spans="3:13" ht="13">
      <c r="C263" s="63"/>
      <c r="E263" s="41"/>
      <c r="F263" s="41"/>
      <c r="G263" s="41"/>
      <c r="H263" s="41"/>
      <c r="I263" s="41"/>
      <c r="K263" s="41"/>
      <c r="L263" s="64"/>
      <c r="M263" s="79"/>
    </row>
    <row r="264" spans="3:13" ht="13">
      <c r="C264" s="63"/>
      <c r="E264" s="41"/>
      <c r="F264" s="41"/>
      <c r="G264" s="41"/>
      <c r="H264" s="41"/>
      <c r="I264" s="41"/>
      <c r="K264" s="41"/>
      <c r="L264" s="64"/>
      <c r="M264" s="79"/>
    </row>
    <row r="265" spans="3:13" ht="13">
      <c r="C265" s="63"/>
      <c r="E265" s="41"/>
      <c r="F265" s="41"/>
      <c r="G265" s="41"/>
      <c r="H265" s="41"/>
      <c r="I265" s="41"/>
      <c r="K265" s="41"/>
      <c r="L265" s="64"/>
      <c r="M265" s="79"/>
    </row>
    <row r="266" spans="3:13" ht="13">
      <c r="C266" s="63"/>
      <c r="E266" s="41"/>
      <c r="F266" s="41"/>
      <c r="G266" s="41"/>
      <c r="H266" s="41"/>
      <c r="I266" s="41"/>
      <c r="K266" s="41"/>
      <c r="L266" s="64"/>
      <c r="M266" s="79"/>
    </row>
    <row r="267" spans="3:13" ht="13">
      <c r="C267" s="63"/>
      <c r="E267" s="41"/>
      <c r="F267" s="41"/>
      <c r="G267" s="41"/>
      <c r="H267" s="41"/>
      <c r="I267" s="41"/>
      <c r="K267" s="41"/>
      <c r="L267" s="64"/>
      <c r="M267" s="79"/>
    </row>
    <row r="268" spans="3:13" ht="13">
      <c r="C268" s="63"/>
      <c r="E268" s="41"/>
      <c r="F268" s="41"/>
      <c r="G268" s="41"/>
      <c r="H268" s="41"/>
      <c r="I268" s="41"/>
      <c r="K268" s="41"/>
      <c r="L268" s="64"/>
      <c r="M268" s="79"/>
    </row>
    <row r="269" spans="3:13" ht="13">
      <c r="C269" s="63"/>
      <c r="E269" s="41"/>
      <c r="F269" s="41"/>
      <c r="G269" s="41"/>
      <c r="H269" s="41"/>
      <c r="I269" s="41"/>
      <c r="K269" s="41"/>
      <c r="L269" s="64"/>
      <c r="M269" s="79"/>
    </row>
    <row r="270" spans="3:13" ht="13">
      <c r="C270" s="63"/>
      <c r="E270" s="41"/>
      <c r="F270" s="41"/>
      <c r="G270" s="41"/>
      <c r="H270" s="41"/>
      <c r="I270" s="41"/>
      <c r="K270" s="41"/>
      <c r="L270" s="64"/>
      <c r="M270" s="79"/>
    </row>
    <row r="271" spans="3:13" ht="13">
      <c r="C271" s="63"/>
      <c r="E271" s="41"/>
      <c r="F271" s="41"/>
      <c r="G271" s="41"/>
      <c r="H271" s="41"/>
      <c r="I271" s="41"/>
      <c r="K271" s="41"/>
      <c r="L271" s="64"/>
      <c r="M271" s="79"/>
    </row>
    <row r="272" spans="3:13" ht="13">
      <c r="C272" s="63"/>
      <c r="E272" s="41"/>
      <c r="F272" s="41"/>
      <c r="G272" s="41"/>
      <c r="H272" s="41"/>
      <c r="I272" s="41"/>
      <c r="K272" s="41"/>
      <c r="L272" s="64"/>
      <c r="M272" s="79"/>
    </row>
    <row r="273" spans="3:13" ht="13">
      <c r="C273" s="63"/>
      <c r="E273" s="41"/>
      <c r="F273" s="41"/>
      <c r="G273" s="41"/>
      <c r="H273" s="41"/>
      <c r="I273" s="41"/>
      <c r="K273" s="41"/>
      <c r="L273" s="64"/>
      <c r="M273" s="79"/>
    </row>
    <row r="274" spans="3:13" ht="13">
      <c r="C274" s="63"/>
      <c r="E274" s="41"/>
      <c r="F274" s="41"/>
      <c r="G274" s="41"/>
      <c r="H274" s="41"/>
      <c r="I274" s="41"/>
      <c r="K274" s="41"/>
      <c r="L274" s="64"/>
      <c r="M274" s="79"/>
    </row>
    <row r="275" spans="3:13" ht="13">
      <c r="C275" s="63"/>
      <c r="E275" s="41"/>
      <c r="F275" s="41"/>
      <c r="G275" s="41"/>
      <c r="H275" s="41"/>
      <c r="I275" s="41"/>
      <c r="K275" s="41"/>
      <c r="L275" s="64"/>
      <c r="M275" s="79"/>
    </row>
    <row r="276" spans="3:13" ht="13">
      <c r="C276" s="63"/>
      <c r="E276" s="41"/>
      <c r="F276" s="41"/>
      <c r="G276" s="41"/>
      <c r="H276" s="41"/>
      <c r="I276" s="41"/>
      <c r="K276" s="41"/>
      <c r="L276" s="64"/>
      <c r="M276" s="79"/>
    </row>
    <row r="277" spans="3:13" ht="13">
      <c r="C277" s="63"/>
      <c r="E277" s="41"/>
      <c r="F277" s="41"/>
      <c r="G277" s="41"/>
      <c r="H277" s="41"/>
      <c r="I277" s="41"/>
      <c r="K277" s="41"/>
      <c r="L277" s="64"/>
      <c r="M277" s="79"/>
    </row>
    <row r="278" spans="3:13" ht="13">
      <c r="C278" s="63"/>
      <c r="E278" s="41"/>
      <c r="F278" s="41"/>
      <c r="G278" s="41"/>
      <c r="H278" s="41"/>
      <c r="I278" s="41"/>
      <c r="K278" s="41"/>
      <c r="L278" s="64"/>
      <c r="M278" s="79"/>
    </row>
    <row r="279" spans="3:13" ht="13">
      <c r="C279" s="63"/>
      <c r="E279" s="41"/>
      <c r="F279" s="41"/>
      <c r="G279" s="41"/>
      <c r="H279" s="41"/>
      <c r="I279" s="41"/>
      <c r="K279" s="41"/>
      <c r="L279" s="64"/>
      <c r="M279" s="79"/>
    </row>
    <row r="280" spans="3:13" ht="13">
      <c r="C280" s="63"/>
      <c r="E280" s="41"/>
      <c r="F280" s="41"/>
      <c r="G280" s="41"/>
      <c r="H280" s="41"/>
      <c r="I280" s="41"/>
      <c r="K280" s="41"/>
      <c r="L280" s="64"/>
      <c r="M280" s="79"/>
    </row>
    <row r="281" spans="3:13" ht="13">
      <c r="C281" s="63"/>
      <c r="E281" s="41"/>
      <c r="F281" s="41"/>
      <c r="G281" s="41"/>
      <c r="H281" s="41"/>
      <c r="I281" s="41"/>
      <c r="K281" s="41"/>
      <c r="L281" s="64"/>
      <c r="M281" s="79"/>
    </row>
    <row r="282" spans="3:13" ht="13">
      <c r="C282" s="63"/>
      <c r="E282" s="41"/>
      <c r="F282" s="41"/>
      <c r="G282" s="41"/>
      <c r="H282" s="41"/>
      <c r="I282" s="41"/>
      <c r="K282" s="41"/>
      <c r="L282" s="64"/>
      <c r="M282" s="79"/>
    </row>
    <row r="283" spans="3:13" ht="13">
      <c r="C283" s="63"/>
      <c r="E283" s="41"/>
      <c r="F283" s="41"/>
      <c r="G283" s="41"/>
      <c r="H283" s="41"/>
      <c r="I283" s="41"/>
      <c r="K283" s="41"/>
      <c r="L283" s="64"/>
      <c r="M283" s="79"/>
    </row>
    <row r="284" spans="3:13" ht="13">
      <c r="C284" s="63"/>
      <c r="E284" s="41"/>
      <c r="F284" s="41"/>
      <c r="G284" s="41"/>
      <c r="H284" s="41"/>
      <c r="I284" s="41"/>
      <c r="K284" s="41"/>
      <c r="L284" s="64"/>
      <c r="M284" s="79"/>
    </row>
    <row r="285" spans="3:13" ht="13">
      <c r="C285" s="63"/>
      <c r="E285" s="41"/>
      <c r="F285" s="41"/>
      <c r="G285" s="41"/>
      <c r="H285" s="41"/>
      <c r="I285" s="41"/>
      <c r="K285" s="41"/>
      <c r="L285" s="64"/>
      <c r="M285" s="79"/>
    </row>
    <row r="286" spans="3:13" ht="13">
      <c r="C286" s="63"/>
      <c r="E286" s="41"/>
      <c r="F286" s="41"/>
      <c r="G286" s="41"/>
      <c r="H286" s="41"/>
      <c r="I286" s="41"/>
      <c r="K286" s="41"/>
      <c r="L286" s="64"/>
      <c r="M286" s="79"/>
    </row>
    <row r="287" spans="3:13" ht="13">
      <c r="C287" s="63"/>
      <c r="E287" s="41"/>
      <c r="F287" s="41"/>
      <c r="G287" s="41"/>
      <c r="H287" s="41"/>
      <c r="I287" s="41"/>
      <c r="K287" s="41"/>
      <c r="L287" s="64"/>
      <c r="M287" s="79"/>
    </row>
    <row r="288" spans="3:13" ht="13">
      <c r="C288" s="63"/>
      <c r="E288" s="41"/>
      <c r="F288" s="41"/>
      <c r="G288" s="41"/>
      <c r="H288" s="41"/>
      <c r="I288" s="41"/>
      <c r="K288" s="41"/>
      <c r="L288" s="64"/>
      <c r="M288" s="79"/>
    </row>
    <row r="289" spans="3:13" ht="13">
      <c r="C289" s="63"/>
      <c r="E289" s="41"/>
      <c r="F289" s="41"/>
      <c r="G289" s="41"/>
      <c r="H289" s="41"/>
      <c r="I289" s="41"/>
      <c r="K289" s="41"/>
      <c r="L289" s="64"/>
      <c r="M289" s="79"/>
    </row>
    <row r="290" spans="3:13" ht="13">
      <c r="C290" s="63"/>
      <c r="E290" s="41"/>
      <c r="F290" s="41"/>
      <c r="G290" s="41"/>
      <c r="H290" s="41"/>
      <c r="I290" s="41"/>
      <c r="K290" s="41"/>
      <c r="L290" s="64"/>
      <c r="M290" s="79"/>
    </row>
    <row r="291" spans="3:13" ht="13">
      <c r="C291" s="63"/>
      <c r="E291" s="41"/>
      <c r="F291" s="41"/>
      <c r="G291" s="41"/>
      <c r="H291" s="41"/>
      <c r="I291" s="41"/>
      <c r="K291" s="41"/>
      <c r="L291" s="64"/>
      <c r="M291" s="79"/>
    </row>
    <row r="292" spans="3:13" ht="13">
      <c r="C292" s="63"/>
      <c r="E292" s="41"/>
      <c r="F292" s="41"/>
      <c r="G292" s="41"/>
      <c r="H292" s="41"/>
      <c r="I292" s="41"/>
      <c r="K292" s="41"/>
      <c r="L292" s="64"/>
      <c r="M292" s="79"/>
    </row>
    <row r="293" spans="3:13" ht="13">
      <c r="C293" s="63"/>
      <c r="E293" s="41"/>
      <c r="F293" s="41"/>
      <c r="G293" s="41"/>
      <c r="H293" s="41"/>
      <c r="I293" s="41"/>
      <c r="K293" s="41"/>
      <c r="L293" s="64"/>
      <c r="M293" s="79"/>
    </row>
    <row r="294" spans="3:13" ht="13">
      <c r="C294" s="63"/>
      <c r="E294" s="41"/>
      <c r="F294" s="41"/>
      <c r="G294" s="41"/>
      <c r="H294" s="41"/>
      <c r="I294" s="41"/>
      <c r="K294" s="41"/>
      <c r="L294" s="64"/>
      <c r="M294" s="79"/>
    </row>
    <row r="295" spans="3:13" ht="13">
      <c r="C295" s="63"/>
      <c r="E295" s="41"/>
      <c r="F295" s="41"/>
      <c r="G295" s="41"/>
      <c r="H295" s="41"/>
      <c r="I295" s="41"/>
      <c r="K295" s="41"/>
      <c r="L295" s="64"/>
      <c r="M295" s="79"/>
    </row>
    <row r="296" spans="3:13" ht="13">
      <c r="C296" s="63"/>
      <c r="E296" s="41"/>
      <c r="F296" s="41"/>
      <c r="G296" s="41"/>
      <c r="H296" s="41"/>
      <c r="I296" s="41"/>
      <c r="K296" s="41"/>
      <c r="L296" s="64"/>
      <c r="M296" s="79"/>
    </row>
    <row r="297" spans="3:13" ht="13">
      <c r="C297" s="63"/>
      <c r="E297" s="41"/>
      <c r="F297" s="41"/>
      <c r="G297" s="41"/>
      <c r="H297" s="41"/>
      <c r="I297" s="41"/>
      <c r="K297" s="41"/>
      <c r="L297" s="64"/>
      <c r="M297" s="79"/>
    </row>
    <row r="298" spans="3:13" ht="13">
      <c r="C298" s="63"/>
      <c r="E298" s="41"/>
      <c r="F298" s="41"/>
      <c r="G298" s="41"/>
      <c r="H298" s="41"/>
      <c r="I298" s="41"/>
      <c r="K298" s="41"/>
      <c r="L298" s="64"/>
      <c r="M298" s="79"/>
    </row>
    <row r="299" spans="3:13" ht="13">
      <c r="C299" s="63"/>
      <c r="E299" s="41"/>
      <c r="F299" s="41"/>
      <c r="G299" s="41"/>
      <c r="H299" s="41"/>
      <c r="I299" s="41"/>
      <c r="K299" s="41"/>
      <c r="L299" s="64"/>
      <c r="M299" s="79"/>
    </row>
    <row r="300" spans="3:13" ht="13">
      <c r="C300" s="63"/>
      <c r="E300" s="41"/>
      <c r="F300" s="41"/>
      <c r="G300" s="41"/>
      <c r="H300" s="41"/>
      <c r="I300" s="41"/>
      <c r="K300" s="41"/>
      <c r="L300" s="64"/>
      <c r="M300" s="79"/>
    </row>
    <row r="301" spans="3:13" ht="13">
      <c r="C301" s="63"/>
      <c r="E301" s="41"/>
      <c r="F301" s="41"/>
      <c r="G301" s="41"/>
      <c r="H301" s="41"/>
      <c r="I301" s="41"/>
      <c r="K301" s="41"/>
      <c r="L301" s="64"/>
      <c r="M301" s="79"/>
    </row>
    <row r="302" spans="3:13" ht="13">
      <c r="C302" s="63"/>
      <c r="E302" s="41"/>
      <c r="F302" s="41"/>
      <c r="G302" s="41"/>
      <c r="H302" s="41"/>
      <c r="I302" s="41"/>
      <c r="K302" s="41"/>
      <c r="L302" s="64"/>
      <c r="M302" s="79"/>
    </row>
    <row r="303" spans="3:13" ht="13">
      <c r="C303" s="63"/>
      <c r="E303" s="41"/>
      <c r="F303" s="41"/>
      <c r="G303" s="41"/>
      <c r="H303" s="41"/>
      <c r="I303" s="41"/>
      <c r="K303" s="41"/>
      <c r="L303" s="64"/>
      <c r="M303" s="79"/>
    </row>
    <row r="304" spans="3:13" ht="13">
      <c r="C304" s="63"/>
      <c r="E304" s="41"/>
      <c r="F304" s="41"/>
      <c r="G304" s="41"/>
      <c r="H304" s="41"/>
      <c r="I304" s="41"/>
      <c r="K304" s="41"/>
      <c r="L304" s="64"/>
      <c r="M304" s="79"/>
    </row>
    <row r="305" spans="3:13" ht="13">
      <c r="C305" s="63"/>
      <c r="E305" s="41"/>
      <c r="F305" s="41"/>
      <c r="G305" s="41"/>
      <c r="H305" s="41"/>
      <c r="I305" s="41"/>
      <c r="K305" s="41"/>
      <c r="L305" s="64"/>
      <c r="M305" s="79"/>
    </row>
    <row r="306" spans="3:13" ht="13">
      <c r="C306" s="63"/>
      <c r="E306" s="41"/>
      <c r="F306" s="41"/>
      <c r="G306" s="41"/>
      <c r="H306" s="41"/>
      <c r="I306" s="41"/>
      <c r="K306" s="41"/>
      <c r="L306" s="64"/>
      <c r="M306" s="79"/>
    </row>
    <row r="307" spans="3:13" ht="13">
      <c r="C307" s="63"/>
      <c r="E307" s="41"/>
      <c r="F307" s="41"/>
      <c r="G307" s="41"/>
      <c r="H307" s="41"/>
      <c r="I307" s="41"/>
      <c r="K307" s="41"/>
      <c r="L307" s="64"/>
      <c r="M307" s="79"/>
    </row>
    <row r="308" spans="3:13" ht="13">
      <c r="C308" s="63"/>
      <c r="E308" s="41"/>
      <c r="F308" s="41"/>
      <c r="G308" s="41"/>
      <c r="H308" s="41"/>
      <c r="I308" s="41"/>
      <c r="K308" s="41"/>
      <c r="L308" s="64"/>
      <c r="M308" s="79"/>
    </row>
    <row r="309" spans="3:13" ht="13">
      <c r="C309" s="63"/>
      <c r="E309" s="41"/>
      <c r="F309" s="41"/>
      <c r="G309" s="41"/>
      <c r="H309" s="41"/>
      <c r="I309" s="41"/>
      <c r="K309" s="41"/>
      <c r="L309" s="64"/>
      <c r="M309" s="79"/>
    </row>
    <row r="310" spans="3:13" ht="13">
      <c r="C310" s="63"/>
      <c r="E310" s="41"/>
      <c r="F310" s="41"/>
      <c r="G310" s="41"/>
      <c r="H310" s="41"/>
      <c r="I310" s="41"/>
      <c r="K310" s="41"/>
      <c r="L310" s="64"/>
      <c r="M310" s="79"/>
    </row>
    <row r="311" spans="3:13" ht="13">
      <c r="C311" s="63"/>
      <c r="E311" s="41"/>
      <c r="F311" s="41"/>
      <c r="G311" s="41"/>
      <c r="H311" s="41"/>
      <c r="I311" s="41"/>
      <c r="K311" s="41"/>
      <c r="L311" s="64"/>
      <c r="M311" s="79"/>
    </row>
    <row r="312" spans="3:13" ht="13">
      <c r="C312" s="63"/>
      <c r="E312" s="41"/>
      <c r="F312" s="41"/>
      <c r="G312" s="41"/>
      <c r="H312" s="41"/>
      <c r="I312" s="41"/>
      <c r="K312" s="41"/>
      <c r="L312" s="64"/>
      <c r="M312" s="79"/>
    </row>
    <row r="313" spans="3:13" ht="13">
      <c r="C313" s="63"/>
      <c r="E313" s="41"/>
      <c r="F313" s="41"/>
      <c r="G313" s="41"/>
      <c r="H313" s="41"/>
      <c r="I313" s="41"/>
      <c r="K313" s="41"/>
      <c r="L313" s="64"/>
      <c r="M313" s="79"/>
    </row>
    <row r="314" spans="3:13" ht="13">
      <c r="C314" s="63"/>
      <c r="E314" s="41"/>
      <c r="F314" s="41"/>
      <c r="G314" s="41"/>
      <c r="H314" s="41"/>
      <c r="I314" s="41"/>
      <c r="K314" s="41"/>
      <c r="L314" s="64"/>
      <c r="M314" s="79"/>
    </row>
    <row r="315" spans="3:13" ht="13">
      <c r="C315" s="63"/>
      <c r="E315" s="41"/>
      <c r="F315" s="41"/>
      <c r="G315" s="41"/>
      <c r="H315" s="41"/>
      <c r="I315" s="41"/>
      <c r="K315" s="41"/>
      <c r="L315" s="64"/>
      <c r="M315" s="79"/>
    </row>
    <row r="316" spans="3:13" ht="13">
      <c r="C316" s="63"/>
      <c r="E316" s="41"/>
      <c r="F316" s="41"/>
      <c r="G316" s="41"/>
      <c r="H316" s="41"/>
      <c r="I316" s="41"/>
      <c r="K316" s="41"/>
      <c r="L316" s="64"/>
      <c r="M316" s="79"/>
    </row>
    <row r="317" spans="3:13" ht="13">
      <c r="C317" s="63"/>
      <c r="E317" s="41"/>
      <c r="F317" s="41"/>
      <c r="G317" s="41"/>
      <c r="H317" s="41"/>
      <c r="I317" s="41"/>
      <c r="K317" s="41"/>
      <c r="L317" s="64"/>
      <c r="M317" s="79"/>
    </row>
    <row r="318" spans="3:13" ht="13">
      <c r="C318" s="63"/>
      <c r="E318" s="41"/>
      <c r="F318" s="41"/>
      <c r="G318" s="41"/>
      <c r="H318" s="41"/>
      <c r="I318" s="41"/>
      <c r="K318" s="41"/>
      <c r="L318" s="64"/>
      <c r="M318" s="79"/>
    </row>
    <row r="319" spans="3:13" ht="13">
      <c r="C319" s="63"/>
      <c r="E319" s="41"/>
      <c r="F319" s="41"/>
      <c r="G319" s="41"/>
      <c r="H319" s="41"/>
      <c r="I319" s="41"/>
      <c r="K319" s="41"/>
      <c r="L319" s="64"/>
      <c r="M319" s="79"/>
    </row>
    <row r="320" spans="3:13" ht="13">
      <c r="C320" s="63"/>
      <c r="E320" s="41"/>
      <c r="F320" s="41"/>
      <c r="G320" s="41"/>
      <c r="H320" s="41"/>
      <c r="I320" s="41"/>
      <c r="K320" s="41"/>
      <c r="L320" s="64"/>
      <c r="M320" s="79"/>
    </row>
    <row r="321" spans="3:13" ht="13">
      <c r="C321" s="63"/>
      <c r="E321" s="41"/>
      <c r="F321" s="41"/>
      <c r="G321" s="41"/>
      <c r="H321" s="41"/>
      <c r="I321" s="41"/>
      <c r="K321" s="41"/>
      <c r="L321" s="64"/>
      <c r="M321" s="79"/>
    </row>
    <row r="322" spans="3:13" ht="13">
      <c r="C322" s="63"/>
      <c r="E322" s="41"/>
      <c r="F322" s="41"/>
      <c r="G322" s="41"/>
      <c r="H322" s="41"/>
      <c r="I322" s="41"/>
      <c r="K322" s="41"/>
      <c r="L322" s="64"/>
      <c r="M322" s="79"/>
    </row>
    <row r="323" spans="3:13" ht="13">
      <c r="C323" s="63"/>
      <c r="E323" s="41"/>
      <c r="F323" s="41"/>
      <c r="G323" s="41"/>
      <c r="H323" s="41"/>
      <c r="I323" s="41"/>
      <c r="K323" s="41"/>
      <c r="L323" s="64"/>
      <c r="M323" s="79"/>
    </row>
    <row r="324" spans="3:13" ht="13">
      <c r="C324" s="63"/>
      <c r="E324" s="41"/>
      <c r="F324" s="41"/>
      <c r="G324" s="41"/>
      <c r="H324" s="41"/>
      <c r="I324" s="41"/>
      <c r="K324" s="41"/>
      <c r="L324" s="64"/>
      <c r="M324" s="79"/>
    </row>
    <row r="325" spans="3:13" ht="13">
      <c r="C325" s="63"/>
      <c r="E325" s="41"/>
      <c r="F325" s="41"/>
      <c r="G325" s="41"/>
      <c r="H325" s="41"/>
      <c r="I325" s="41"/>
      <c r="K325" s="41"/>
      <c r="L325" s="64"/>
      <c r="M325" s="79"/>
    </row>
    <row r="326" spans="3:13" ht="13">
      <c r="C326" s="63"/>
      <c r="E326" s="41"/>
      <c r="F326" s="41"/>
      <c r="G326" s="41"/>
      <c r="H326" s="41"/>
      <c r="I326" s="41"/>
      <c r="K326" s="41"/>
      <c r="L326" s="64"/>
      <c r="M326" s="79"/>
    </row>
    <row r="327" spans="3:13" ht="13">
      <c r="C327" s="63"/>
      <c r="E327" s="41"/>
      <c r="F327" s="41"/>
      <c r="G327" s="41"/>
      <c r="H327" s="41"/>
      <c r="I327" s="41"/>
      <c r="K327" s="41"/>
      <c r="L327" s="64"/>
      <c r="M327" s="79"/>
    </row>
    <row r="328" spans="3:13" ht="13">
      <c r="C328" s="63"/>
      <c r="E328" s="41"/>
      <c r="F328" s="41"/>
      <c r="G328" s="41"/>
      <c r="H328" s="41"/>
      <c r="I328" s="41"/>
      <c r="K328" s="41"/>
      <c r="L328" s="64"/>
      <c r="M328" s="79"/>
    </row>
    <row r="329" spans="3:13" ht="13">
      <c r="C329" s="63"/>
      <c r="E329" s="41"/>
      <c r="F329" s="41"/>
      <c r="G329" s="41"/>
      <c r="H329" s="41"/>
      <c r="I329" s="41"/>
      <c r="K329" s="41"/>
      <c r="L329" s="64"/>
      <c r="M329" s="79"/>
    </row>
    <row r="330" spans="3:13" ht="13">
      <c r="C330" s="63"/>
      <c r="E330" s="41"/>
      <c r="F330" s="41"/>
      <c r="G330" s="41"/>
      <c r="H330" s="41"/>
      <c r="I330" s="41"/>
      <c r="K330" s="41"/>
      <c r="L330" s="64"/>
      <c r="M330" s="79"/>
    </row>
    <row r="331" spans="3:13" ht="13">
      <c r="C331" s="63"/>
      <c r="E331" s="41"/>
      <c r="F331" s="41"/>
      <c r="G331" s="41"/>
      <c r="H331" s="41"/>
      <c r="I331" s="41"/>
      <c r="K331" s="41"/>
      <c r="L331" s="64"/>
      <c r="M331" s="79"/>
    </row>
    <row r="332" spans="3:13" ht="13">
      <c r="C332" s="63"/>
      <c r="E332" s="41"/>
      <c r="F332" s="41"/>
      <c r="G332" s="41"/>
      <c r="H332" s="41"/>
      <c r="I332" s="41"/>
      <c r="K332" s="41"/>
      <c r="L332" s="64"/>
      <c r="M332" s="79"/>
    </row>
    <row r="333" spans="3:13" ht="13">
      <c r="C333" s="63"/>
      <c r="E333" s="41"/>
      <c r="F333" s="41"/>
      <c r="G333" s="41"/>
      <c r="H333" s="41"/>
      <c r="I333" s="41"/>
      <c r="K333" s="41"/>
      <c r="L333" s="64"/>
      <c r="M333" s="79"/>
    </row>
    <row r="334" spans="3:13" ht="13">
      <c r="C334" s="63"/>
      <c r="E334" s="41"/>
      <c r="F334" s="41"/>
      <c r="G334" s="41"/>
      <c r="H334" s="41"/>
      <c r="I334" s="41"/>
      <c r="K334" s="41"/>
      <c r="L334" s="64"/>
      <c r="M334" s="79"/>
    </row>
    <row r="335" spans="3:13" ht="13">
      <c r="C335" s="63"/>
      <c r="E335" s="41"/>
      <c r="F335" s="41"/>
      <c r="G335" s="41"/>
      <c r="H335" s="41"/>
      <c r="I335" s="41"/>
      <c r="K335" s="41"/>
      <c r="L335" s="64"/>
      <c r="M335" s="79"/>
    </row>
    <row r="336" spans="3:13" ht="13">
      <c r="C336" s="63"/>
      <c r="E336" s="41"/>
      <c r="F336" s="41"/>
      <c r="G336" s="41"/>
      <c r="H336" s="41"/>
      <c r="I336" s="41"/>
      <c r="K336" s="41"/>
      <c r="L336" s="64"/>
      <c r="M336" s="79"/>
    </row>
    <row r="337" spans="3:13" ht="13">
      <c r="C337" s="63"/>
      <c r="E337" s="41"/>
      <c r="F337" s="41"/>
      <c r="G337" s="41"/>
      <c r="H337" s="41"/>
      <c r="I337" s="41"/>
      <c r="K337" s="41"/>
      <c r="L337" s="64"/>
      <c r="M337" s="79"/>
    </row>
    <row r="338" spans="3:13" ht="13">
      <c r="C338" s="63"/>
      <c r="E338" s="41"/>
      <c r="F338" s="41"/>
      <c r="G338" s="41"/>
      <c r="H338" s="41"/>
      <c r="I338" s="41"/>
      <c r="K338" s="41"/>
      <c r="L338" s="64"/>
      <c r="M338" s="79"/>
    </row>
    <row r="339" spans="3:13" ht="13">
      <c r="C339" s="63"/>
      <c r="E339" s="41"/>
      <c r="F339" s="41"/>
      <c r="G339" s="41"/>
      <c r="H339" s="41"/>
      <c r="I339" s="41"/>
      <c r="K339" s="41"/>
      <c r="L339" s="64"/>
      <c r="M339" s="79"/>
    </row>
    <row r="340" spans="3:13" ht="13">
      <c r="C340" s="63"/>
      <c r="E340" s="41"/>
      <c r="F340" s="41"/>
      <c r="G340" s="41"/>
      <c r="H340" s="41"/>
      <c r="I340" s="41"/>
      <c r="K340" s="41"/>
      <c r="L340" s="64"/>
      <c r="M340" s="79"/>
    </row>
    <row r="341" spans="3:13" ht="13">
      <c r="C341" s="63"/>
      <c r="E341" s="41"/>
      <c r="F341" s="41"/>
      <c r="G341" s="41"/>
      <c r="H341" s="41"/>
      <c r="I341" s="41"/>
      <c r="K341" s="41"/>
      <c r="L341" s="64"/>
      <c r="M341" s="79"/>
    </row>
    <row r="342" spans="3:13" ht="13">
      <c r="C342" s="63"/>
      <c r="E342" s="41"/>
      <c r="F342" s="41"/>
      <c r="G342" s="41"/>
      <c r="H342" s="41"/>
      <c r="I342" s="41"/>
      <c r="K342" s="41"/>
      <c r="L342" s="64"/>
      <c r="M342" s="79"/>
    </row>
    <row r="343" spans="3:13" ht="13">
      <c r="C343" s="63"/>
      <c r="E343" s="41"/>
      <c r="F343" s="41"/>
      <c r="G343" s="41"/>
      <c r="H343" s="41"/>
      <c r="I343" s="41"/>
      <c r="K343" s="41"/>
      <c r="L343" s="64"/>
      <c r="M343" s="79"/>
    </row>
    <row r="344" spans="3:13" ht="13">
      <c r="C344" s="63"/>
      <c r="E344" s="41"/>
      <c r="F344" s="41"/>
      <c r="G344" s="41"/>
      <c r="H344" s="41"/>
      <c r="I344" s="41"/>
      <c r="K344" s="41"/>
      <c r="L344" s="64"/>
      <c r="M344" s="79"/>
    </row>
    <row r="345" spans="3:13" ht="13">
      <c r="C345" s="63"/>
      <c r="E345" s="41"/>
      <c r="F345" s="41"/>
      <c r="G345" s="41"/>
      <c r="H345" s="41"/>
      <c r="I345" s="41"/>
      <c r="K345" s="41"/>
      <c r="L345" s="64"/>
      <c r="M345" s="79"/>
    </row>
    <row r="346" spans="3:13" ht="13">
      <c r="C346" s="63"/>
      <c r="E346" s="41"/>
      <c r="F346" s="41"/>
      <c r="G346" s="41"/>
      <c r="H346" s="41"/>
      <c r="I346" s="41"/>
      <c r="K346" s="41"/>
      <c r="L346" s="64"/>
      <c r="M346" s="79"/>
    </row>
    <row r="347" spans="3:13" ht="13">
      <c r="C347" s="63"/>
      <c r="E347" s="41"/>
      <c r="F347" s="41"/>
      <c r="G347" s="41"/>
      <c r="H347" s="41"/>
      <c r="I347" s="41"/>
      <c r="K347" s="41"/>
      <c r="L347" s="64"/>
      <c r="M347" s="79"/>
    </row>
    <row r="348" spans="3:13" ht="13">
      <c r="C348" s="63"/>
      <c r="E348" s="41"/>
      <c r="F348" s="41"/>
      <c r="G348" s="41"/>
      <c r="H348" s="41"/>
      <c r="I348" s="41"/>
      <c r="K348" s="41"/>
      <c r="L348" s="64"/>
      <c r="M348" s="79"/>
    </row>
    <row r="349" spans="3:13" ht="13">
      <c r="C349" s="63"/>
      <c r="E349" s="41"/>
      <c r="F349" s="41"/>
      <c r="G349" s="41"/>
      <c r="H349" s="41"/>
      <c r="I349" s="41"/>
      <c r="K349" s="41"/>
      <c r="L349" s="64"/>
      <c r="M349" s="79"/>
    </row>
    <row r="350" spans="3:13" ht="13">
      <c r="C350" s="63"/>
      <c r="E350" s="41"/>
      <c r="F350" s="41"/>
      <c r="G350" s="41"/>
      <c r="H350" s="41"/>
      <c r="I350" s="41"/>
      <c r="K350" s="41"/>
      <c r="L350" s="64"/>
      <c r="M350" s="79"/>
    </row>
    <row r="351" spans="3:13" ht="13">
      <c r="C351" s="63"/>
      <c r="E351" s="41"/>
      <c r="F351" s="41"/>
      <c r="G351" s="41"/>
      <c r="H351" s="41"/>
      <c r="I351" s="41"/>
      <c r="K351" s="41"/>
      <c r="L351" s="64"/>
      <c r="M351" s="79"/>
    </row>
    <row r="352" spans="3:13" ht="13">
      <c r="C352" s="63"/>
      <c r="E352" s="41"/>
      <c r="F352" s="41"/>
      <c r="G352" s="41"/>
      <c r="H352" s="41"/>
      <c r="I352" s="41"/>
      <c r="K352" s="41"/>
      <c r="L352" s="64"/>
      <c r="M352" s="79"/>
    </row>
    <row r="353" spans="3:13" ht="13">
      <c r="C353" s="63"/>
      <c r="E353" s="41"/>
      <c r="F353" s="41"/>
      <c r="G353" s="41"/>
      <c r="H353" s="41"/>
      <c r="I353" s="41"/>
      <c r="K353" s="41"/>
      <c r="L353" s="64"/>
      <c r="M353" s="79"/>
    </row>
    <row r="354" spans="3:13" ht="13">
      <c r="C354" s="63"/>
      <c r="E354" s="41"/>
      <c r="F354" s="41"/>
      <c r="G354" s="41"/>
      <c r="H354" s="41"/>
      <c r="I354" s="41"/>
      <c r="K354" s="41"/>
      <c r="L354" s="64"/>
      <c r="M354" s="79"/>
    </row>
    <row r="355" spans="3:13" ht="13">
      <c r="C355" s="63"/>
      <c r="E355" s="41"/>
      <c r="F355" s="41"/>
      <c r="G355" s="41"/>
      <c r="H355" s="41"/>
      <c r="I355" s="41"/>
      <c r="K355" s="41"/>
      <c r="L355" s="64"/>
      <c r="M355" s="79"/>
    </row>
    <row r="356" spans="3:13" ht="13">
      <c r="C356" s="63"/>
      <c r="E356" s="41"/>
      <c r="F356" s="41"/>
      <c r="G356" s="41"/>
      <c r="H356" s="41"/>
      <c r="I356" s="41"/>
      <c r="K356" s="41"/>
      <c r="L356" s="64"/>
      <c r="M356" s="79"/>
    </row>
    <row r="357" spans="3:13" ht="13">
      <c r="C357" s="63"/>
      <c r="E357" s="41"/>
      <c r="F357" s="41"/>
      <c r="G357" s="41"/>
      <c r="H357" s="41"/>
      <c r="I357" s="41"/>
      <c r="K357" s="41"/>
      <c r="L357" s="64"/>
      <c r="M357" s="79"/>
    </row>
    <row r="358" spans="3:13" ht="13">
      <c r="C358" s="63"/>
      <c r="E358" s="41"/>
      <c r="F358" s="41"/>
      <c r="G358" s="41"/>
      <c r="H358" s="41"/>
      <c r="I358" s="41"/>
      <c r="K358" s="41"/>
      <c r="L358" s="64"/>
      <c r="M358" s="79"/>
    </row>
    <row r="359" spans="3:13" ht="13">
      <c r="C359" s="63"/>
      <c r="E359" s="41"/>
      <c r="F359" s="41"/>
      <c r="G359" s="41"/>
      <c r="H359" s="41"/>
      <c r="I359" s="41"/>
      <c r="K359" s="41"/>
      <c r="L359" s="64"/>
      <c r="M359" s="79"/>
    </row>
    <row r="360" spans="3:13" ht="13">
      <c r="C360" s="63"/>
      <c r="E360" s="41"/>
      <c r="F360" s="41"/>
      <c r="G360" s="41"/>
      <c r="H360" s="41"/>
      <c r="I360" s="41"/>
      <c r="K360" s="41"/>
      <c r="L360" s="64"/>
      <c r="M360" s="79"/>
    </row>
    <row r="361" spans="3:13" ht="13">
      <c r="C361" s="63"/>
      <c r="E361" s="41"/>
      <c r="F361" s="41"/>
      <c r="G361" s="41"/>
      <c r="H361" s="41"/>
      <c r="I361" s="41"/>
      <c r="K361" s="41"/>
      <c r="L361" s="64"/>
      <c r="M361" s="79"/>
    </row>
    <row r="362" spans="3:13" ht="13">
      <c r="C362" s="63"/>
      <c r="E362" s="41"/>
      <c r="F362" s="41"/>
      <c r="G362" s="41"/>
      <c r="H362" s="41"/>
      <c r="I362" s="41"/>
      <c r="K362" s="41"/>
      <c r="L362" s="64"/>
      <c r="M362" s="79"/>
    </row>
    <row r="363" spans="3:13" ht="13">
      <c r="C363" s="63"/>
      <c r="E363" s="41"/>
      <c r="F363" s="41"/>
      <c r="G363" s="41"/>
      <c r="H363" s="41"/>
      <c r="I363" s="41"/>
      <c r="K363" s="41"/>
      <c r="L363" s="64"/>
      <c r="M363" s="79"/>
    </row>
    <row r="364" spans="3:13" ht="13">
      <c r="C364" s="63"/>
      <c r="E364" s="41"/>
      <c r="F364" s="41"/>
      <c r="G364" s="41"/>
      <c r="H364" s="41"/>
      <c r="I364" s="41"/>
      <c r="K364" s="41"/>
      <c r="L364" s="64"/>
      <c r="M364" s="79"/>
    </row>
    <row r="365" spans="3:13" ht="13">
      <c r="C365" s="63"/>
      <c r="E365" s="41"/>
      <c r="F365" s="41"/>
      <c r="G365" s="41"/>
      <c r="H365" s="41"/>
      <c r="I365" s="41"/>
      <c r="K365" s="41"/>
      <c r="L365" s="64"/>
      <c r="M365" s="79"/>
    </row>
    <row r="366" spans="3:13" ht="13">
      <c r="C366" s="63"/>
      <c r="E366" s="41"/>
      <c r="F366" s="41"/>
      <c r="G366" s="41"/>
      <c r="H366" s="41"/>
      <c r="I366" s="41"/>
      <c r="K366" s="41"/>
      <c r="L366" s="64"/>
      <c r="M366" s="79"/>
    </row>
    <row r="367" spans="3:13" ht="13">
      <c r="C367" s="63"/>
      <c r="E367" s="41"/>
      <c r="F367" s="41"/>
      <c r="G367" s="41"/>
      <c r="H367" s="41"/>
      <c r="I367" s="41"/>
      <c r="K367" s="41"/>
      <c r="L367" s="64"/>
      <c r="M367" s="79"/>
    </row>
    <row r="368" spans="3:13" ht="13">
      <c r="C368" s="63"/>
      <c r="E368" s="41"/>
      <c r="F368" s="41"/>
      <c r="G368" s="41"/>
      <c r="H368" s="41"/>
      <c r="I368" s="41"/>
      <c r="K368" s="41"/>
      <c r="L368" s="64"/>
      <c r="M368" s="79"/>
    </row>
    <row r="369" spans="3:13" ht="13">
      <c r="C369" s="63"/>
      <c r="E369" s="41"/>
      <c r="F369" s="41"/>
      <c r="G369" s="41"/>
      <c r="H369" s="41"/>
      <c r="I369" s="41"/>
      <c r="K369" s="41"/>
      <c r="L369" s="64"/>
      <c r="M369" s="79"/>
    </row>
    <row r="370" spans="3:13" ht="13">
      <c r="C370" s="63"/>
      <c r="E370" s="41"/>
      <c r="F370" s="41"/>
      <c r="G370" s="41"/>
      <c r="H370" s="41"/>
      <c r="I370" s="41"/>
      <c r="K370" s="41"/>
      <c r="L370" s="64"/>
      <c r="M370" s="79"/>
    </row>
    <row r="371" spans="3:13" ht="13">
      <c r="C371" s="63"/>
      <c r="E371" s="41"/>
      <c r="F371" s="41"/>
      <c r="G371" s="41"/>
      <c r="H371" s="41"/>
      <c r="I371" s="41"/>
      <c r="K371" s="41"/>
      <c r="L371" s="64"/>
      <c r="M371" s="79"/>
    </row>
    <row r="372" spans="3:13" ht="13">
      <c r="C372" s="63"/>
      <c r="E372" s="41"/>
      <c r="F372" s="41"/>
      <c r="G372" s="41"/>
      <c r="H372" s="41"/>
      <c r="I372" s="41"/>
      <c r="K372" s="41"/>
      <c r="L372" s="64"/>
      <c r="M372" s="79"/>
    </row>
    <row r="373" spans="3:13" ht="13">
      <c r="C373" s="63"/>
      <c r="E373" s="41"/>
      <c r="F373" s="41"/>
      <c r="G373" s="41"/>
      <c r="H373" s="41"/>
      <c r="I373" s="41"/>
      <c r="K373" s="41"/>
      <c r="L373" s="64"/>
      <c r="M373" s="79"/>
    </row>
    <row r="374" spans="3:13" ht="13">
      <c r="C374" s="63"/>
      <c r="E374" s="41"/>
      <c r="F374" s="41"/>
      <c r="G374" s="41"/>
      <c r="H374" s="41"/>
      <c r="I374" s="41"/>
      <c r="K374" s="41"/>
      <c r="L374" s="64"/>
      <c r="M374" s="79"/>
    </row>
    <row r="375" spans="3:13" ht="13">
      <c r="C375" s="63"/>
      <c r="E375" s="41"/>
      <c r="F375" s="41"/>
      <c r="G375" s="41"/>
      <c r="H375" s="41"/>
      <c r="I375" s="41"/>
      <c r="K375" s="41"/>
      <c r="L375" s="64"/>
      <c r="M375" s="79"/>
    </row>
    <row r="376" spans="3:13" ht="13">
      <c r="C376" s="63"/>
      <c r="E376" s="41"/>
      <c r="F376" s="41"/>
      <c r="G376" s="41"/>
      <c r="H376" s="41"/>
      <c r="I376" s="41"/>
      <c r="K376" s="41"/>
      <c r="L376" s="64"/>
      <c r="M376" s="79"/>
    </row>
    <row r="377" spans="3:13" ht="13">
      <c r="C377" s="63"/>
      <c r="E377" s="41"/>
      <c r="F377" s="41"/>
      <c r="G377" s="41"/>
      <c r="H377" s="41"/>
      <c r="I377" s="41"/>
      <c r="K377" s="41"/>
      <c r="L377" s="64"/>
      <c r="M377" s="79"/>
    </row>
    <row r="378" spans="3:13" ht="13">
      <c r="C378" s="63"/>
      <c r="E378" s="41"/>
      <c r="F378" s="41"/>
      <c r="G378" s="41"/>
      <c r="H378" s="41"/>
      <c r="I378" s="41"/>
      <c r="K378" s="41"/>
      <c r="L378" s="64"/>
      <c r="M378" s="79"/>
    </row>
    <row r="379" spans="3:13" ht="13">
      <c r="C379" s="63"/>
      <c r="E379" s="41"/>
      <c r="F379" s="41"/>
      <c r="G379" s="41"/>
      <c r="H379" s="41"/>
      <c r="I379" s="41"/>
      <c r="K379" s="41"/>
      <c r="L379" s="64"/>
      <c r="M379" s="79"/>
    </row>
    <row r="380" spans="3:13" ht="13">
      <c r="C380" s="63"/>
      <c r="E380" s="41"/>
      <c r="F380" s="41"/>
      <c r="G380" s="41"/>
      <c r="H380" s="41"/>
      <c r="I380" s="41"/>
      <c r="K380" s="41"/>
      <c r="L380" s="64"/>
      <c r="M380" s="79"/>
    </row>
    <row r="381" spans="3:13" ht="13">
      <c r="C381" s="63"/>
      <c r="E381" s="41"/>
      <c r="F381" s="41"/>
      <c r="G381" s="41"/>
      <c r="H381" s="41"/>
      <c r="I381" s="41"/>
      <c r="K381" s="41"/>
      <c r="L381" s="64"/>
      <c r="M381" s="79"/>
    </row>
    <row r="382" spans="3:13" ht="13">
      <c r="C382" s="63"/>
      <c r="E382" s="41"/>
      <c r="F382" s="41"/>
      <c r="G382" s="41"/>
      <c r="H382" s="41"/>
      <c r="I382" s="41"/>
      <c r="K382" s="41"/>
      <c r="L382" s="64"/>
      <c r="M382" s="79"/>
    </row>
    <row r="383" spans="3:13" ht="13">
      <c r="C383" s="63"/>
      <c r="E383" s="41"/>
      <c r="F383" s="41"/>
      <c r="G383" s="41"/>
      <c r="H383" s="41"/>
      <c r="I383" s="41"/>
      <c r="K383" s="41"/>
      <c r="L383" s="64"/>
      <c r="M383" s="79"/>
    </row>
    <row r="384" spans="3:13" ht="13">
      <c r="C384" s="63"/>
      <c r="E384" s="41"/>
      <c r="F384" s="41"/>
      <c r="G384" s="41"/>
      <c r="H384" s="41"/>
      <c r="I384" s="41"/>
      <c r="K384" s="41"/>
      <c r="L384" s="64"/>
      <c r="M384" s="79"/>
    </row>
    <row r="385" spans="3:13" ht="13">
      <c r="C385" s="63"/>
      <c r="E385" s="41"/>
      <c r="F385" s="41"/>
      <c r="G385" s="41"/>
      <c r="H385" s="41"/>
      <c r="I385" s="41"/>
      <c r="K385" s="41"/>
      <c r="L385" s="64"/>
      <c r="M385" s="79"/>
    </row>
    <row r="386" spans="3:13" ht="13">
      <c r="C386" s="63"/>
      <c r="E386" s="41"/>
      <c r="F386" s="41"/>
      <c r="G386" s="41"/>
      <c r="H386" s="41"/>
      <c r="I386" s="41"/>
      <c r="K386" s="41"/>
      <c r="L386" s="64"/>
      <c r="M386" s="79"/>
    </row>
    <row r="387" spans="3:13" ht="13">
      <c r="C387" s="63"/>
      <c r="E387" s="41"/>
      <c r="F387" s="41"/>
      <c r="G387" s="41"/>
      <c r="H387" s="41"/>
      <c r="I387" s="41"/>
      <c r="K387" s="41"/>
      <c r="L387" s="64"/>
      <c r="M387" s="79"/>
    </row>
    <row r="388" spans="3:13" ht="13">
      <c r="C388" s="63"/>
      <c r="E388" s="41"/>
      <c r="F388" s="41"/>
      <c r="G388" s="41"/>
      <c r="H388" s="41"/>
      <c r="I388" s="41"/>
      <c r="K388" s="41"/>
      <c r="L388" s="64"/>
      <c r="M388" s="79"/>
    </row>
    <row r="389" spans="3:13" ht="13">
      <c r="C389" s="63"/>
      <c r="E389" s="41"/>
      <c r="F389" s="41"/>
      <c r="G389" s="41"/>
      <c r="H389" s="41"/>
      <c r="I389" s="41"/>
      <c r="K389" s="41"/>
      <c r="L389" s="64"/>
      <c r="M389" s="79"/>
    </row>
    <row r="390" spans="3:13" ht="13">
      <c r="C390" s="63"/>
      <c r="E390" s="41"/>
      <c r="F390" s="41"/>
      <c r="G390" s="41"/>
      <c r="H390" s="41"/>
      <c r="I390" s="41"/>
      <c r="K390" s="41"/>
      <c r="L390" s="64"/>
      <c r="M390" s="79"/>
    </row>
    <row r="391" spans="3:13" ht="13">
      <c r="C391" s="63"/>
      <c r="E391" s="41"/>
      <c r="F391" s="41"/>
      <c r="G391" s="41"/>
      <c r="H391" s="41"/>
      <c r="I391" s="41"/>
      <c r="K391" s="41"/>
      <c r="L391" s="64"/>
      <c r="M391" s="79"/>
    </row>
    <row r="392" spans="3:13" ht="13">
      <c r="C392" s="63"/>
      <c r="E392" s="41"/>
      <c r="F392" s="41"/>
      <c r="G392" s="41"/>
      <c r="H392" s="41"/>
      <c r="I392" s="41"/>
      <c r="K392" s="41"/>
      <c r="L392" s="64"/>
      <c r="M392" s="79"/>
    </row>
    <row r="393" spans="3:13" ht="13">
      <c r="C393" s="63"/>
      <c r="E393" s="41"/>
      <c r="F393" s="41"/>
      <c r="G393" s="41"/>
      <c r="H393" s="41"/>
      <c r="I393" s="41"/>
      <c r="K393" s="41"/>
      <c r="L393" s="64"/>
      <c r="M393" s="79"/>
    </row>
    <row r="394" spans="3:13" ht="13">
      <c r="C394" s="63"/>
      <c r="E394" s="41"/>
      <c r="F394" s="41"/>
      <c r="G394" s="41"/>
      <c r="H394" s="41"/>
      <c r="I394" s="41"/>
      <c r="K394" s="41"/>
      <c r="L394" s="64"/>
      <c r="M394" s="79"/>
    </row>
    <row r="395" spans="3:13" ht="13">
      <c r="C395" s="63"/>
      <c r="E395" s="41"/>
      <c r="F395" s="41"/>
      <c r="G395" s="41"/>
      <c r="H395" s="41"/>
      <c r="I395" s="41"/>
      <c r="K395" s="41"/>
      <c r="L395" s="64"/>
      <c r="M395" s="79"/>
    </row>
    <row r="396" spans="3:13" ht="13">
      <c r="C396" s="63"/>
      <c r="E396" s="41"/>
      <c r="F396" s="41"/>
      <c r="G396" s="41"/>
      <c r="H396" s="41"/>
      <c r="I396" s="41"/>
      <c r="K396" s="41"/>
      <c r="L396" s="64"/>
      <c r="M396" s="79"/>
    </row>
    <row r="397" spans="3:13" ht="13">
      <c r="C397" s="63"/>
      <c r="E397" s="41"/>
      <c r="F397" s="41"/>
      <c r="G397" s="41"/>
      <c r="H397" s="41"/>
      <c r="I397" s="41"/>
      <c r="K397" s="41"/>
      <c r="L397" s="64"/>
      <c r="M397" s="79"/>
    </row>
    <row r="398" spans="3:13" ht="13">
      <c r="C398" s="63"/>
      <c r="E398" s="41"/>
      <c r="F398" s="41"/>
      <c r="G398" s="41"/>
      <c r="H398" s="41"/>
      <c r="I398" s="41"/>
      <c r="K398" s="41"/>
      <c r="L398" s="64"/>
      <c r="M398" s="79"/>
    </row>
    <row r="399" spans="3:13" ht="13">
      <c r="C399" s="63"/>
      <c r="E399" s="41"/>
      <c r="F399" s="41"/>
      <c r="G399" s="41"/>
      <c r="H399" s="41"/>
      <c r="I399" s="41"/>
      <c r="K399" s="41"/>
      <c r="L399" s="64"/>
      <c r="M399" s="79"/>
    </row>
    <row r="400" spans="3:13" ht="13">
      <c r="C400" s="63"/>
      <c r="E400" s="41"/>
      <c r="F400" s="41"/>
      <c r="G400" s="41"/>
      <c r="H400" s="41"/>
      <c r="I400" s="41"/>
      <c r="K400" s="41"/>
      <c r="L400" s="64"/>
      <c r="M400" s="79"/>
    </row>
    <row r="401" spans="3:13" ht="13">
      <c r="C401" s="63"/>
      <c r="E401" s="41"/>
      <c r="F401" s="41"/>
      <c r="G401" s="41"/>
      <c r="H401" s="41"/>
      <c r="I401" s="41"/>
      <c r="K401" s="41"/>
      <c r="L401" s="64"/>
      <c r="M401" s="79"/>
    </row>
    <row r="402" spans="3:13" ht="13">
      <c r="C402" s="63"/>
      <c r="E402" s="41"/>
      <c r="F402" s="41"/>
      <c r="G402" s="41"/>
      <c r="H402" s="41"/>
      <c r="I402" s="41"/>
      <c r="K402" s="41"/>
      <c r="L402" s="64"/>
      <c r="M402" s="79"/>
    </row>
    <row r="403" spans="3:13" ht="13">
      <c r="C403" s="63"/>
      <c r="E403" s="41"/>
      <c r="F403" s="41"/>
      <c r="G403" s="41"/>
      <c r="H403" s="41"/>
      <c r="I403" s="41"/>
      <c r="K403" s="41"/>
      <c r="L403" s="64"/>
      <c r="M403" s="79"/>
    </row>
    <row r="404" spans="3:13" ht="13">
      <c r="C404" s="63"/>
      <c r="E404" s="41"/>
      <c r="F404" s="41"/>
      <c r="G404" s="41"/>
      <c r="H404" s="41"/>
      <c r="I404" s="41"/>
      <c r="K404" s="41"/>
      <c r="L404" s="64"/>
      <c r="M404" s="79"/>
    </row>
    <row r="405" spans="3:13" ht="13">
      <c r="C405" s="63"/>
      <c r="E405" s="41"/>
      <c r="F405" s="41"/>
      <c r="G405" s="41"/>
      <c r="H405" s="41"/>
      <c r="I405" s="41"/>
      <c r="K405" s="41"/>
      <c r="L405" s="64"/>
      <c r="M405" s="79"/>
    </row>
    <row r="406" spans="3:13" ht="13">
      <c r="C406" s="63"/>
      <c r="E406" s="41"/>
      <c r="F406" s="41"/>
      <c r="G406" s="41"/>
      <c r="H406" s="41"/>
      <c r="I406" s="41"/>
      <c r="K406" s="41"/>
      <c r="L406" s="64"/>
      <c r="M406" s="79"/>
    </row>
    <row r="407" spans="3:13" ht="13">
      <c r="C407" s="63"/>
      <c r="E407" s="41"/>
      <c r="F407" s="41"/>
      <c r="G407" s="41"/>
      <c r="H407" s="41"/>
      <c r="I407" s="41"/>
      <c r="K407" s="41"/>
      <c r="L407" s="64"/>
      <c r="M407" s="79"/>
    </row>
    <row r="408" spans="3:13" ht="13">
      <c r="C408" s="63"/>
      <c r="E408" s="41"/>
      <c r="F408" s="41"/>
      <c r="G408" s="41"/>
      <c r="H408" s="41"/>
      <c r="I408" s="41"/>
      <c r="K408" s="41"/>
      <c r="L408" s="64"/>
      <c r="M408" s="79"/>
    </row>
    <row r="409" spans="3:13" ht="13">
      <c r="C409" s="63"/>
      <c r="E409" s="41"/>
      <c r="F409" s="41"/>
      <c r="G409" s="41"/>
      <c r="H409" s="41"/>
      <c r="I409" s="41"/>
      <c r="K409" s="41"/>
      <c r="L409" s="64"/>
      <c r="M409" s="79"/>
    </row>
    <row r="410" spans="3:13" ht="13">
      <c r="C410" s="63"/>
      <c r="E410" s="41"/>
      <c r="F410" s="41"/>
      <c r="G410" s="41"/>
      <c r="H410" s="41"/>
      <c r="I410" s="41"/>
      <c r="K410" s="41"/>
      <c r="L410" s="64"/>
      <c r="M410" s="79"/>
    </row>
    <row r="411" spans="3:13" ht="13">
      <c r="C411" s="63"/>
      <c r="E411" s="41"/>
      <c r="F411" s="41"/>
      <c r="G411" s="41"/>
      <c r="H411" s="41"/>
      <c r="I411" s="41"/>
      <c r="K411" s="41"/>
      <c r="L411" s="64"/>
      <c r="M411" s="79"/>
    </row>
    <row r="412" spans="3:13" ht="13">
      <c r="C412" s="63"/>
      <c r="E412" s="41"/>
      <c r="F412" s="41"/>
      <c r="G412" s="41"/>
      <c r="H412" s="41"/>
      <c r="I412" s="41"/>
      <c r="K412" s="41"/>
      <c r="L412" s="64"/>
      <c r="M412" s="79"/>
    </row>
    <row r="413" spans="3:13" ht="13">
      <c r="C413" s="63"/>
      <c r="E413" s="41"/>
      <c r="F413" s="41"/>
      <c r="G413" s="41"/>
      <c r="H413" s="41"/>
      <c r="I413" s="41"/>
      <c r="K413" s="41"/>
      <c r="L413" s="64"/>
      <c r="M413" s="79"/>
    </row>
    <row r="414" spans="3:13" ht="13">
      <c r="C414" s="63"/>
      <c r="E414" s="41"/>
      <c r="F414" s="41"/>
      <c r="G414" s="41"/>
      <c r="H414" s="41"/>
      <c r="I414" s="41"/>
      <c r="K414" s="41"/>
      <c r="L414" s="64"/>
      <c r="M414" s="79"/>
    </row>
    <row r="415" spans="3:13" ht="13">
      <c r="C415" s="63"/>
      <c r="E415" s="41"/>
      <c r="F415" s="41"/>
      <c r="G415" s="41"/>
      <c r="H415" s="41"/>
      <c r="I415" s="41"/>
      <c r="K415" s="41"/>
      <c r="L415" s="64"/>
      <c r="M415" s="79"/>
    </row>
    <row r="416" spans="3:13" ht="13">
      <c r="C416" s="63"/>
      <c r="E416" s="41"/>
      <c r="F416" s="41"/>
      <c r="G416" s="41"/>
      <c r="H416" s="41"/>
      <c r="I416" s="41"/>
      <c r="K416" s="41"/>
      <c r="L416" s="64"/>
      <c r="M416" s="79"/>
    </row>
    <row r="417" spans="3:13" ht="13">
      <c r="C417" s="63"/>
      <c r="E417" s="41"/>
      <c r="F417" s="41"/>
      <c r="G417" s="41"/>
      <c r="H417" s="41"/>
      <c r="I417" s="41"/>
      <c r="K417" s="41"/>
      <c r="L417" s="64"/>
      <c r="M417" s="79"/>
    </row>
    <row r="418" spans="3:13" ht="13">
      <c r="C418" s="63"/>
      <c r="E418" s="41"/>
      <c r="F418" s="41"/>
      <c r="G418" s="41"/>
      <c r="H418" s="41"/>
      <c r="I418" s="41"/>
      <c r="K418" s="41"/>
      <c r="L418" s="64"/>
      <c r="M418" s="79"/>
    </row>
    <row r="419" spans="3:13" ht="13">
      <c r="C419" s="63"/>
      <c r="E419" s="41"/>
      <c r="F419" s="41"/>
      <c r="G419" s="41"/>
      <c r="H419" s="41"/>
      <c r="I419" s="41"/>
      <c r="K419" s="41"/>
      <c r="L419" s="64"/>
      <c r="M419" s="79"/>
    </row>
    <row r="420" spans="3:13" ht="13">
      <c r="C420" s="63"/>
      <c r="E420" s="41"/>
      <c r="F420" s="41"/>
      <c r="G420" s="41"/>
      <c r="H420" s="41"/>
      <c r="I420" s="41"/>
      <c r="K420" s="41"/>
      <c r="L420" s="64"/>
      <c r="M420" s="79"/>
    </row>
    <row r="421" spans="3:13" ht="13">
      <c r="C421" s="63"/>
      <c r="E421" s="41"/>
      <c r="F421" s="41"/>
      <c r="G421" s="41"/>
      <c r="H421" s="41"/>
      <c r="I421" s="41"/>
      <c r="K421" s="41"/>
      <c r="L421" s="64"/>
      <c r="M421" s="79"/>
    </row>
    <row r="422" spans="3:13" ht="13">
      <c r="C422" s="63"/>
      <c r="E422" s="41"/>
      <c r="F422" s="41"/>
      <c r="G422" s="41"/>
      <c r="H422" s="41"/>
      <c r="I422" s="41"/>
      <c r="K422" s="41"/>
      <c r="L422" s="64"/>
      <c r="M422" s="79"/>
    </row>
    <row r="423" spans="3:13" ht="13">
      <c r="C423" s="63"/>
      <c r="E423" s="41"/>
      <c r="F423" s="41"/>
      <c r="G423" s="41"/>
      <c r="H423" s="41"/>
      <c r="I423" s="41"/>
      <c r="K423" s="41"/>
      <c r="L423" s="64"/>
      <c r="M423" s="79"/>
    </row>
    <row r="424" spans="3:13" ht="13">
      <c r="C424" s="63"/>
      <c r="E424" s="41"/>
      <c r="F424" s="41"/>
      <c r="G424" s="41"/>
      <c r="H424" s="41"/>
      <c r="I424" s="41"/>
      <c r="K424" s="41"/>
      <c r="L424" s="64"/>
      <c r="M424" s="79"/>
    </row>
    <row r="425" spans="3:13" ht="13">
      <c r="C425" s="63"/>
      <c r="E425" s="41"/>
      <c r="F425" s="41"/>
      <c r="G425" s="41"/>
      <c r="H425" s="41"/>
      <c r="I425" s="41"/>
      <c r="K425" s="41"/>
      <c r="L425" s="64"/>
      <c r="M425" s="79"/>
    </row>
    <row r="426" spans="3:13" ht="13">
      <c r="C426" s="63"/>
      <c r="E426" s="41"/>
      <c r="F426" s="41"/>
      <c r="G426" s="41"/>
      <c r="H426" s="41"/>
      <c r="I426" s="41"/>
      <c r="K426" s="41"/>
      <c r="L426" s="64"/>
      <c r="M426" s="79"/>
    </row>
    <row r="427" spans="3:13" ht="13">
      <c r="C427" s="63"/>
      <c r="E427" s="41"/>
      <c r="F427" s="41"/>
      <c r="G427" s="41"/>
      <c r="H427" s="41"/>
      <c r="I427" s="41"/>
      <c r="K427" s="41"/>
      <c r="L427" s="64"/>
      <c r="M427" s="79"/>
    </row>
    <row r="428" spans="3:13" ht="13">
      <c r="C428" s="63"/>
      <c r="E428" s="41"/>
      <c r="F428" s="41"/>
      <c r="G428" s="41"/>
      <c r="H428" s="41"/>
      <c r="I428" s="41"/>
      <c r="K428" s="41"/>
      <c r="L428" s="64"/>
      <c r="M428" s="79"/>
    </row>
    <row r="429" spans="3:13" ht="13">
      <c r="C429" s="63"/>
      <c r="E429" s="41"/>
      <c r="F429" s="41"/>
      <c r="G429" s="41"/>
      <c r="H429" s="41"/>
      <c r="I429" s="41"/>
      <c r="K429" s="41"/>
      <c r="L429" s="64"/>
      <c r="M429" s="79"/>
    </row>
    <row r="430" spans="3:13" ht="13">
      <c r="C430" s="63"/>
      <c r="E430" s="41"/>
      <c r="F430" s="41"/>
      <c r="G430" s="41"/>
      <c r="H430" s="41"/>
      <c r="I430" s="41"/>
      <c r="K430" s="41"/>
      <c r="L430" s="64"/>
      <c r="M430" s="79"/>
    </row>
    <row r="431" spans="3:13" ht="13">
      <c r="C431" s="63"/>
      <c r="E431" s="41"/>
      <c r="F431" s="41"/>
      <c r="G431" s="41"/>
      <c r="H431" s="41"/>
      <c r="I431" s="41"/>
      <c r="K431" s="41"/>
      <c r="L431" s="64"/>
      <c r="M431" s="79"/>
    </row>
    <row r="432" spans="3:13" ht="13">
      <c r="C432" s="63"/>
      <c r="E432" s="41"/>
      <c r="F432" s="41"/>
      <c r="G432" s="41"/>
      <c r="H432" s="41"/>
      <c r="I432" s="41"/>
      <c r="K432" s="41"/>
      <c r="L432" s="64"/>
      <c r="M432" s="79"/>
    </row>
    <row r="433" spans="3:13" ht="13">
      <c r="C433" s="63"/>
      <c r="E433" s="41"/>
      <c r="F433" s="41"/>
      <c r="G433" s="41"/>
      <c r="H433" s="41"/>
      <c r="I433" s="41"/>
      <c r="K433" s="41"/>
      <c r="L433" s="64"/>
      <c r="M433" s="79"/>
    </row>
    <row r="434" spans="3:13" ht="13">
      <c r="C434" s="63"/>
      <c r="E434" s="41"/>
      <c r="F434" s="41"/>
      <c r="G434" s="41"/>
      <c r="H434" s="41"/>
      <c r="I434" s="41"/>
      <c r="K434" s="41"/>
      <c r="L434" s="64"/>
      <c r="M434" s="79"/>
    </row>
    <row r="435" spans="3:13" ht="13">
      <c r="C435" s="63"/>
      <c r="E435" s="41"/>
      <c r="F435" s="41"/>
      <c r="G435" s="41"/>
      <c r="H435" s="41"/>
      <c r="I435" s="41"/>
      <c r="K435" s="41"/>
      <c r="L435" s="64"/>
      <c r="M435" s="79"/>
    </row>
    <row r="436" spans="3:13" ht="13">
      <c r="C436" s="63"/>
      <c r="E436" s="41"/>
      <c r="F436" s="41"/>
      <c r="G436" s="41"/>
      <c r="H436" s="41"/>
      <c r="I436" s="41"/>
      <c r="K436" s="41"/>
      <c r="L436" s="64"/>
      <c r="M436" s="79"/>
    </row>
    <row r="437" spans="3:13" ht="13">
      <c r="C437" s="63"/>
      <c r="E437" s="41"/>
      <c r="F437" s="41"/>
      <c r="G437" s="41"/>
      <c r="H437" s="41"/>
      <c r="I437" s="41"/>
      <c r="K437" s="41"/>
      <c r="L437" s="64"/>
      <c r="M437" s="79"/>
    </row>
    <row r="438" spans="3:13" ht="13">
      <c r="C438" s="63"/>
      <c r="E438" s="41"/>
      <c r="F438" s="41"/>
      <c r="G438" s="41"/>
      <c r="H438" s="41"/>
      <c r="I438" s="41"/>
      <c r="K438" s="41"/>
      <c r="L438" s="64"/>
      <c r="M438" s="79"/>
    </row>
    <row r="439" spans="3:13" ht="13">
      <c r="C439" s="63"/>
      <c r="E439" s="41"/>
      <c r="F439" s="41"/>
      <c r="G439" s="41"/>
      <c r="H439" s="41"/>
      <c r="I439" s="41"/>
      <c r="K439" s="41"/>
      <c r="L439" s="64"/>
      <c r="M439" s="79"/>
    </row>
    <row r="440" spans="3:13" ht="13">
      <c r="C440" s="63"/>
      <c r="E440" s="41"/>
      <c r="F440" s="41"/>
      <c r="G440" s="41"/>
      <c r="H440" s="41"/>
      <c r="I440" s="41"/>
      <c r="K440" s="41"/>
      <c r="L440" s="64"/>
      <c r="M440" s="79"/>
    </row>
    <row r="441" spans="3:13" ht="13">
      <c r="C441" s="63"/>
      <c r="E441" s="41"/>
      <c r="F441" s="41"/>
      <c r="G441" s="41"/>
      <c r="H441" s="41"/>
      <c r="I441" s="41"/>
      <c r="K441" s="41"/>
      <c r="L441" s="64"/>
      <c r="M441" s="79"/>
    </row>
    <row r="442" spans="3:13" ht="13">
      <c r="C442" s="63"/>
      <c r="E442" s="41"/>
      <c r="F442" s="41"/>
      <c r="G442" s="41"/>
      <c r="H442" s="41"/>
      <c r="I442" s="41"/>
      <c r="K442" s="41"/>
      <c r="L442" s="64"/>
      <c r="M442" s="79"/>
    </row>
    <row r="443" spans="3:13" ht="13">
      <c r="C443" s="63"/>
      <c r="E443" s="41"/>
      <c r="F443" s="41"/>
      <c r="G443" s="41"/>
      <c r="H443" s="41"/>
      <c r="I443" s="41"/>
      <c r="K443" s="41"/>
      <c r="L443" s="64"/>
      <c r="M443" s="79"/>
    </row>
    <row r="444" spans="3:13" ht="13">
      <c r="C444" s="63"/>
      <c r="E444" s="41"/>
      <c r="F444" s="41"/>
      <c r="G444" s="41"/>
      <c r="H444" s="41"/>
      <c r="I444" s="41"/>
      <c r="K444" s="41"/>
      <c r="L444" s="64"/>
      <c r="M444" s="79"/>
    </row>
    <row r="445" spans="3:13" ht="13">
      <c r="C445" s="63"/>
      <c r="E445" s="41"/>
      <c r="F445" s="41"/>
      <c r="G445" s="41"/>
      <c r="H445" s="41"/>
      <c r="I445" s="41"/>
      <c r="K445" s="41"/>
      <c r="L445" s="64"/>
      <c r="M445" s="79"/>
    </row>
    <row r="446" spans="3:13" ht="13">
      <c r="C446" s="63"/>
      <c r="E446" s="41"/>
      <c r="F446" s="41"/>
      <c r="G446" s="41"/>
      <c r="H446" s="41"/>
      <c r="I446" s="41"/>
      <c r="K446" s="41"/>
      <c r="L446" s="64"/>
      <c r="M446" s="79"/>
    </row>
    <row r="447" spans="3:13" ht="13">
      <c r="C447" s="63"/>
      <c r="E447" s="41"/>
      <c r="F447" s="41"/>
      <c r="G447" s="41"/>
      <c r="H447" s="41"/>
      <c r="I447" s="41"/>
      <c r="K447" s="41"/>
      <c r="L447" s="64"/>
      <c r="M447" s="79"/>
    </row>
    <row r="448" spans="3:13" ht="13">
      <c r="C448" s="63"/>
      <c r="E448" s="41"/>
      <c r="F448" s="41"/>
      <c r="G448" s="41"/>
      <c r="H448" s="41"/>
      <c r="I448" s="41"/>
      <c r="K448" s="41"/>
      <c r="L448" s="64"/>
      <c r="M448" s="79"/>
    </row>
    <row r="449" spans="3:13" ht="13">
      <c r="C449" s="63"/>
      <c r="E449" s="41"/>
      <c r="F449" s="41"/>
      <c r="G449" s="41"/>
      <c r="H449" s="41"/>
      <c r="I449" s="41"/>
      <c r="K449" s="41"/>
      <c r="L449" s="64"/>
      <c r="M449" s="79"/>
    </row>
    <row r="450" spans="3:13" ht="13">
      <c r="C450" s="63"/>
      <c r="E450" s="41"/>
      <c r="F450" s="41"/>
      <c r="G450" s="41"/>
      <c r="H450" s="41"/>
      <c r="I450" s="41"/>
      <c r="K450" s="41"/>
      <c r="L450" s="64"/>
      <c r="M450" s="79"/>
    </row>
    <row r="451" spans="3:13" ht="13">
      <c r="C451" s="63"/>
      <c r="E451" s="41"/>
      <c r="F451" s="41"/>
      <c r="G451" s="41"/>
      <c r="H451" s="41"/>
      <c r="I451" s="41"/>
      <c r="K451" s="41"/>
      <c r="L451" s="64"/>
      <c r="M451" s="79"/>
    </row>
    <row r="452" spans="3:13" ht="13">
      <c r="C452" s="63"/>
      <c r="E452" s="41"/>
      <c r="F452" s="41"/>
      <c r="G452" s="41"/>
      <c r="H452" s="41"/>
      <c r="I452" s="41"/>
      <c r="K452" s="41"/>
      <c r="L452" s="64"/>
      <c r="M452" s="79"/>
    </row>
    <row r="453" spans="3:13" ht="13">
      <c r="C453" s="63"/>
      <c r="E453" s="41"/>
      <c r="F453" s="41"/>
      <c r="G453" s="41"/>
      <c r="H453" s="41"/>
      <c r="I453" s="41"/>
      <c r="K453" s="41"/>
      <c r="L453" s="64"/>
      <c r="M453" s="79"/>
    </row>
    <row r="454" spans="3:13" ht="13">
      <c r="C454" s="63"/>
      <c r="E454" s="41"/>
      <c r="F454" s="41"/>
      <c r="G454" s="41"/>
      <c r="H454" s="41"/>
      <c r="I454" s="41"/>
      <c r="K454" s="41"/>
      <c r="L454" s="64"/>
      <c r="M454" s="79"/>
    </row>
    <row r="455" spans="3:13" ht="13">
      <c r="C455" s="63"/>
      <c r="E455" s="41"/>
      <c r="F455" s="41"/>
      <c r="G455" s="41"/>
      <c r="H455" s="41"/>
      <c r="I455" s="41"/>
      <c r="K455" s="41"/>
      <c r="L455" s="64"/>
      <c r="M455" s="79"/>
    </row>
    <row r="456" spans="3:13" ht="13">
      <c r="C456" s="63"/>
      <c r="E456" s="41"/>
      <c r="F456" s="41"/>
      <c r="G456" s="41"/>
      <c r="H456" s="41"/>
      <c r="I456" s="41"/>
      <c r="K456" s="41"/>
      <c r="L456" s="64"/>
      <c r="M456" s="79"/>
    </row>
    <row r="457" spans="3:13" ht="13">
      <c r="C457" s="63"/>
      <c r="E457" s="41"/>
      <c r="F457" s="41"/>
      <c r="G457" s="41"/>
      <c r="H457" s="41"/>
      <c r="I457" s="41"/>
      <c r="K457" s="41"/>
      <c r="L457" s="64"/>
      <c r="M457" s="79"/>
    </row>
    <row r="458" spans="3:13" ht="13">
      <c r="C458" s="63"/>
      <c r="E458" s="41"/>
      <c r="F458" s="41"/>
      <c r="G458" s="41"/>
      <c r="H458" s="41"/>
      <c r="I458" s="41"/>
      <c r="K458" s="41"/>
      <c r="L458" s="64"/>
      <c r="M458" s="79"/>
    </row>
    <row r="459" spans="3:13" ht="13">
      <c r="C459" s="63"/>
      <c r="E459" s="41"/>
      <c r="F459" s="41"/>
      <c r="G459" s="41"/>
      <c r="H459" s="41"/>
      <c r="I459" s="41"/>
      <c r="K459" s="41"/>
      <c r="L459" s="64"/>
      <c r="M459" s="79"/>
    </row>
    <row r="460" spans="3:13" ht="13">
      <c r="C460" s="63"/>
      <c r="E460" s="41"/>
      <c r="F460" s="41"/>
      <c r="G460" s="41"/>
      <c r="H460" s="41"/>
      <c r="I460" s="41"/>
      <c r="K460" s="41"/>
      <c r="L460" s="64"/>
      <c r="M460" s="79"/>
    </row>
    <row r="461" spans="3:13" ht="13">
      <c r="C461" s="63"/>
      <c r="E461" s="41"/>
      <c r="F461" s="41"/>
      <c r="G461" s="41"/>
      <c r="H461" s="41"/>
      <c r="I461" s="41"/>
      <c r="K461" s="41"/>
      <c r="L461" s="64"/>
      <c r="M461" s="79"/>
    </row>
    <row r="462" spans="3:13" ht="13">
      <c r="C462" s="63"/>
      <c r="E462" s="41"/>
      <c r="F462" s="41"/>
      <c r="G462" s="41"/>
      <c r="H462" s="41"/>
      <c r="I462" s="41"/>
      <c r="K462" s="41"/>
      <c r="L462" s="64"/>
      <c r="M462" s="79"/>
    </row>
    <row r="463" spans="3:13" ht="13">
      <c r="C463" s="63"/>
      <c r="E463" s="41"/>
      <c r="F463" s="41"/>
      <c r="G463" s="41"/>
      <c r="H463" s="41"/>
      <c r="I463" s="41"/>
      <c r="K463" s="41"/>
      <c r="L463" s="64"/>
      <c r="M463" s="79"/>
    </row>
    <row r="464" spans="3:13" ht="13">
      <c r="C464" s="63"/>
      <c r="E464" s="41"/>
      <c r="F464" s="41"/>
      <c r="G464" s="41"/>
      <c r="H464" s="41"/>
      <c r="I464" s="41"/>
      <c r="K464" s="41"/>
      <c r="L464" s="64"/>
      <c r="M464" s="79"/>
    </row>
    <row r="465" spans="3:13" ht="13">
      <c r="C465" s="63"/>
      <c r="E465" s="41"/>
      <c r="F465" s="41"/>
      <c r="G465" s="41"/>
      <c r="H465" s="41"/>
      <c r="I465" s="41"/>
      <c r="K465" s="41"/>
      <c r="L465" s="64"/>
      <c r="M465" s="79"/>
    </row>
    <row r="466" spans="3:13" ht="13">
      <c r="C466" s="63"/>
      <c r="E466" s="41"/>
      <c r="F466" s="41"/>
      <c r="G466" s="41"/>
      <c r="H466" s="41"/>
      <c r="I466" s="41"/>
      <c r="K466" s="41"/>
      <c r="L466" s="64"/>
      <c r="M466" s="79"/>
    </row>
    <row r="467" spans="3:13" ht="13">
      <c r="C467" s="63"/>
      <c r="E467" s="41"/>
      <c r="F467" s="41"/>
      <c r="G467" s="41"/>
      <c r="H467" s="41"/>
      <c r="I467" s="41"/>
      <c r="K467" s="41"/>
      <c r="L467" s="64"/>
      <c r="M467" s="79"/>
    </row>
    <row r="468" spans="3:13" ht="13">
      <c r="C468" s="63"/>
      <c r="E468" s="41"/>
      <c r="F468" s="41"/>
      <c r="G468" s="41"/>
      <c r="H468" s="41"/>
      <c r="I468" s="41"/>
      <c r="K468" s="41"/>
      <c r="L468" s="64"/>
      <c r="M468" s="79"/>
    </row>
    <row r="469" spans="3:13" ht="13">
      <c r="C469" s="63"/>
      <c r="E469" s="41"/>
      <c r="F469" s="41"/>
      <c r="G469" s="41"/>
      <c r="H469" s="41"/>
      <c r="I469" s="41"/>
      <c r="K469" s="41"/>
      <c r="L469" s="64"/>
      <c r="M469" s="79"/>
    </row>
    <row r="470" spans="3:13" ht="13">
      <c r="C470" s="63"/>
      <c r="E470" s="41"/>
      <c r="F470" s="41"/>
      <c r="G470" s="41"/>
      <c r="H470" s="41"/>
      <c r="I470" s="41"/>
      <c r="K470" s="41"/>
      <c r="L470" s="64"/>
      <c r="M470" s="79"/>
    </row>
    <row r="471" spans="3:13" ht="13">
      <c r="C471" s="63"/>
      <c r="E471" s="41"/>
      <c r="F471" s="41"/>
      <c r="G471" s="41"/>
      <c r="H471" s="41"/>
      <c r="I471" s="41"/>
      <c r="K471" s="41"/>
      <c r="L471" s="64"/>
      <c r="M471" s="79"/>
    </row>
    <row r="472" spans="3:13" ht="13">
      <c r="C472" s="63"/>
      <c r="E472" s="41"/>
      <c r="F472" s="41"/>
      <c r="G472" s="41"/>
      <c r="H472" s="41"/>
      <c r="I472" s="41"/>
      <c r="K472" s="41"/>
      <c r="L472" s="64"/>
      <c r="M472" s="79"/>
    </row>
    <row r="473" spans="3:13" ht="13">
      <c r="C473" s="63"/>
      <c r="E473" s="41"/>
      <c r="F473" s="41"/>
      <c r="G473" s="41"/>
      <c r="H473" s="41"/>
      <c r="I473" s="41"/>
      <c r="K473" s="41"/>
      <c r="L473" s="64"/>
      <c r="M473" s="79"/>
    </row>
    <row r="474" spans="3:13" ht="13">
      <c r="C474" s="63"/>
      <c r="E474" s="41"/>
      <c r="F474" s="41"/>
      <c r="G474" s="41"/>
      <c r="H474" s="41"/>
      <c r="I474" s="41"/>
      <c r="K474" s="41"/>
      <c r="L474" s="64"/>
      <c r="M474" s="79"/>
    </row>
    <row r="475" spans="3:13" ht="13">
      <c r="C475" s="63"/>
      <c r="E475" s="41"/>
      <c r="F475" s="41"/>
      <c r="G475" s="41"/>
      <c r="H475" s="41"/>
      <c r="I475" s="41"/>
      <c r="K475" s="41"/>
      <c r="L475" s="64"/>
      <c r="M475" s="79"/>
    </row>
    <row r="476" spans="3:13" ht="13">
      <c r="C476" s="63"/>
      <c r="E476" s="41"/>
      <c r="F476" s="41"/>
      <c r="G476" s="41"/>
      <c r="H476" s="41"/>
      <c r="I476" s="41"/>
      <c r="K476" s="41"/>
      <c r="L476" s="64"/>
      <c r="M476" s="79"/>
    </row>
    <row r="477" spans="3:13" ht="13">
      <c r="C477" s="63"/>
      <c r="E477" s="41"/>
      <c r="F477" s="41"/>
      <c r="G477" s="41"/>
      <c r="H477" s="41"/>
      <c r="I477" s="41"/>
      <c r="K477" s="41"/>
      <c r="L477" s="64"/>
      <c r="M477" s="79"/>
    </row>
    <row r="478" spans="3:13" ht="13">
      <c r="C478" s="63"/>
      <c r="E478" s="41"/>
      <c r="F478" s="41"/>
      <c r="G478" s="41"/>
      <c r="H478" s="41"/>
      <c r="I478" s="41"/>
      <c r="K478" s="41"/>
      <c r="L478" s="64"/>
      <c r="M478" s="79"/>
    </row>
    <row r="479" spans="3:13" ht="13">
      <c r="C479" s="63"/>
      <c r="E479" s="41"/>
      <c r="F479" s="41"/>
      <c r="G479" s="41"/>
      <c r="H479" s="41"/>
      <c r="I479" s="41"/>
      <c r="K479" s="41"/>
      <c r="L479" s="64"/>
      <c r="M479" s="79"/>
    </row>
    <row r="480" spans="3:13" ht="13">
      <c r="C480" s="63"/>
      <c r="E480" s="41"/>
      <c r="F480" s="41"/>
      <c r="G480" s="41"/>
      <c r="H480" s="41"/>
      <c r="I480" s="41"/>
      <c r="K480" s="41"/>
      <c r="L480" s="64"/>
      <c r="M480" s="79"/>
    </row>
    <row r="481" spans="3:13" ht="13">
      <c r="C481" s="63"/>
      <c r="E481" s="41"/>
      <c r="F481" s="41"/>
      <c r="G481" s="41"/>
      <c r="H481" s="41"/>
      <c r="I481" s="41"/>
      <c r="K481" s="41"/>
      <c r="L481" s="64"/>
      <c r="M481" s="79"/>
    </row>
    <row r="482" spans="3:13" ht="13">
      <c r="C482" s="63"/>
      <c r="E482" s="41"/>
      <c r="F482" s="41"/>
      <c r="G482" s="41"/>
      <c r="H482" s="41"/>
      <c r="I482" s="41"/>
      <c r="K482" s="41"/>
      <c r="L482" s="64"/>
      <c r="M482" s="79"/>
    </row>
    <row r="483" spans="3:13" ht="13">
      <c r="C483" s="63"/>
      <c r="E483" s="41"/>
      <c r="F483" s="41"/>
      <c r="G483" s="41"/>
      <c r="H483" s="41"/>
      <c r="I483" s="41"/>
      <c r="K483" s="41"/>
      <c r="L483" s="64"/>
      <c r="M483" s="79"/>
    </row>
    <row r="484" spans="3:13" ht="13">
      <c r="C484" s="63"/>
      <c r="E484" s="41"/>
      <c r="F484" s="41"/>
      <c r="G484" s="41"/>
      <c r="H484" s="41"/>
      <c r="I484" s="41"/>
      <c r="K484" s="41"/>
      <c r="L484" s="64"/>
      <c r="M484" s="79"/>
    </row>
    <row r="485" spans="3:13" ht="13">
      <c r="C485" s="63"/>
      <c r="E485" s="41"/>
      <c r="F485" s="41"/>
      <c r="G485" s="41"/>
      <c r="H485" s="41"/>
      <c r="I485" s="41"/>
      <c r="K485" s="41"/>
      <c r="L485" s="64"/>
      <c r="M485" s="79"/>
    </row>
    <row r="486" spans="3:13" ht="13">
      <c r="C486" s="63"/>
      <c r="E486" s="41"/>
      <c r="F486" s="41"/>
      <c r="G486" s="41"/>
      <c r="H486" s="41"/>
      <c r="I486" s="41"/>
      <c r="K486" s="41"/>
      <c r="L486" s="64"/>
      <c r="M486" s="79"/>
    </row>
    <row r="487" spans="3:13" ht="13">
      <c r="C487" s="63"/>
      <c r="E487" s="41"/>
      <c r="F487" s="41"/>
      <c r="G487" s="41"/>
      <c r="H487" s="41"/>
      <c r="I487" s="41"/>
      <c r="K487" s="41"/>
      <c r="L487" s="64"/>
      <c r="M487" s="79"/>
    </row>
    <row r="488" spans="3:13" ht="13">
      <c r="C488" s="63"/>
      <c r="E488" s="41"/>
      <c r="F488" s="41"/>
      <c r="G488" s="41"/>
      <c r="H488" s="41"/>
      <c r="I488" s="41"/>
      <c r="K488" s="41"/>
      <c r="L488" s="64"/>
      <c r="M488" s="79"/>
    </row>
    <row r="489" spans="3:13" ht="13">
      <c r="C489" s="63"/>
      <c r="E489" s="41"/>
      <c r="F489" s="41"/>
      <c r="G489" s="41"/>
      <c r="H489" s="41"/>
      <c r="I489" s="41"/>
      <c r="K489" s="41"/>
      <c r="L489" s="64"/>
      <c r="M489" s="79"/>
    </row>
    <row r="490" spans="3:13" ht="13">
      <c r="C490" s="63"/>
      <c r="E490" s="41"/>
      <c r="F490" s="41"/>
      <c r="G490" s="41"/>
      <c r="H490" s="41"/>
      <c r="I490" s="41"/>
      <c r="K490" s="41"/>
      <c r="L490" s="64"/>
      <c r="M490" s="79"/>
    </row>
    <row r="491" spans="3:13" ht="13">
      <c r="C491" s="63"/>
      <c r="E491" s="41"/>
      <c r="F491" s="41"/>
      <c r="G491" s="41"/>
      <c r="H491" s="41"/>
      <c r="I491" s="41"/>
      <c r="K491" s="41"/>
      <c r="L491" s="64"/>
      <c r="M491" s="79"/>
    </row>
    <row r="492" spans="3:13" ht="13">
      <c r="C492" s="63"/>
      <c r="E492" s="41"/>
      <c r="F492" s="41"/>
      <c r="G492" s="41"/>
      <c r="H492" s="41"/>
      <c r="I492" s="41"/>
      <c r="K492" s="41"/>
      <c r="L492" s="64"/>
      <c r="M492" s="79"/>
    </row>
    <row r="493" spans="3:13" ht="13">
      <c r="C493" s="63"/>
      <c r="E493" s="41"/>
      <c r="F493" s="41"/>
      <c r="G493" s="41"/>
      <c r="H493" s="41"/>
      <c r="I493" s="41"/>
      <c r="K493" s="41"/>
      <c r="L493" s="64"/>
      <c r="M493" s="79"/>
    </row>
    <row r="494" spans="3:13" ht="13">
      <c r="C494" s="63"/>
      <c r="E494" s="41"/>
      <c r="F494" s="41"/>
      <c r="G494" s="41"/>
      <c r="H494" s="41"/>
      <c r="I494" s="41"/>
      <c r="K494" s="41"/>
      <c r="L494" s="64"/>
      <c r="M494" s="79"/>
    </row>
    <row r="495" spans="3:13" ht="13">
      <c r="C495" s="63"/>
      <c r="E495" s="41"/>
      <c r="F495" s="41"/>
      <c r="G495" s="41"/>
      <c r="H495" s="41"/>
      <c r="I495" s="41"/>
      <c r="K495" s="41"/>
      <c r="L495" s="64"/>
      <c r="M495" s="79"/>
    </row>
    <row r="496" spans="3:13" ht="13">
      <c r="C496" s="63"/>
      <c r="E496" s="41"/>
      <c r="F496" s="41"/>
      <c r="G496" s="41"/>
      <c r="H496" s="41"/>
      <c r="I496" s="41"/>
      <c r="K496" s="41"/>
      <c r="L496" s="64"/>
      <c r="M496" s="79"/>
    </row>
    <row r="497" spans="3:13" ht="13">
      <c r="C497" s="63"/>
      <c r="E497" s="41"/>
      <c r="F497" s="41"/>
      <c r="G497" s="41"/>
      <c r="H497" s="41"/>
      <c r="I497" s="41"/>
      <c r="K497" s="41"/>
      <c r="L497" s="64"/>
      <c r="M497" s="79"/>
    </row>
    <row r="498" spans="3:13" ht="13">
      <c r="C498" s="63"/>
      <c r="E498" s="41"/>
      <c r="F498" s="41"/>
      <c r="G498" s="41"/>
      <c r="H498" s="41"/>
      <c r="I498" s="41"/>
      <c r="K498" s="41"/>
      <c r="L498" s="64"/>
      <c r="M498" s="79"/>
    </row>
    <row r="499" spans="3:13" ht="13">
      <c r="C499" s="63"/>
      <c r="E499" s="41"/>
      <c r="F499" s="41"/>
      <c r="G499" s="41"/>
      <c r="H499" s="41"/>
      <c r="I499" s="41"/>
      <c r="K499" s="41"/>
      <c r="L499" s="64"/>
      <c r="M499" s="79"/>
    </row>
    <row r="500" spans="3:13" ht="13">
      <c r="C500" s="63"/>
      <c r="E500" s="41"/>
      <c r="F500" s="41"/>
      <c r="G500" s="41"/>
      <c r="H500" s="41"/>
      <c r="I500" s="41"/>
      <c r="K500" s="41"/>
      <c r="L500" s="64"/>
      <c r="M500" s="79"/>
    </row>
    <row r="501" spans="3:13" ht="13">
      <c r="C501" s="63"/>
      <c r="E501" s="41"/>
      <c r="F501" s="41"/>
      <c r="G501" s="41"/>
      <c r="H501" s="41"/>
      <c r="I501" s="41"/>
      <c r="K501" s="41"/>
      <c r="L501" s="64"/>
      <c r="M501" s="79"/>
    </row>
    <row r="502" spans="3:13" ht="13">
      <c r="C502" s="63"/>
      <c r="E502" s="41"/>
      <c r="F502" s="41"/>
      <c r="G502" s="41"/>
      <c r="H502" s="41"/>
      <c r="I502" s="41"/>
      <c r="K502" s="41"/>
      <c r="L502" s="64"/>
      <c r="M502" s="79"/>
    </row>
    <row r="503" spans="3:13" ht="13">
      <c r="C503" s="63"/>
      <c r="E503" s="41"/>
      <c r="F503" s="41"/>
      <c r="G503" s="41"/>
      <c r="H503" s="41"/>
      <c r="I503" s="41"/>
      <c r="K503" s="41"/>
      <c r="L503" s="64"/>
      <c r="M503" s="79"/>
    </row>
    <row r="504" spans="3:13" ht="13">
      <c r="C504" s="63"/>
      <c r="E504" s="41"/>
      <c r="F504" s="41"/>
      <c r="G504" s="41"/>
      <c r="H504" s="41"/>
      <c r="I504" s="41"/>
      <c r="K504" s="41"/>
      <c r="L504" s="64"/>
      <c r="M504" s="79"/>
    </row>
    <row r="505" spans="3:13" ht="13">
      <c r="C505" s="63"/>
      <c r="E505" s="41"/>
      <c r="F505" s="41"/>
      <c r="G505" s="41"/>
      <c r="H505" s="41"/>
      <c r="I505" s="41"/>
      <c r="K505" s="41"/>
      <c r="L505" s="64"/>
      <c r="M505" s="79"/>
    </row>
    <row r="506" spans="3:13" ht="13">
      <c r="C506" s="63"/>
      <c r="E506" s="41"/>
      <c r="F506" s="41"/>
      <c r="G506" s="41"/>
      <c r="H506" s="41"/>
      <c r="I506" s="41"/>
      <c r="K506" s="41"/>
      <c r="L506" s="64"/>
      <c r="M506" s="79"/>
    </row>
    <row r="507" spans="3:13" ht="13">
      <c r="C507" s="63"/>
      <c r="E507" s="41"/>
      <c r="F507" s="41"/>
      <c r="G507" s="41"/>
      <c r="H507" s="41"/>
      <c r="I507" s="41"/>
      <c r="K507" s="41"/>
      <c r="L507" s="64"/>
      <c r="M507" s="79"/>
    </row>
    <row r="508" spans="3:13" ht="13">
      <c r="C508" s="63"/>
      <c r="E508" s="41"/>
      <c r="F508" s="41"/>
      <c r="G508" s="41"/>
      <c r="H508" s="41"/>
      <c r="I508" s="41"/>
      <c r="K508" s="41"/>
      <c r="L508" s="64"/>
      <c r="M508" s="79"/>
    </row>
    <row r="509" spans="3:13" ht="13">
      <c r="C509" s="63"/>
      <c r="E509" s="41"/>
      <c r="F509" s="41"/>
      <c r="G509" s="41"/>
      <c r="H509" s="41"/>
      <c r="I509" s="41"/>
      <c r="K509" s="41"/>
      <c r="L509" s="64"/>
      <c r="M509" s="79"/>
    </row>
    <row r="510" spans="3:13" ht="13">
      <c r="C510" s="63"/>
      <c r="E510" s="41"/>
      <c r="F510" s="41"/>
      <c r="G510" s="41"/>
      <c r="H510" s="41"/>
      <c r="I510" s="41"/>
      <c r="K510" s="41"/>
      <c r="L510" s="64"/>
      <c r="M510" s="79"/>
    </row>
    <row r="511" spans="3:13" ht="13">
      <c r="C511" s="63"/>
      <c r="E511" s="41"/>
      <c r="F511" s="41"/>
      <c r="G511" s="41"/>
      <c r="H511" s="41"/>
      <c r="I511" s="41"/>
      <c r="K511" s="41"/>
      <c r="L511" s="64"/>
      <c r="M511" s="79"/>
    </row>
    <row r="512" spans="3:13" ht="13">
      <c r="C512" s="63"/>
      <c r="E512" s="41"/>
      <c r="F512" s="41"/>
      <c r="G512" s="41"/>
      <c r="H512" s="41"/>
      <c r="I512" s="41"/>
      <c r="K512" s="41"/>
      <c r="L512" s="64"/>
      <c r="M512" s="79"/>
    </row>
    <row r="513" spans="3:13" ht="13">
      <c r="C513" s="63"/>
      <c r="E513" s="41"/>
      <c r="F513" s="41"/>
      <c r="G513" s="41"/>
      <c r="H513" s="41"/>
      <c r="I513" s="41"/>
      <c r="K513" s="41"/>
      <c r="L513" s="64"/>
      <c r="M513" s="79"/>
    </row>
    <row r="514" spans="3:13" ht="13">
      <c r="C514" s="63"/>
      <c r="E514" s="41"/>
      <c r="F514" s="41"/>
      <c r="G514" s="41"/>
      <c r="H514" s="41"/>
      <c r="I514" s="41"/>
      <c r="K514" s="41"/>
      <c r="L514" s="64"/>
      <c r="M514" s="79"/>
    </row>
    <row r="515" spans="3:13" ht="13">
      <c r="C515" s="63"/>
      <c r="E515" s="41"/>
      <c r="F515" s="41"/>
      <c r="G515" s="41"/>
      <c r="H515" s="41"/>
      <c r="I515" s="41"/>
      <c r="K515" s="41"/>
      <c r="L515" s="64"/>
      <c r="M515" s="79"/>
    </row>
    <row r="516" spans="3:13" ht="13">
      <c r="C516" s="63"/>
      <c r="E516" s="41"/>
      <c r="F516" s="41"/>
      <c r="G516" s="41"/>
      <c r="H516" s="41"/>
      <c r="I516" s="41"/>
      <c r="K516" s="41"/>
      <c r="L516" s="64"/>
      <c r="M516" s="79"/>
    </row>
    <row r="517" spans="3:13" ht="13">
      <c r="C517" s="63"/>
      <c r="E517" s="41"/>
      <c r="F517" s="41"/>
      <c r="G517" s="41"/>
      <c r="H517" s="41"/>
      <c r="I517" s="41"/>
      <c r="K517" s="41"/>
      <c r="L517" s="64"/>
      <c r="M517" s="79"/>
    </row>
    <row r="518" spans="3:13" ht="13">
      <c r="C518" s="63"/>
      <c r="E518" s="41"/>
      <c r="F518" s="41"/>
      <c r="G518" s="41"/>
      <c r="H518" s="41"/>
      <c r="I518" s="41"/>
      <c r="K518" s="41"/>
      <c r="L518" s="64"/>
      <c r="M518" s="79"/>
    </row>
    <row r="519" spans="3:13" ht="13">
      <c r="C519" s="63"/>
      <c r="E519" s="41"/>
      <c r="F519" s="41"/>
      <c r="G519" s="41"/>
      <c r="H519" s="41"/>
      <c r="I519" s="41"/>
      <c r="K519" s="41"/>
      <c r="L519" s="64"/>
      <c r="M519" s="79"/>
    </row>
    <row r="520" spans="3:13" ht="13">
      <c r="C520" s="63"/>
      <c r="E520" s="41"/>
      <c r="F520" s="41"/>
      <c r="G520" s="41"/>
      <c r="H520" s="41"/>
      <c r="I520" s="41"/>
      <c r="K520" s="41"/>
      <c r="L520" s="64"/>
      <c r="M520" s="79"/>
    </row>
    <row r="521" spans="3:13" ht="13">
      <c r="C521" s="63"/>
      <c r="E521" s="41"/>
      <c r="F521" s="41"/>
      <c r="G521" s="41"/>
      <c r="H521" s="41"/>
      <c r="I521" s="41"/>
      <c r="K521" s="41"/>
      <c r="L521" s="64"/>
      <c r="M521" s="79"/>
    </row>
    <row r="522" spans="3:13" ht="13">
      <c r="C522" s="63"/>
      <c r="E522" s="41"/>
      <c r="F522" s="41"/>
      <c r="G522" s="41"/>
      <c r="H522" s="41"/>
      <c r="I522" s="41"/>
      <c r="K522" s="41"/>
      <c r="L522" s="64"/>
      <c r="M522" s="79"/>
    </row>
    <row r="523" spans="3:13" ht="13">
      <c r="C523" s="63"/>
      <c r="E523" s="41"/>
      <c r="F523" s="41"/>
      <c r="G523" s="41"/>
      <c r="H523" s="41"/>
      <c r="I523" s="41"/>
      <c r="K523" s="41"/>
      <c r="L523" s="64"/>
      <c r="M523" s="79"/>
    </row>
    <row r="524" spans="3:13" ht="13">
      <c r="C524" s="63"/>
      <c r="E524" s="41"/>
      <c r="F524" s="41"/>
      <c r="G524" s="41"/>
      <c r="H524" s="41"/>
      <c r="I524" s="41"/>
      <c r="K524" s="41"/>
      <c r="L524" s="64"/>
      <c r="M524" s="79"/>
    </row>
    <row r="525" spans="3:13" ht="13">
      <c r="C525" s="63"/>
      <c r="E525" s="41"/>
      <c r="F525" s="41"/>
      <c r="G525" s="41"/>
      <c r="H525" s="41"/>
      <c r="I525" s="41"/>
      <c r="K525" s="41"/>
      <c r="L525" s="64"/>
      <c r="M525" s="79"/>
    </row>
    <row r="526" spans="3:13" ht="13">
      <c r="C526" s="63"/>
      <c r="E526" s="41"/>
      <c r="F526" s="41"/>
      <c r="G526" s="41"/>
      <c r="H526" s="41"/>
      <c r="I526" s="41"/>
      <c r="K526" s="41"/>
      <c r="L526" s="64"/>
      <c r="M526" s="79"/>
    </row>
    <row r="527" spans="3:13" ht="13">
      <c r="C527" s="63"/>
      <c r="E527" s="41"/>
      <c r="F527" s="41"/>
      <c r="G527" s="41"/>
      <c r="H527" s="41"/>
      <c r="I527" s="41"/>
      <c r="K527" s="41"/>
      <c r="L527" s="64"/>
      <c r="M527" s="79"/>
    </row>
    <row r="528" spans="3:13" ht="13">
      <c r="C528" s="63"/>
      <c r="E528" s="41"/>
      <c r="F528" s="41"/>
      <c r="G528" s="41"/>
      <c r="H528" s="41"/>
      <c r="I528" s="41"/>
      <c r="K528" s="41"/>
      <c r="L528" s="64"/>
      <c r="M528" s="79"/>
    </row>
    <row r="529" spans="3:13" ht="13">
      <c r="C529" s="63"/>
      <c r="E529" s="41"/>
      <c r="F529" s="41"/>
      <c r="G529" s="41"/>
      <c r="H529" s="41"/>
      <c r="I529" s="41"/>
      <c r="K529" s="41"/>
      <c r="L529" s="64"/>
      <c r="M529" s="79"/>
    </row>
    <row r="530" spans="3:13" ht="13">
      <c r="C530" s="63"/>
      <c r="E530" s="41"/>
      <c r="F530" s="41"/>
      <c r="G530" s="41"/>
      <c r="H530" s="41"/>
      <c r="I530" s="41"/>
      <c r="K530" s="41"/>
      <c r="L530" s="64"/>
      <c r="M530" s="79"/>
    </row>
    <row r="531" spans="3:13" ht="13">
      <c r="C531" s="63"/>
      <c r="E531" s="41"/>
      <c r="F531" s="41"/>
      <c r="G531" s="41"/>
      <c r="H531" s="41"/>
      <c r="I531" s="41"/>
      <c r="K531" s="41"/>
      <c r="L531" s="64"/>
      <c r="M531" s="79"/>
    </row>
    <row r="532" spans="3:13" ht="13">
      <c r="C532" s="63"/>
      <c r="E532" s="41"/>
      <c r="F532" s="41"/>
      <c r="G532" s="41"/>
      <c r="H532" s="41"/>
      <c r="I532" s="41"/>
      <c r="K532" s="41"/>
      <c r="L532" s="64"/>
      <c r="M532" s="79"/>
    </row>
    <row r="533" spans="3:13" ht="13">
      <c r="C533" s="63"/>
      <c r="E533" s="41"/>
      <c r="F533" s="41"/>
      <c r="G533" s="41"/>
      <c r="H533" s="41"/>
      <c r="I533" s="41"/>
      <c r="K533" s="41"/>
      <c r="L533" s="64"/>
      <c r="M533" s="79"/>
    </row>
    <row r="534" spans="3:13" ht="13">
      <c r="C534" s="63"/>
      <c r="E534" s="41"/>
      <c r="F534" s="41"/>
      <c r="G534" s="41"/>
      <c r="H534" s="41"/>
      <c r="I534" s="41"/>
      <c r="K534" s="41"/>
      <c r="L534" s="64"/>
      <c r="M534" s="79"/>
    </row>
    <row r="535" spans="3:13" ht="13">
      <c r="C535" s="63"/>
      <c r="E535" s="41"/>
      <c r="F535" s="41"/>
      <c r="G535" s="41"/>
      <c r="H535" s="41"/>
      <c r="I535" s="41"/>
      <c r="K535" s="41"/>
      <c r="L535" s="64"/>
      <c r="M535" s="79"/>
    </row>
    <row r="536" spans="3:13" ht="13">
      <c r="C536" s="63"/>
      <c r="E536" s="41"/>
      <c r="F536" s="41"/>
      <c r="G536" s="41"/>
      <c r="H536" s="41"/>
      <c r="I536" s="41"/>
      <c r="K536" s="41"/>
      <c r="L536" s="64"/>
      <c r="M536" s="79"/>
    </row>
    <row r="537" spans="3:13" ht="13">
      <c r="C537" s="63"/>
      <c r="E537" s="41"/>
      <c r="F537" s="41"/>
      <c r="G537" s="41"/>
      <c r="H537" s="41"/>
      <c r="I537" s="41"/>
      <c r="K537" s="41"/>
      <c r="L537" s="64"/>
      <c r="M537" s="79"/>
    </row>
    <row r="538" spans="3:13" ht="13">
      <c r="C538" s="63"/>
      <c r="E538" s="41"/>
      <c r="F538" s="41"/>
      <c r="G538" s="41"/>
      <c r="H538" s="41"/>
      <c r="I538" s="41"/>
      <c r="K538" s="41"/>
      <c r="L538" s="64"/>
      <c r="M538" s="79"/>
    </row>
    <row r="539" spans="3:13" ht="13">
      <c r="C539" s="63"/>
      <c r="E539" s="41"/>
      <c r="F539" s="41"/>
      <c r="G539" s="41"/>
      <c r="H539" s="41"/>
      <c r="I539" s="41"/>
      <c r="K539" s="41"/>
      <c r="L539" s="64"/>
      <c r="M539" s="79"/>
    </row>
    <row r="540" spans="3:13" ht="13">
      <c r="C540" s="63"/>
      <c r="E540" s="41"/>
      <c r="F540" s="41"/>
      <c r="G540" s="41"/>
      <c r="H540" s="41"/>
      <c r="I540" s="41"/>
      <c r="K540" s="41"/>
      <c r="L540" s="64"/>
      <c r="M540" s="79"/>
    </row>
    <row r="541" spans="3:13" ht="13">
      <c r="C541" s="63"/>
      <c r="E541" s="41"/>
      <c r="F541" s="41"/>
      <c r="G541" s="41"/>
      <c r="H541" s="41"/>
      <c r="I541" s="41"/>
      <c r="K541" s="41"/>
      <c r="L541" s="64"/>
      <c r="M541" s="79"/>
    </row>
    <row r="542" spans="3:13" ht="13">
      <c r="C542" s="63"/>
      <c r="E542" s="41"/>
      <c r="F542" s="41"/>
      <c r="G542" s="41"/>
      <c r="H542" s="41"/>
      <c r="I542" s="41"/>
      <c r="K542" s="41"/>
      <c r="L542" s="64"/>
      <c r="M542" s="79"/>
    </row>
    <row r="543" spans="3:13" ht="13">
      <c r="C543" s="63"/>
      <c r="E543" s="41"/>
      <c r="F543" s="41"/>
      <c r="G543" s="41"/>
      <c r="H543" s="41"/>
      <c r="I543" s="41"/>
      <c r="K543" s="41"/>
      <c r="L543" s="64"/>
      <c r="M543" s="79"/>
    </row>
    <row r="544" spans="3:13" ht="13">
      <c r="C544" s="63"/>
      <c r="E544" s="41"/>
      <c r="F544" s="41"/>
      <c r="G544" s="41"/>
      <c r="H544" s="41"/>
      <c r="I544" s="41"/>
      <c r="K544" s="41"/>
      <c r="L544" s="64"/>
      <c r="M544" s="79"/>
    </row>
    <row r="545" spans="3:13" ht="13">
      <c r="C545" s="63"/>
      <c r="E545" s="41"/>
      <c r="F545" s="41"/>
      <c r="G545" s="41"/>
      <c r="H545" s="41"/>
      <c r="I545" s="41"/>
      <c r="K545" s="41"/>
      <c r="L545" s="64"/>
      <c r="M545" s="79"/>
    </row>
    <row r="546" spans="3:13" ht="13">
      <c r="C546" s="63"/>
      <c r="E546" s="41"/>
      <c r="F546" s="41"/>
      <c r="G546" s="41"/>
      <c r="H546" s="41"/>
      <c r="I546" s="41"/>
      <c r="K546" s="41"/>
      <c r="L546" s="64"/>
      <c r="M546" s="79"/>
    </row>
    <row r="547" spans="3:13" ht="13">
      <c r="C547" s="63"/>
      <c r="E547" s="41"/>
      <c r="F547" s="41"/>
      <c r="G547" s="41"/>
      <c r="H547" s="41"/>
      <c r="I547" s="41"/>
      <c r="K547" s="41"/>
      <c r="L547" s="64"/>
      <c r="M547" s="79"/>
    </row>
    <row r="548" spans="3:13" ht="13">
      <c r="C548" s="63"/>
      <c r="E548" s="41"/>
      <c r="F548" s="41"/>
      <c r="G548" s="41"/>
      <c r="H548" s="41"/>
      <c r="I548" s="41"/>
      <c r="K548" s="41"/>
      <c r="L548" s="64"/>
      <c r="M548" s="79"/>
    </row>
    <row r="549" spans="3:13" ht="13">
      <c r="C549" s="63"/>
      <c r="E549" s="41"/>
      <c r="F549" s="41"/>
      <c r="G549" s="41"/>
      <c r="H549" s="41"/>
      <c r="I549" s="41"/>
      <c r="K549" s="41"/>
      <c r="L549" s="64"/>
      <c r="M549" s="79"/>
    </row>
    <row r="550" spans="3:13" ht="13">
      <c r="C550" s="63"/>
      <c r="E550" s="41"/>
      <c r="F550" s="41"/>
      <c r="G550" s="41"/>
      <c r="H550" s="41"/>
      <c r="I550" s="41"/>
      <c r="K550" s="41"/>
      <c r="L550" s="64"/>
      <c r="M550" s="79"/>
    </row>
    <row r="551" spans="3:13" ht="13">
      <c r="C551" s="63"/>
      <c r="E551" s="41"/>
      <c r="F551" s="41"/>
      <c r="G551" s="41"/>
      <c r="H551" s="41"/>
      <c r="I551" s="41"/>
      <c r="K551" s="41"/>
      <c r="L551" s="64"/>
      <c r="M551" s="79"/>
    </row>
    <row r="552" spans="3:13" ht="13">
      <c r="C552" s="63"/>
      <c r="E552" s="41"/>
      <c r="F552" s="41"/>
      <c r="G552" s="41"/>
      <c r="H552" s="41"/>
      <c r="I552" s="41"/>
      <c r="K552" s="41"/>
      <c r="L552" s="64"/>
      <c r="M552" s="79"/>
    </row>
    <row r="553" spans="3:13" ht="13">
      <c r="C553" s="63"/>
      <c r="E553" s="41"/>
      <c r="F553" s="41"/>
      <c r="G553" s="41"/>
      <c r="H553" s="41"/>
      <c r="I553" s="41"/>
      <c r="K553" s="41"/>
      <c r="L553" s="64"/>
      <c r="M553" s="79"/>
    </row>
    <row r="554" spans="3:13" ht="13">
      <c r="C554" s="63"/>
      <c r="E554" s="41"/>
      <c r="F554" s="41"/>
      <c r="G554" s="41"/>
      <c r="H554" s="41"/>
      <c r="I554" s="41"/>
      <c r="K554" s="41"/>
      <c r="L554" s="64"/>
      <c r="M554" s="79"/>
    </row>
    <row r="555" spans="3:13" ht="13">
      <c r="C555" s="63"/>
      <c r="E555" s="41"/>
      <c r="F555" s="41"/>
      <c r="G555" s="41"/>
      <c r="H555" s="41"/>
      <c r="I555" s="41"/>
      <c r="K555" s="41"/>
      <c r="L555" s="64"/>
      <c r="M555" s="79"/>
    </row>
    <row r="556" spans="3:13" ht="13">
      <c r="C556" s="63"/>
      <c r="E556" s="41"/>
      <c r="F556" s="41"/>
      <c r="G556" s="41"/>
      <c r="H556" s="41"/>
      <c r="I556" s="41"/>
      <c r="K556" s="41"/>
      <c r="L556" s="64"/>
      <c r="M556" s="79"/>
    </row>
    <row r="557" spans="3:13" ht="13">
      <c r="C557" s="63"/>
      <c r="E557" s="41"/>
      <c r="F557" s="41"/>
      <c r="G557" s="41"/>
      <c r="H557" s="41"/>
      <c r="I557" s="41"/>
      <c r="K557" s="41"/>
      <c r="L557" s="64"/>
      <c r="M557" s="79"/>
    </row>
    <row r="558" spans="3:13" ht="13">
      <c r="C558" s="63"/>
      <c r="E558" s="41"/>
      <c r="F558" s="41"/>
      <c r="G558" s="41"/>
      <c r="H558" s="41"/>
      <c r="I558" s="41"/>
      <c r="K558" s="41"/>
      <c r="L558" s="64"/>
      <c r="M558" s="79"/>
    </row>
    <row r="559" spans="3:13" ht="13">
      <c r="C559" s="63"/>
      <c r="E559" s="41"/>
      <c r="F559" s="41"/>
      <c r="G559" s="41"/>
      <c r="H559" s="41"/>
      <c r="I559" s="41"/>
      <c r="K559" s="41"/>
      <c r="L559" s="64"/>
      <c r="M559" s="79"/>
    </row>
    <row r="560" spans="3:13" ht="13">
      <c r="C560" s="63"/>
      <c r="E560" s="41"/>
      <c r="F560" s="41"/>
      <c r="G560" s="41"/>
      <c r="H560" s="41"/>
      <c r="I560" s="41"/>
      <c r="K560" s="41"/>
      <c r="L560" s="64"/>
      <c r="M560" s="79"/>
    </row>
    <row r="561" spans="3:13" ht="13">
      <c r="C561" s="63"/>
      <c r="E561" s="41"/>
      <c r="F561" s="41"/>
      <c r="G561" s="41"/>
      <c r="H561" s="41"/>
      <c r="I561" s="41"/>
      <c r="K561" s="41"/>
      <c r="L561" s="64"/>
      <c r="M561" s="79"/>
    </row>
    <row r="562" spans="3:13" ht="13">
      <c r="C562" s="63"/>
      <c r="E562" s="41"/>
      <c r="F562" s="41"/>
      <c r="G562" s="41"/>
      <c r="H562" s="41"/>
      <c r="I562" s="41"/>
      <c r="K562" s="41"/>
      <c r="L562" s="64"/>
      <c r="M562" s="79"/>
    </row>
    <row r="563" spans="3:13" ht="13">
      <c r="C563" s="63"/>
      <c r="E563" s="41"/>
      <c r="F563" s="41"/>
      <c r="G563" s="41"/>
      <c r="H563" s="41"/>
      <c r="I563" s="41"/>
      <c r="K563" s="41"/>
      <c r="L563" s="64"/>
      <c r="M563" s="79"/>
    </row>
    <row r="564" spans="3:13" ht="13">
      <c r="C564" s="63"/>
      <c r="E564" s="41"/>
      <c r="F564" s="41"/>
      <c r="G564" s="41"/>
      <c r="H564" s="41"/>
      <c r="I564" s="41"/>
      <c r="K564" s="41"/>
      <c r="L564" s="64"/>
      <c r="M564" s="79"/>
    </row>
    <row r="565" spans="3:13" ht="13">
      <c r="C565" s="63"/>
      <c r="E565" s="41"/>
      <c r="F565" s="41"/>
      <c r="G565" s="41"/>
      <c r="H565" s="41"/>
      <c r="I565" s="41"/>
      <c r="K565" s="41"/>
      <c r="L565" s="64"/>
      <c r="M565" s="79"/>
    </row>
    <row r="566" spans="3:13" ht="13">
      <c r="C566" s="63"/>
      <c r="E566" s="41"/>
      <c r="F566" s="41"/>
      <c r="G566" s="41"/>
      <c r="H566" s="41"/>
      <c r="I566" s="41"/>
      <c r="K566" s="41"/>
      <c r="L566" s="64"/>
      <c r="M566" s="79"/>
    </row>
    <row r="567" spans="3:13" ht="13">
      <c r="C567" s="63"/>
      <c r="E567" s="41"/>
      <c r="F567" s="41"/>
      <c r="G567" s="41"/>
      <c r="H567" s="41"/>
      <c r="I567" s="41"/>
      <c r="K567" s="41"/>
      <c r="L567" s="64"/>
      <c r="M567" s="79"/>
    </row>
    <row r="568" spans="3:13" ht="13">
      <c r="C568" s="63"/>
      <c r="E568" s="41"/>
      <c r="F568" s="41"/>
      <c r="G568" s="41"/>
      <c r="H568" s="41"/>
      <c r="I568" s="41"/>
      <c r="K568" s="41"/>
      <c r="L568" s="64"/>
      <c r="M568" s="79"/>
    </row>
    <row r="569" spans="3:13" ht="13">
      <c r="C569" s="63"/>
      <c r="E569" s="41"/>
      <c r="F569" s="41"/>
      <c r="G569" s="41"/>
      <c r="H569" s="41"/>
      <c r="I569" s="41"/>
      <c r="K569" s="41"/>
      <c r="L569" s="64"/>
      <c r="M569" s="79"/>
    </row>
    <row r="570" spans="3:13" ht="13">
      <c r="C570" s="63"/>
      <c r="E570" s="41"/>
      <c r="F570" s="41"/>
      <c r="G570" s="41"/>
      <c r="H570" s="41"/>
      <c r="I570" s="41"/>
      <c r="K570" s="41"/>
      <c r="L570" s="64"/>
      <c r="M570" s="79"/>
    </row>
    <row r="571" spans="3:13" ht="13">
      <c r="C571" s="63"/>
      <c r="E571" s="41"/>
      <c r="F571" s="41"/>
      <c r="G571" s="41"/>
      <c r="H571" s="41"/>
      <c r="I571" s="41"/>
      <c r="K571" s="41"/>
      <c r="L571" s="64"/>
      <c r="M571" s="79"/>
    </row>
    <row r="572" spans="3:13" ht="13">
      <c r="C572" s="63"/>
      <c r="E572" s="41"/>
      <c r="F572" s="41"/>
      <c r="G572" s="41"/>
      <c r="H572" s="41"/>
      <c r="I572" s="41"/>
      <c r="K572" s="41"/>
      <c r="L572" s="64"/>
      <c r="M572" s="79"/>
    </row>
    <row r="573" spans="3:13" ht="13">
      <c r="C573" s="63"/>
      <c r="E573" s="41"/>
      <c r="F573" s="41"/>
      <c r="G573" s="41"/>
      <c r="H573" s="41"/>
      <c r="I573" s="41"/>
      <c r="K573" s="41"/>
      <c r="L573" s="64"/>
      <c r="M573" s="79"/>
    </row>
    <row r="574" spans="3:13" ht="13">
      <c r="C574" s="63"/>
      <c r="E574" s="41"/>
      <c r="F574" s="41"/>
      <c r="G574" s="41"/>
      <c r="H574" s="41"/>
      <c r="I574" s="41"/>
      <c r="K574" s="41"/>
      <c r="L574" s="64"/>
      <c r="M574" s="79"/>
    </row>
    <row r="575" spans="3:13" ht="13">
      <c r="C575" s="63"/>
      <c r="E575" s="41"/>
      <c r="F575" s="41"/>
      <c r="G575" s="41"/>
      <c r="H575" s="41"/>
      <c r="I575" s="41"/>
      <c r="K575" s="41"/>
      <c r="L575" s="64"/>
      <c r="M575" s="79"/>
    </row>
    <row r="576" spans="3:13" ht="13">
      <c r="C576" s="63"/>
      <c r="E576" s="41"/>
      <c r="F576" s="41"/>
      <c r="G576" s="41"/>
      <c r="H576" s="41"/>
      <c r="I576" s="41"/>
      <c r="K576" s="41"/>
      <c r="L576" s="64"/>
      <c r="M576" s="79"/>
    </row>
    <row r="577" spans="3:13" ht="13">
      <c r="C577" s="63"/>
      <c r="E577" s="41"/>
      <c r="F577" s="41"/>
      <c r="G577" s="41"/>
      <c r="H577" s="41"/>
      <c r="I577" s="41"/>
      <c r="K577" s="41"/>
      <c r="L577" s="64"/>
      <c r="M577" s="79"/>
    </row>
    <row r="578" spans="3:13" ht="13">
      <c r="C578" s="63"/>
      <c r="E578" s="41"/>
      <c r="F578" s="41"/>
      <c r="G578" s="41"/>
      <c r="H578" s="41"/>
      <c r="I578" s="41"/>
      <c r="K578" s="41"/>
      <c r="L578" s="64"/>
      <c r="M578" s="79"/>
    </row>
    <row r="579" spans="3:13" ht="13">
      <c r="C579" s="63"/>
      <c r="E579" s="41"/>
      <c r="F579" s="41"/>
      <c r="G579" s="41"/>
      <c r="H579" s="41"/>
      <c r="I579" s="41"/>
      <c r="K579" s="41"/>
      <c r="L579" s="64"/>
      <c r="M579" s="79"/>
    </row>
    <row r="580" spans="3:13" ht="13">
      <c r="C580" s="63"/>
      <c r="E580" s="41"/>
      <c r="F580" s="41"/>
      <c r="G580" s="41"/>
      <c r="H580" s="41"/>
      <c r="I580" s="41"/>
      <c r="K580" s="41"/>
      <c r="L580" s="64"/>
      <c r="M580" s="79"/>
    </row>
    <row r="581" spans="3:13" ht="13">
      <c r="C581" s="63"/>
      <c r="E581" s="41"/>
      <c r="F581" s="41"/>
      <c r="G581" s="41"/>
      <c r="H581" s="41"/>
      <c r="I581" s="41"/>
      <c r="K581" s="41"/>
      <c r="L581" s="64"/>
      <c r="M581" s="79"/>
    </row>
    <row r="582" spans="3:13" ht="13">
      <c r="C582" s="63"/>
      <c r="E582" s="41"/>
      <c r="F582" s="41"/>
      <c r="G582" s="41"/>
      <c r="H582" s="41"/>
      <c r="I582" s="41"/>
      <c r="K582" s="41"/>
      <c r="L582" s="64"/>
      <c r="M582" s="79"/>
    </row>
    <row r="583" spans="3:13" ht="13">
      <c r="C583" s="63"/>
      <c r="E583" s="41"/>
      <c r="F583" s="41"/>
      <c r="G583" s="41"/>
      <c r="H583" s="41"/>
      <c r="I583" s="41"/>
      <c r="K583" s="41"/>
      <c r="L583" s="64"/>
      <c r="M583" s="79"/>
    </row>
    <row r="584" spans="3:13" ht="13">
      <c r="C584" s="63"/>
      <c r="E584" s="41"/>
      <c r="F584" s="41"/>
      <c r="G584" s="41"/>
      <c r="H584" s="41"/>
      <c r="I584" s="41"/>
      <c r="K584" s="41"/>
      <c r="L584" s="64"/>
      <c r="M584" s="79"/>
    </row>
    <row r="585" spans="3:13" ht="13">
      <c r="C585" s="63"/>
      <c r="E585" s="41"/>
      <c r="F585" s="41"/>
      <c r="G585" s="41"/>
      <c r="H585" s="41"/>
      <c r="I585" s="41"/>
      <c r="K585" s="41"/>
      <c r="L585" s="64"/>
      <c r="M585" s="79"/>
    </row>
    <row r="586" spans="3:13" ht="13">
      <c r="C586" s="63"/>
      <c r="E586" s="41"/>
      <c r="F586" s="41"/>
      <c r="G586" s="41"/>
      <c r="H586" s="41"/>
      <c r="I586" s="41"/>
      <c r="K586" s="41"/>
      <c r="L586" s="64"/>
      <c r="M586" s="79"/>
    </row>
    <row r="587" spans="3:13" ht="13">
      <c r="C587" s="63"/>
      <c r="E587" s="41"/>
      <c r="F587" s="41"/>
      <c r="G587" s="41"/>
      <c r="H587" s="41"/>
      <c r="I587" s="41"/>
      <c r="K587" s="41"/>
      <c r="L587" s="64"/>
      <c r="M587" s="79"/>
    </row>
    <row r="588" spans="3:13" ht="13">
      <c r="C588" s="63"/>
      <c r="E588" s="41"/>
      <c r="F588" s="41"/>
      <c r="G588" s="41"/>
      <c r="H588" s="41"/>
      <c r="I588" s="41"/>
      <c r="K588" s="41"/>
      <c r="L588" s="64"/>
      <c r="M588" s="79"/>
    </row>
    <row r="589" spans="3:13" ht="13">
      <c r="C589" s="63"/>
      <c r="E589" s="41"/>
      <c r="F589" s="41"/>
      <c r="G589" s="41"/>
      <c r="H589" s="41"/>
      <c r="I589" s="41"/>
      <c r="K589" s="41"/>
      <c r="L589" s="64"/>
      <c r="M589" s="79"/>
    </row>
    <row r="590" spans="3:13" ht="13">
      <c r="C590" s="63"/>
      <c r="E590" s="41"/>
      <c r="F590" s="41"/>
      <c r="G590" s="41"/>
      <c r="H590" s="41"/>
      <c r="I590" s="41"/>
      <c r="K590" s="41"/>
      <c r="L590" s="64"/>
      <c r="M590" s="79"/>
    </row>
    <row r="591" spans="3:13" ht="13">
      <c r="C591" s="63"/>
      <c r="E591" s="41"/>
      <c r="F591" s="41"/>
      <c r="G591" s="41"/>
      <c r="H591" s="41"/>
      <c r="I591" s="41"/>
      <c r="K591" s="41"/>
      <c r="L591" s="64"/>
      <c r="M591" s="79"/>
    </row>
    <row r="592" spans="3:13" ht="13">
      <c r="C592" s="63"/>
      <c r="E592" s="41"/>
      <c r="F592" s="41"/>
      <c r="G592" s="41"/>
      <c r="H592" s="41"/>
      <c r="I592" s="41"/>
      <c r="K592" s="41"/>
      <c r="L592" s="64"/>
      <c r="M592" s="79"/>
    </row>
    <row r="593" spans="3:13" ht="13">
      <c r="C593" s="63"/>
      <c r="E593" s="41"/>
      <c r="F593" s="41"/>
      <c r="G593" s="41"/>
      <c r="H593" s="41"/>
      <c r="I593" s="41"/>
      <c r="K593" s="41"/>
      <c r="L593" s="64"/>
      <c r="M593" s="79"/>
    </row>
    <row r="594" spans="3:13" ht="13">
      <c r="C594" s="63"/>
      <c r="E594" s="41"/>
      <c r="F594" s="41"/>
      <c r="G594" s="41"/>
      <c r="H594" s="41"/>
      <c r="I594" s="41"/>
      <c r="K594" s="41"/>
      <c r="L594" s="64"/>
      <c r="M594" s="79"/>
    </row>
    <row r="595" spans="3:13" ht="13">
      <c r="C595" s="63"/>
      <c r="E595" s="41"/>
      <c r="F595" s="41"/>
      <c r="G595" s="41"/>
      <c r="H595" s="41"/>
      <c r="I595" s="41"/>
      <c r="K595" s="41"/>
      <c r="L595" s="64"/>
      <c r="M595" s="79"/>
    </row>
    <row r="596" spans="3:13" ht="13">
      <c r="C596" s="63"/>
      <c r="E596" s="41"/>
      <c r="F596" s="41"/>
      <c r="G596" s="41"/>
      <c r="H596" s="41"/>
      <c r="I596" s="41"/>
      <c r="K596" s="41"/>
      <c r="L596" s="64"/>
      <c r="M596" s="79"/>
    </row>
    <row r="597" spans="3:13" ht="13">
      <c r="C597" s="63"/>
      <c r="E597" s="41"/>
      <c r="F597" s="41"/>
      <c r="G597" s="41"/>
      <c r="H597" s="41"/>
      <c r="I597" s="41"/>
      <c r="K597" s="41"/>
      <c r="L597" s="64"/>
      <c r="M597" s="79"/>
    </row>
    <row r="598" spans="3:13" ht="13">
      <c r="C598" s="63"/>
      <c r="E598" s="41"/>
      <c r="F598" s="41"/>
      <c r="G598" s="41"/>
      <c r="H598" s="41"/>
      <c r="I598" s="41"/>
      <c r="K598" s="41"/>
      <c r="L598" s="64"/>
      <c r="M598" s="79"/>
    </row>
    <row r="599" spans="3:13" ht="13">
      <c r="C599" s="63"/>
      <c r="E599" s="41"/>
      <c r="F599" s="41"/>
      <c r="G599" s="41"/>
      <c r="H599" s="41"/>
      <c r="I599" s="41"/>
      <c r="K599" s="41"/>
      <c r="L599" s="64"/>
      <c r="M599" s="79"/>
    </row>
    <row r="600" spans="3:13" ht="13">
      <c r="C600" s="63"/>
      <c r="E600" s="41"/>
      <c r="F600" s="41"/>
      <c r="G600" s="41"/>
      <c r="H600" s="41"/>
      <c r="I600" s="41"/>
      <c r="K600" s="41"/>
      <c r="L600" s="64"/>
      <c r="M600" s="79"/>
    </row>
    <row r="601" spans="3:13" ht="13">
      <c r="C601" s="63"/>
      <c r="E601" s="41"/>
      <c r="F601" s="41"/>
      <c r="G601" s="41"/>
      <c r="H601" s="41"/>
      <c r="I601" s="41"/>
      <c r="K601" s="41"/>
      <c r="L601" s="64"/>
      <c r="M601" s="79"/>
    </row>
    <row r="602" spans="3:13" ht="13">
      <c r="C602" s="63"/>
      <c r="E602" s="41"/>
      <c r="F602" s="41"/>
      <c r="G602" s="41"/>
      <c r="H602" s="41"/>
      <c r="I602" s="41"/>
      <c r="K602" s="41"/>
      <c r="L602" s="64"/>
      <c r="M602" s="79"/>
    </row>
    <row r="603" spans="3:13" ht="13">
      <c r="C603" s="63"/>
      <c r="E603" s="41"/>
      <c r="F603" s="41"/>
      <c r="G603" s="41"/>
      <c r="H603" s="41"/>
      <c r="I603" s="41"/>
      <c r="K603" s="41"/>
      <c r="L603" s="64"/>
      <c r="M603" s="79"/>
    </row>
    <row r="604" spans="3:13" ht="13">
      <c r="C604" s="63"/>
      <c r="E604" s="41"/>
      <c r="F604" s="41"/>
      <c r="G604" s="41"/>
      <c r="H604" s="41"/>
      <c r="I604" s="41"/>
      <c r="K604" s="41"/>
      <c r="L604" s="64"/>
      <c r="M604" s="79"/>
    </row>
    <row r="605" spans="3:13" ht="13">
      <c r="C605" s="63"/>
      <c r="E605" s="41"/>
      <c r="F605" s="41"/>
      <c r="G605" s="41"/>
      <c r="H605" s="41"/>
      <c r="I605" s="41"/>
      <c r="K605" s="41"/>
      <c r="L605" s="64"/>
      <c r="M605" s="79"/>
    </row>
    <row r="606" spans="3:13" ht="13">
      <c r="C606" s="63"/>
      <c r="E606" s="41"/>
      <c r="F606" s="41"/>
      <c r="G606" s="41"/>
      <c r="H606" s="41"/>
      <c r="I606" s="41"/>
      <c r="K606" s="41"/>
      <c r="L606" s="64"/>
      <c r="M606" s="79"/>
    </row>
    <row r="607" spans="3:13" ht="13">
      <c r="C607" s="63"/>
      <c r="E607" s="41"/>
      <c r="F607" s="41"/>
      <c r="G607" s="41"/>
      <c r="H607" s="41"/>
      <c r="I607" s="41"/>
      <c r="K607" s="41"/>
      <c r="L607" s="64"/>
      <c r="M607" s="79"/>
    </row>
    <row r="608" spans="3:13" ht="13">
      <c r="C608" s="63"/>
      <c r="E608" s="41"/>
      <c r="F608" s="41"/>
      <c r="G608" s="41"/>
      <c r="H608" s="41"/>
      <c r="I608" s="41"/>
      <c r="K608" s="41"/>
      <c r="L608" s="64"/>
      <c r="M608" s="79"/>
    </row>
    <row r="609" spans="3:13" ht="13">
      <c r="C609" s="63"/>
      <c r="E609" s="41"/>
      <c r="F609" s="41"/>
      <c r="G609" s="41"/>
      <c r="H609" s="41"/>
      <c r="I609" s="41"/>
      <c r="K609" s="41"/>
      <c r="L609" s="64"/>
      <c r="M609" s="79"/>
    </row>
    <row r="610" spans="3:13" ht="13">
      <c r="C610" s="63"/>
      <c r="E610" s="41"/>
      <c r="F610" s="41"/>
      <c r="G610" s="41"/>
      <c r="H610" s="41"/>
      <c r="I610" s="41"/>
      <c r="K610" s="41"/>
      <c r="L610" s="64"/>
      <c r="M610" s="79"/>
    </row>
    <row r="611" spans="3:13" ht="13">
      <c r="C611" s="63"/>
      <c r="E611" s="41"/>
      <c r="F611" s="41"/>
      <c r="G611" s="41"/>
      <c r="H611" s="41"/>
      <c r="I611" s="41"/>
      <c r="K611" s="41"/>
      <c r="L611" s="64"/>
      <c r="M611" s="79"/>
    </row>
    <row r="612" spans="3:13" ht="13">
      <c r="C612" s="63"/>
      <c r="E612" s="41"/>
      <c r="F612" s="41"/>
      <c r="G612" s="41"/>
      <c r="H612" s="41"/>
      <c r="I612" s="41"/>
      <c r="K612" s="41"/>
      <c r="L612" s="64"/>
      <c r="M612" s="79"/>
    </row>
    <row r="613" spans="3:13" ht="13">
      <c r="C613" s="63"/>
      <c r="E613" s="41"/>
      <c r="F613" s="41"/>
      <c r="G613" s="41"/>
      <c r="H613" s="41"/>
      <c r="I613" s="41"/>
      <c r="K613" s="41"/>
      <c r="L613" s="64"/>
      <c r="M613" s="79"/>
    </row>
    <row r="614" spans="3:13" ht="13">
      <c r="C614" s="63"/>
      <c r="E614" s="41"/>
      <c r="F614" s="41"/>
      <c r="G614" s="41"/>
      <c r="H614" s="41"/>
      <c r="I614" s="41"/>
      <c r="K614" s="41"/>
      <c r="L614" s="64"/>
      <c r="M614" s="79"/>
    </row>
    <row r="615" spans="3:13" ht="13">
      <c r="C615" s="63"/>
      <c r="E615" s="41"/>
      <c r="F615" s="41"/>
      <c r="G615" s="41"/>
      <c r="H615" s="41"/>
      <c r="I615" s="41"/>
      <c r="K615" s="41"/>
      <c r="L615" s="64"/>
      <c r="M615" s="79"/>
    </row>
    <row r="616" spans="3:13" ht="13">
      <c r="C616" s="63"/>
      <c r="E616" s="41"/>
      <c r="F616" s="41"/>
      <c r="G616" s="41"/>
      <c r="H616" s="41"/>
      <c r="I616" s="41"/>
      <c r="K616" s="41"/>
      <c r="L616" s="64"/>
      <c r="M616" s="79"/>
    </row>
    <row r="617" spans="3:13" ht="13">
      <c r="C617" s="63"/>
      <c r="E617" s="41"/>
      <c r="F617" s="41"/>
      <c r="G617" s="41"/>
      <c r="H617" s="41"/>
      <c r="I617" s="41"/>
      <c r="K617" s="41"/>
      <c r="L617" s="64"/>
      <c r="M617" s="79"/>
    </row>
    <row r="618" spans="3:13" ht="13">
      <c r="C618" s="63"/>
      <c r="E618" s="41"/>
      <c r="F618" s="41"/>
      <c r="G618" s="41"/>
      <c r="H618" s="41"/>
      <c r="I618" s="41"/>
      <c r="K618" s="41"/>
      <c r="L618" s="64"/>
      <c r="M618" s="79"/>
    </row>
    <row r="619" spans="3:13" ht="13">
      <c r="C619" s="63"/>
      <c r="E619" s="41"/>
      <c r="F619" s="41"/>
      <c r="G619" s="41"/>
      <c r="H619" s="41"/>
      <c r="I619" s="41"/>
      <c r="K619" s="41"/>
      <c r="L619" s="64"/>
      <c r="M619" s="79"/>
    </row>
    <row r="620" spans="3:13" ht="13">
      <c r="C620" s="63"/>
      <c r="E620" s="41"/>
      <c r="F620" s="41"/>
      <c r="G620" s="41"/>
      <c r="H620" s="41"/>
      <c r="I620" s="41"/>
      <c r="K620" s="41"/>
      <c r="L620" s="64"/>
      <c r="M620" s="79"/>
    </row>
    <row r="621" spans="3:13" ht="13">
      <c r="C621" s="63"/>
      <c r="E621" s="41"/>
      <c r="F621" s="41"/>
      <c r="G621" s="41"/>
      <c r="H621" s="41"/>
      <c r="I621" s="41"/>
      <c r="K621" s="41"/>
      <c r="L621" s="64"/>
      <c r="M621" s="79"/>
    </row>
    <row r="622" spans="3:13" ht="13">
      <c r="C622" s="63"/>
      <c r="E622" s="41"/>
      <c r="F622" s="41"/>
      <c r="G622" s="41"/>
      <c r="H622" s="41"/>
      <c r="I622" s="41"/>
      <c r="K622" s="41"/>
      <c r="L622" s="64"/>
      <c r="M622" s="79"/>
    </row>
    <row r="623" spans="3:13" ht="13">
      <c r="C623" s="63"/>
      <c r="E623" s="41"/>
      <c r="F623" s="41"/>
      <c r="G623" s="41"/>
      <c r="H623" s="41"/>
      <c r="I623" s="41"/>
      <c r="K623" s="41"/>
      <c r="L623" s="64"/>
      <c r="M623" s="79"/>
    </row>
    <row r="624" spans="3:13" ht="13">
      <c r="C624" s="63"/>
      <c r="E624" s="41"/>
      <c r="F624" s="41"/>
      <c r="G624" s="41"/>
      <c r="H624" s="41"/>
      <c r="I624" s="41"/>
      <c r="K624" s="41"/>
      <c r="L624" s="64"/>
      <c r="M624" s="79"/>
    </row>
    <row r="625" spans="3:13" ht="13">
      <c r="C625" s="63"/>
      <c r="E625" s="41"/>
      <c r="F625" s="41"/>
      <c r="G625" s="41"/>
      <c r="H625" s="41"/>
      <c r="I625" s="41"/>
      <c r="K625" s="41"/>
      <c r="L625" s="64"/>
      <c r="M625" s="79"/>
    </row>
    <row r="626" spans="3:13" ht="13">
      <c r="C626" s="63"/>
      <c r="E626" s="41"/>
      <c r="F626" s="41"/>
      <c r="G626" s="41"/>
      <c r="H626" s="41"/>
      <c r="I626" s="41"/>
      <c r="K626" s="41"/>
      <c r="L626" s="64"/>
      <c r="M626" s="79"/>
    </row>
    <row r="627" spans="3:13" ht="13">
      <c r="C627" s="63"/>
      <c r="E627" s="41"/>
      <c r="F627" s="41"/>
      <c r="G627" s="41"/>
      <c r="H627" s="41"/>
      <c r="I627" s="41"/>
      <c r="K627" s="41"/>
      <c r="L627" s="64"/>
      <c r="M627" s="79"/>
    </row>
    <row r="628" spans="3:13" ht="13">
      <c r="C628" s="63"/>
      <c r="E628" s="41"/>
      <c r="F628" s="41"/>
      <c r="G628" s="41"/>
      <c r="H628" s="41"/>
      <c r="I628" s="41"/>
      <c r="K628" s="41"/>
      <c r="L628" s="64"/>
      <c r="M628" s="79"/>
    </row>
    <row r="629" spans="3:13" ht="13">
      <c r="C629" s="63"/>
      <c r="E629" s="41"/>
      <c r="F629" s="41"/>
      <c r="G629" s="41"/>
      <c r="H629" s="41"/>
      <c r="I629" s="41"/>
      <c r="K629" s="41"/>
      <c r="L629" s="64"/>
      <c r="M629" s="79"/>
    </row>
    <row r="630" spans="3:13" ht="13">
      <c r="C630" s="63"/>
      <c r="E630" s="41"/>
      <c r="F630" s="41"/>
      <c r="G630" s="41"/>
      <c r="H630" s="41"/>
      <c r="I630" s="41"/>
      <c r="K630" s="41"/>
      <c r="L630" s="64"/>
      <c r="M630" s="79"/>
    </row>
    <row r="631" spans="3:13" ht="13">
      <c r="C631" s="63"/>
      <c r="E631" s="41"/>
      <c r="F631" s="41"/>
      <c r="G631" s="41"/>
      <c r="H631" s="41"/>
      <c r="I631" s="41"/>
      <c r="K631" s="41"/>
      <c r="L631" s="64"/>
      <c r="M631" s="79"/>
    </row>
    <row r="632" spans="3:13" ht="13">
      <c r="C632" s="63"/>
      <c r="E632" s="41"/>
      <c r="F632" s="41"/>
      <c r="G632" s="41"/>
      <c r="H632" s="41"/>
      <c r="I632" s="41"/>
      <c r="K632" s="41"/>
      <c r="L632" s="64"/>
      <c r="M632" s="79"/>
    </row>
    <row r="633" spans="3:13" ht="13">
      <c r="C633" s="63"/>
      <c r="E633" s="41"/>
      <c r="F633" s="41"/>
      <c r="G633" s="41"/>
      <c r="H633" s="41"/>
      <c r="I633" s="41"/>
      <c r="K633" s="41"/>
      <c r="L633" s="64"/>
      <c r="M633" s="79"/>
    </row>
    <row r="634" spans="3:13" ht="13">
      <c r="C634" s="63"/>
      <c r="E634" s="41"/>
      <c r="F634" s="41"/>
      <c r="G634" s="41"/>
      <c r="H634" s="41"/>
      <c r="I634" s="41"/>
      <c r="K634" s="41"/>
      <c r="L634" s="64"/>
      <c r="M634" s="79"/>
    </row>
    <row r="635" spans="3:13" ht="13">
      <c r="C635" s="63"/>
      <c r="E635" s="41"/>
      <c r="F635" s="41"/>
      <c r="G635" s="41"/>
      <c r="H635" s="41"/>
      <c r="I635" s="41"/>
      <c r="K635" s="41"/>
      <c r="L635" s="64"/>
      <c r="M635" s="79"/>
    </row>
    <row r="636" spans="3:13" ht="13">
      <c r="C636" s="63"/>
      <c r="E636" s="41"/>
      <c r="F636" s="41"/>
      <c r="G636" s="41"/>
      <c r="H636" s="41"/>
      <c r="I636" s="41"/>
      <c r="K636" s="41"/>
      <c r="L636" s="64"/>
      <c r="M636" s="79"/>
    </row>
    <row r="637" spans="3:13" ht="13">
      <c r="C637" s="63"/>
      <c r="E637" s="41"/>
      <c r="F637" s="41"/>
      <c r="G637" s="41"/>
      <c r="H637" s="41"/>
      <c r="I637" s="41"/>
      <c r="K637" s="41"/>
      <c r="L637" s="64"/>
      <c r="M637" s="79"/>
    </row>
    <row r="638" spans="3:13" ht="13">
      <c r="C638" s="63"/>
      <c r="E638" s="41"/>
      <c r="F638" s="41"/>
      <c r="G638" s="41"/>
      <c r="H638" s="41"/>
      <c r="I638" s="41"/>
      <c r="K638" s="41"/>
      <c r="L638" s="64"/>
      <c r="M638" s="79"/>
    </row>
    <row r="639" spans="3:13" ht="13">
      <c r="C639" s="63"/>
      <c r="E639" s="41"/>
      <c r="F639" s="41"/>
      <c r="G639" s="41"/>
      <c r="H639" s="41"/>
      <c r="I639" s="41"/>
      <c r="K639" s="41"/>
      <c r="L639" s="64"/>
      <c r="M639" s="79"/>
    </row>
    <row r="640" spans="3:13" ht="13">
      <c r="C640" s="63"/>
      <c r="E640" s="41"/>
      <c r="F640" s="41"/>
      <c r="G640" s="41"/>
      <c r="H640" s="41"/>
      <c r="I640" s="41"/>
      <c r="K640" s="41"/>
      <c r="L640" s="64"/>
      <c r="M640" s="79"/>
    </row>
    <row r="641" spans="3:13" ht="13">
      <c r="C641" s="63"/>
      <c r="E641" s="41"/>
      <c r="F641" s="41"/>
      <c r="G641" s="41"/>
      <c r="H641" s="41"/>
      <c r="I641" s="41"/>
      <c r="K641" s="41"/>
      <c r="L641" s="64"/>
      <c r="M641" s="79"/>
    </row>
    <row r="642" spans="3:13" ht="13">
      <c r="C642" s="63"/>
      <c r="E642" s="41"/>
      <c r="F642" s="41"/>
      <c r="G642" s="41"/>
      <c r="H642" s="41"/>
      <c r="I642" s="41"/>
      <c r="K642" s="41"/>
      <c r="L642" s="64"/>
      <c r="M642" s="79"/>
    </row>
    <row r="643" spans="3:13" ht="13">
      <c r="C643" s="63"/>
      <c r="E643" s="41"/>
      <c r="F643" s="41"/>
      <c r="G643" s="41"/>
      <c r="H643" s="41"/>
      <c r="I643" s="41"/>
      <c r="K643" s="41"/>
      <c r="L643" s="64"/>
      <c r="M643" s="79"/>
    </row>
    <row r="644" spans="3:13" ht="13">
      <c r="C644" s="63"/>
      <c r="E644" s="41"/>
      <c r="F644" s="41"/>
      <c r="G644" s="41"/>
      <c r="H644" s="41"/>
      <c r="I644" s="41"/>
      <c r="K644" s="41"/>
      <c r="L644" s="64"/>
      <c r="M644" s="79"/>
    </row>
    <row r="645" spans="3:13" ht="13">
      <c r="C645" s="63"/>
      <c r="E645" s="41"/>
      <c r="F645" s="41"/>
      <c r="G645" s="41"/>
      <c r="H645" s="41"/>
      <c r="I645" s="41"/>
      <c r="K645" s="41"/>
      <c r="L645" s="64"/>
      <c r="M645" s="79"/>
    </row>
    <row r="646" spans="3:13" ht="13">
      <c r="C646" s="63"/>
      <c r="E646" s="41"/>
      <c r="F646" s="41"/>
      <c r="G646" s="41"/>
      <c r="H646" s="41"/>
      <c r="I646" s="41"/>
      <c r="K646" s="41"/>
      <c r="L646" s="64"/>
      <c r="M646" s="79"/>
    </row>
    <row r="647" spans="3:13" ht="13">
      <c r="C647" s="63"/>
      <c r="E647" s="41"/>
      <c r="F647" s="41"/>
      <c r="G647" s="41"/>
      <c r="H647" s="41"/>
      <c r="I647" s="41"/>
      <c r="K647" s="41"/>
      <c r="L647" s="64"/>
      <c r="M647" s="79"/>
    </row>
    <row r="648" spans="3:13" ht="13">
      <c r="C648" s="63"/>
      <c r="E648" s="41"/>
      <c r="F648" s="41"/>
      <c r="G648" s="41"/>
      <c r="H648" s="41"/>
      <c r="I648" s="41"/>
      <c r="K648" s="41"/>
      <c r="L648" s="64"/>
      <c r="M648" s="79"/>
    </row>
    <row r="649" spans="3:13" ht="13">
      <c r="C649" s="63"/>
      <c r="E649" s="41"/>
      <c r="F649" s="41"/>
      <c r="G649" s="41"/>
      <c r="H649" s="41"/>
      <c r="I649" s="41"/>
      <c r="K649" s="41"/>
      <c r="L649" s="64"/>
      <c r="M649" s="79"/>
    </row>
    <row r="650" spans="3:13" ht="13">
      <c r="C650" s="63"/>
      <c r="E650" s="41"/>
      <c r="F650" s="41"/>
      <c r="G650" s="41"/>
      <c r="H650" s="41"/>
      <c r="I650" s="41"/>
      <c r="K650" s="41"/>
      <c r="L650" s="64"/>
      <c r="M650" s="79"/>
    </row>
    <row r="651" spans="3:13" ht="13">
      <c r="C651" s="63"/>
      <c r="E651" s="41"/>
      <c r="F651" s="41"/>
      <c r="G651" s="41"/>
      <c r="H651" s="41"/>
      <c r="I651" s="41"/>
      <c r="K651" s="41"/>
      <c r="L651" s="64"/>
      <c r="M651" s="79"/>
    </row>
    <row r="652" spans="3:13" ht="13">
      <c r="C652" s="63"/>
      <c r="E652" s="41"/>
      <c r="F652" s="41"/>
      <c r="G652" s="41"/>
      <c r="H652" s="41"/>
      <c r="I652" s="41"/>
      <c r="K652" s="41"/>
      <c r="L652" s="64"/>
      <c r="M652" s="79"/>
    </row>
    <row r="653" spans="3:13" ht="13">
      <c r="C653" s="63"/>
      <c r="E653" s="41"/>
      <c r="F653" s="41"/>
      <c r="G653" s="41"/>
      <c r="H653" s="41"/>
      <c r="I653" s="41"/>
      <c r="K653" s="41"/>
      <c r="L653" s="64"/>
      <c r="M653" s="79"/>
    </row>
    <row r="654" spans="3:13" ht="13">
      <c r="C654" s="63"/>
      <c r="E654" s="41"/>
      <c r="F654" s="41"/>
      <c r="G654" s="41"/>
      <c r="H654" s="41"/>
      <c r="I654" s="41"/>
      <c r="K654" s="41"/>
      <c r="L654" s="64"/>
      <c r="M654" s="79"/>
    </row>
    <row r="655" spans="3:13" ht="13">
      <c r="C655" s="63"/>
      <c r="E655" s="41"/>
      <c r="F655" s="41"/>
      <c r="G655" s="41"/>
      <c r="H655" s="41"/>
      <c r="I655" s="41"/>
      <c r="K655" s="41"/>
      <c r="L655" s="64"/>
      <c r="M655" s="79"/>
    </row>
    <row r="656" spans="3:13" ht="13">
      <c r="C656" s="63"/>
      <c r="E656" s="41"/>
      <c r="F656" s="41"/>
      <c r="G656" s="41"/>
      <c r="H656" s="41"/>
      <c r="I656" s="41"/>
      <c r="K656" s="41"/>
      <c r="L656" s="64"/>
      <c r="M656" s="79"/>
    </row>
    <row r="657" spans="3:13" ht="13">
      <c r="C657" s="63"/>
      <c r="E657" s="41"/>
      <c r="F657" s="41"/>
      <c r="G657" s="41"/>
      <c r="H657" s="41"/>
      <c r="I657" s="41"/>
      <c r="K657" s="41"/>
      <c r="L657" s="64"/>
      <c r="M657" s="79"/>
    </row>
    <row r="658" spans="3:13" ht="13">
      <c r="C658" s="63"/>
      <c r="E658" s="41"/>
      <c r="F658" s="41"/>
      <c r="G658" s="41"/>
      <c r="H658" s="41"/>
      <c r="I658" s="41"/>
      <c r="K658" s="41"/>
      <c r="L658" s="64"/>
      <c r="M658" s="79"/>
    </row>
    <row r="659" spans="3:13" ht="13">
      <c r="C659" s="63"/>
      <c r="E659" s="41"/>
      <c r="F659" s="41"/>
      <c r="G659" s="41"/>
      <c r="H659" s="41"/>
      <c r="I659" s="41"/>
      <c r="K659" s="41"/>
      <c r="L659" s="64"/>
      <c r="M659" s="79"/>
    </row>
    <row r="660" spans="3:13" ht="13">
      <c r="C660" s="63"/>
      <c r="E660" s="41"/>
      <c r="F660" s="41"/>
      <c r="G660" s="41"/>
      <c r="H660" s="41"/>
      <c r="I660" s="41"/>
      <c r="K660" s="41"/>
      <c r="L660" s="64"/>
      <c r="M660" s="79"/>
    </row>
    <row r="661" spans="3:13" ht="13">
      <c r="C661" s="63"/>
      <c r="E661" s="41"/>
      <c r="F661" s="41"/>
      <c r="G661" s="41"/>
      <c r="H661" s="41"/>
      <c r="I661" s="41"/>
      <c r="K661" s="41"/>
      <c r="L661" s="64"/>
      <c r="M661" s="79"/>
    </row>
    <row r="662" spans="3:13" ht="13">
      <c r="C662" s="63"/>
      <c r="E662" s="41"/>
      <c r="F662" s="41"/>
      <c r="G662" s="41"/>
      <c r="H662" s="41"/>
      <c r="I662" s="41"/>
      <c r="K662" s="41"/>
      <c r="L662" s="64"/>
      <c r="M662" s="79"/>
    </row>
    <row r="663" spans="3:13" ht="13">
      <c r="C663" s="63"/>
      <c r="E663" s="41"/>
      <c r="F663" s="41"/>
      <c r="G663" s="41"/>
      <c r="H663" s="41"/>
      <c r="I663" s="41"/>
      <c r="K663" s="41"/>
      <c r="L663" s="64"/>
      <c r="M663" s="79"/>
    </row>
    <row r="664" spans="3:13" ht="13">
      <c r="C664" s="63"/>
      <c r="E664" s="41"/>
      <c r="F664" s="41"/>
      <c r="G664" s="41"/>
      <c r="H664" s="41"/>
      <c r="I664" s="41"/>
      <c r="K664" s="41"/>
      <c r="L664" s="64"/>
      <c r="M664" s="79"/>
    </row>
    <row r="665" spans="3:13" ht="13">
      <c r="C665" s="63"/>
      <c r="E665" s="41"/>
      <c r="F665" s="41"/>
      <c r="G665" s="41"/>
      <c r="H665" s="41"/>
      <c r="I665" s="41"/>
      <c r="K665" s="41"/>
      <c r="L665" s="64"/>
      <c r="M665" s="79"/>
    </row>
    <row r="666" spans="3:13" ht="13">
      <c r="C666" s="63"/>
      <c r="E666" s="41"/>
      <c r="F666" s="41"/>
      <c r="G666" s="41"/>
      <c r="H666" s="41"/>
      <c r="I666" s="41"/>
      <c r="K666" s="41"/>
      <c r="L666" s="64"/>
      <c r="M666" s="79"/>
    </row>
    <row r="667" spans="3:13" ht="13">
      <c r="C667" s="63"/>
      <c r="E667" s="41"/>
      <c r="F667" s="41"/>
      <c r="G667" s="41"/>
      <c r="H667" s="41"/>
      <c r="I667" s="41"/>
      <c r="K667" s="41"/>
      <c r="L667" s="64"/>
      <c r="M667" s="79"/>
    </row>
    <row r="668" spans="3:13" ht="13">
      <c r="C668" s="63"/>
      <c r="E668" s="41"/>
      <c r="F668" s="41"/>
      <c r="G668" s="41"/>
      <c r="H668" s="41"/>
      <c r="I668" s="41"/>
      <c r="K668" s="41"/>
      <c r="L668" s="64"/>
      <c r="M668" s="79"/>
    </row>
    <row r="669" spans="3:13" ht="13">
      <c r="C669" s="63"/>
      <c r="E669" s="41"/>
      <c r="F669" s="41"/>
      <c r="G669" s="41"/>
      <c r="H669" s="41"/>
      <c r="I669" s="41"/>
      <c r="K669" s="41"/>
      <c r="L669" s="64"/>
      <c r="M669" s="79"/>
    </row>
    <row r="670" spans="3:13" ht="13">
      <c r="C670" s="63"/>
      <c r="E670" s="41"/>
      <c r="F670" s="41"/>
      <c r="G670" s="41"/>
      <c r="H670" s="41"/>
      <c r="I670" s="41"/>
      <c r="K670" s="41"/>
      <c r="L670" s="64"/>
      <c r="M670" s="79"/>
    </row>
    <row r="671" spans="3:13" ht="13">
      <c r="C671" s="63"/>
      <c r="E671" s="41"/>
      <c r="F671" s="41"/>
      <c r="G671" s="41"/>
      <c r="H671" s="41"/>
      <c r="I671" s="41"/>
      <c r="K671" s="41"/>
      <c r="L671" s="64"/>
      <c r="M671" s="79"/>
    </row>
    <row r="672" spans="3:13" ht="13">
      <c r="C672" s="63"/>
      <c r="E672" s="41"/>
      <c r="F672" s="41"/>
      <c r="G672" s="41"/>
      <c r="H672" s="41"/>
      <c r="I672" s="41"/>
      <c r="K672" s="41"/>
      <c r="L672" s="64"/>
      <c r="M672" s="79"/>
    </row>
    <row r="673" spans="3:13" ht="13">
      <c r="C673" s="63"/>
      <c r="E673" s="41"/>
      <c r="F673" s="41"/>
      <c r="G673" s="41"/>
      <c r="H673" s="41"/>
      <c r="I673" s="41"/>
      <c r="K673" s="41"/>
      <c r="L673" s="64"/>
      <c r="M673" s="79"/>
    </row>
    <row r="674" spans="3:13" ht="13">
      <c r="C674" s="63"/>
      <c r="E674" s="41"/>
      <c r="F674" s="41"/>
      <c r="G674" s="41"/>
      <c r="H674" s="41"/>
      <c r="I674" s="41"/>
      <c r="K674" s="41"/>
      <c r="L674" s="64"/>
      <c r="M674" s="79"/>
    </row>
    <row r="675" spans="3:13" ht="13">
      <c r="C675" s="63"/>
      <c r="E675" s="41"/>
      <c r="F675" s="41"/>
      <c r="G675" s="41"/>
      <c r="H675" s="41"/>
      <c r="I675" s="41"/>
      <c r="K675" s="41"/>
      <c r="L675" s="64"/>
      <c r="M675" s="79"/>
    </row>
    <row r="676" spans="3:13" ht="13">
      <c r="C676" s="63"/>
      <c r="E676" s="41"/>
      <c r="F676" s="41"/>
      <c r="G676" s="41"/>
      <c r="H676" s="41"/>
      <c r="I676" s="41"/>
      <c r="K676" s="41"/>
      <c r="L676" s="64"/>
      <c r="M676" s="79"/>
    </row>
    <row r="677" spans="3:13" ht="13">
      <c r="C677" s="63"/>
      <c r="E677" s="41"/>
      <c r="F677" s="41"/>
      <c r="G677" s="41"/>
      <c r="H677" s="41"/>
      <c r="I677" s="41"/>
      <c r="K677" s="41"/>
      <c r="L677" s="64"/>
      <c r="M677" s="79"/>
    </row>
    <row r="678" spans="3:13" ht="13">
      <c r="C678" s="63"/>
      <c r="E678" s="41"/>
      <c r="F678" s="41"/>
      <c r="G678" s="41"/>
      <c r="H678" s="41"/>
      <c r="I678" s="41"/>
      <c r="K678" s="41"/>
      <c r="L678" s="64"/>
      <c r="M678" s="79"/>
    </row>
    <row r="679" spans="3:13" ht="13">
      <c r="C679" s="63"/>
      <c r="E679" s="41"/>
      <c r="F679" s="41"/>
      <c r="G679" s="41"/>
      <c r="H679" s="41"/>
      <c r="I679" s="41"/>
      <c r="K679" s="41"/>
      <c r="L679" s="64"/>
      <c r="M679" s="79"/>
    </row>
    <row r="680" spans="3:13" ht="13">
      <c r="C680" s="63"/>
      <c r="E680" s="41"/>
      <c r="F680" s="41"/>
      <c r="G680" s="41"/>
      <c r="H680" s="41"/>
      <c r="I680" s="41"/>
      <c r="K680" s="41"/>
      <c r="L680" s="64"/>
      <c r="M680" s="79"/>
    </row>
    <row r="681" spans="3:13" ht="13">
      <c r="C681" s="63"/>
      <c r="E681" s="41"/>
      <c r="F681" s="41"/>
      <c r="G681" s="41"/>
      <c r="H681" s="41"/>
      <c r="I681" s="41"/>
      <c r="K681" s="41"/>
      <c r="L681" s="64"/>
      <c r="M681" s="79"/>
    </row>
    <row r="682" spans="3:13" ht="13">
      <c r="C682" s="63"/>
      <c r="E682" s="41"/>
      <c r="F682" s="41"/>
      <c r="G682" s="41"/>
      <c r="H682" s="41"/>
      <c r="I682" s="41"/>
      <c r="K682" s="41"/>
      <c r="L682" s="64"/>
      <c r="M682" s="79"/>
    </row>
    <row r="683" spans="3:13" ht="13">
      <c r="C683" s="63"/>
      <c r="E683" s="41"/>
      <c r="F683" s="41"/>
      <c r="G683" s="41"/>
      <c r="H683" s="41"/>
      <c r="I683" s="41"/>
      <c r="K683" s="41"/>
      <c r="L683" s="64"/>
      <c r="M683" s="79"/>
    </row>
    <row r="684" spans="3:13" ht="13">
      <c r="C684" s="63"/>
      <c r="E684" s="41"/>
      <c r="F684" s="41"/>
      <c r="G684" s="41"/>
      <c r="H684" s="41"/>
      <c r="I684" s="41"/>
      <c r="K684" s="41"/>
      <c r="L684" s="64"/>
      <c r="M684" s="79"/>
    </row>
    <row r="685" spans="3:13" ht="13">
      <c r="C685" s="63"/>
      <c r="E685" s="41"/>
      <c r="F685" s="41"/>
      <c r="G685" s="41"/>
      <c r="H685" s="41"/>
      <c r="I685" s="41"/>
      <c r="K685" s="41"/>
      <c r="L685" s="64"/>
      <c r="M685" s="79"/>
    </row>
    <row r="686" spans="3:13" ht="13">
      <c r="C686" s="63"/>
      <c r="E686" s="41"/>
      <c r="F686" s="41"/>
      <c r="G686" s="41"/>
      <c r="H686" s="41"/>
      <c r="I686" s="41"/>
      <c r="K686" s="41"/>
      <c r="L686" s="64"/>
      <c r="M686" s="79"/>
    </row>
    <row r="687" spans="3:13" ht="13">
      <c r="C687" s="63"/>
      <c r="E687" s="41"/>
      <c r="F687" s="41"/>
      <c r="G687" s="41"/>
      <c r="H687" s="41"/>
      <c r="I687" s="41"/>
      <c r="K687" s="41"/>
      <c r="L687" s="64"/>
      <c r="M687" s="79"/>
    </row>
    <row r="688" spans="3:13" ht="13">
      <c r="C688" s="63"/>
      <c r="E688" s="41"/>
      <c r="F688" s="41"/>
      <c r="G688" s="41"/>
      <c r="H688" s="41"/>
      <c r="I688" s="41"/>
      <c r="K688" s="41"/>
      <c r="L688" s="64"/>
      <c r="M688" s="79"/>
    </row>
    <row r="689" spans="3:13" ht="13">
      <c r="C689" s="63"/>
      <c r="E689" s="41"/>
      <c r="F689" s="41"/>
      <c r="G689" s="41"/>
      <c r="H689" s="41"/>
      <c r="I689" s="41"/>
      <c r="K689" s="41"/>
      <c r="L689" s="64"/>
      <c r="M689" s="79"/>
    </row>
    <row r="690" spans="3:13" ht="13">
      <c r="C690" s="63"/>
      <c r="E690" s="41"/>
      <c r="F690" s="41"/>
      <c r="G690" s="41"/>
      <c r="H690" s="41"/>
      <c r="I690" s="41"/>
      <c r="K690" s="41"/>
      <c r="L690" s="64"/>
      <c r="M690" s="79"/>
    </row>
    <row r="691" spans="3:13" ht="13">
      <c r="C691" s="63"/>
      <c r="E691" s="41"/>
      <c r="F691" s="41"/>
      <c r="G691" s="41"/>
      <c r="H691" s="41"/>
      <c r="I691" s="41"/>
      <c r="K691" s="41"/>
      <c r="L691" s="64"/>
      <c r="M691" s="79"/>
    </row>
    <row r="692" spans="3:13" ht="13">
      <c r="C692" s="63"/>
      <c r="E692" s="41"/>
      <c r="F692" s="41"/>
      <c r="G692" s="41"/>
      <c r="H692" s="41"/>
      <c r="I692" s="41"/>
      <c r="K692" s="41"/>
      <c r="L692" s="64"/>
      <c r="M692" s="79"/>
    </row>
    <row r="693" spans="3:13" ht="13">
      <c r="C693" s="63"/>
      <c r="E693" s="41"/>
      <c r="F693" s="41"/>
      <c r="G693" s="41"/>
      <c r="H693" s="41"/>
      <c r="I693" s="41"/>
      <c r="K693" s="41"/>
      <c r="L693" s="64"/>
      <c r="M693" s="79"/>
    </row>
    <row r="694" spans="3:13" ht="13">
      <c r="C694" s="63"/>
      <c r="E694" s="41"/>
      <c r="F694" s="41"/>
      <c r="G694" s="41"/>
      <c r="H694" s="41"/>
      <c r="I694" s="41"/>
      <c r="K694" s="41"/>
      <c r="L694" s="64"/>
      <c r="M694" s="79"/>
    </row>
    <row r="695" spans="3:13" ht="13">
      <c r="C695" s="63"/>
      <c r="E695" s="41"/>
      <c r="F695" s="41"/>
      <c r="G695" s="41"/>
      <c r="H695" s="41"/>
      <c r="I695" s="41"/>
      <c r="K695" s="41"/>
      <c r="L695" s="64"/>
      <c r="M695" s="79"/>
    </row>
    <row r="696" spans="3:13" ht="13">
      <c r="C696" s="63"/>
      <c r="E696" s="41"/>
      <c r="F696" s="41"/>
      <c r="G696" s="41"/>
      <c r="H696" s="41"/>
      <c r="I696" s="41"/>
      <c r="K696" s="41"/>
      <c r="L696" s="64"/>
      <c r="M696" s="79"/>
    </row>
    <row r="697" spans="3:13" ht="13">
      <c r="C697" s="63"/>
      <c r="E697" s="41"/>
      <c r="F697" s="41"/>
      <c r="G697" s="41"/>
      <c r="H697" s="41"/>
      <c r="I697" s="41"/>
      <c r="K697" s="41"/>
      <c r="L697" s="64"/>
      <c r="M697" s="79"/>
    </row>
    <row r="698" spans="3:13" ht="13">
      <c r="C698" s="63"/>
      <c r="E698" s="41"/>
      <c r="F698" s="41"/>
      <c r="G698" s="41"/>
      <c r="H698" s="41"/>
      <c r="I698" s="41"/>
      <c r="K698" s="41"/>
      <c r="L698" s="64"/>
      <c r="M698" s="79"/>
    </row>
    <row r="699" spans="3:13" ht="13">
      <c r="C699" s="63"/>
      <c r="E699" s="41"/>
      <c r="F699" s="41"/>
      <c r="G699" s="41"/>
      <c r="H699" s="41"/>
      <c r="I699" s="41"/>
      <c r="K699" s="41"/>
      <c r="L699" s="64"/>
      <c r="M699" s="79"/>
    </row>
    <row r="700" spans="3:13" ht="13">
      <c r="C700" s="63"/>
      <c r="E700" s="41"/>
      <c r="F700" s="41"/>
      <c r="G700" s="41"/>
      <c r="H700" s="41"/>
      <c r="I700" s="41"/>
      <c r="K700" s="41"/>
      <c r="L700" s="64"/>
      <c r="M700" s="79"/>
    </row>
    <row r="701" spans="3:13" ht="13">
      <c r="C701" s="63"/>
      <c r="E701" s="41"/>
      <c r="F701" s="41"/>
      <c r="G701" s="41"/>
      <c r="H701" s="41"/>
      <c r="I701" s="41"/>
      <c r="K701" s="41"/>
      <c r="L701" s="64"/>
      <c r="M701" s="79"/>
    </row>
    <row r="702" spans="3:13" ht="13">
      <c r="C702" s="63"/>
      <c r="E702" s="41"/>
      <c r="F702" s="41"/>
      <c r="G702" s="41"/>
      <c r="H702" s="41"/>
      <c r="I702" s="41"/>
      <c r="K702" s="41"/>
      <c r="L702" s="64"/>
      <c r="M702" s="79"/>
    </row>
    <row r="703" spans="3:13" ht="13">
      <c r="C703" s="63"/>
      <c r="E703" s="41"/>
      <c r="F703" s="41"/>
      <c r="G703" s="41"/>
      <c r="H703" s="41"/>
      <c r="I703" s="41"/>
      <c r="K703" s="41"/>
      <c r="L703" s="64"/>
      <c r="M703" s="79"/>
    </row>
    <row r="704" spans="3:13" ht="13">
      <c r="C704" s="63"/>
      <c r="E704" s="41"/>
      <c r="F704" s="41"/>
      <c r="G704" s="41"/>
      <c r="H704" s="41"/>
      <c r="I704" s="41"/>
      <c r="K704" s="41"/>
      <c r="L704" s="64"/>
      <c r="M704" s="79"/>
    </row>
    <row r="705" spans="3:13" ht="13">
      <c r="C705" s="63"/>
      <c r="E705" s="41"/>
      <c r="F705" s="41"/>
      <c r="G705" s="41"/>
      <c r="H705" s="41"/>
      <c r="I705" s="41"/>
      <c r="K705" s="41"/>
      <c r="L705" s="64"/>
      <c r="M705" s="79"/>
    </row>
    <row r="706" spans="3:13" ht="13">
      <c r="C706" s="63"/>
      <c r="E706" s="41"/>
      <c r="F706" s="41"/>
      <c r="G706" s="41"/>
      <c r="H706" s="41"/>
      <c r="I706" s="41"/>
      <c r="K706" s="41"/>
      <c r="L706" s="64"/>
      <c r="M706" s="79"/>
    </row>
    <row r="707" spans="3:13" ht="13">
      <c r="C707" s="63"/>
      <c r="E707" s="41"/>
      <c r="F707" s="41"/>
      <c r="G707" s="41"/>
      <c r="H707" s="41"/>
      <c r="I707" s="41"/>
      <c r="K707" s="41"/>
      <c r="L707" s="64"/>
      <c r="M707" s="79"/>
    </row>
    <row r="708" spans="3:13" ht="13">
      <c r="C708" s="63"/>
      <c r="E708" s="41"/>
      <c r="F708" s="41"/>
      <c r="G708" s="41"/>
      <c r="H708" s="41"/>
      <c r="I708" s="41"/>
      <c r="K708" s="41"/>
      <c r="L708" s="64"/>
      <c r="M708" s="79"/>
    </row>
    <row r="709" spans="3:13" ht="13">
      <c r="C709" s="63"/>
      <c r="E709" s="41"/>
      <c r="F709" s="41"/>
      <c r="G709" s="41"/>
      <c r="H709" s="41"/>
      <c r="I709" s="41"/>
      <c r="K709" s="41"/>
      <c r="L709" s="64"/>
      <c r="M709" s="79"/>
    </row>
    <row r="710" spans="3:13" ht="13">
      <c r="C710" s="63"/>
      <c r="E710" s="41"/>
      <c r="F710" s="41"/>
      <c r="G710" s="41"/>
      <c r="H710" s="41"/>
      <c r="I710" s="41"/>
      <c r="K710" s="41"/>
      <c r="L710" s="64"/>
      <c r="M710" s="79"/>
    </row>
    <row r="711" spans="3:13" ht="13">
      <c r="C711" s="63"/>
      <c r="E711" s="41"/>
      <c r="F711" s="41"/>
      <c r="G711" s="41"/>
      <c r="H711" s="41"/>
      <c r="I711" s="41"/>
      <c r="K711" s="41"/>
      <c r="L711" s="64"/>
      <c r="M711" s="79"/>
    </row>
    <row r="712" spans="3:13" ht="13">
      <c r="C712" s="63"/>
      <c r="E712" s="41"/>
      <c r="F712" s="41"/>
      <c r="G712" s="41"/>
      <c r="H712" s="41"/>
      <c r="I712" s="41"/>
      <c r="K712" s="41"/>
      <c r="L712" s="64"/>
      <c r="M712" s="79"/>
    </row>
    <row r="713" spans="3:13" ht="13">
      <c r="C713" s="63"/>
      <c r="E713" s="41"/>
      <c r="F713" s="41"/>
      <c r="G713" s="41"/>
      <c r="H713" s="41"/>
      <c r="I713" s="41"/>
      <c r="K713" s="41"/>
      <c r="L713" s="64"/>
      <c r="M713" s="79"/>
    </row>
    <row r="714" spans="3:13" ht="13">
      <c r="C714" s="63"/>
      <c r="E714" s="41"/>
      <c r="F714" s="41"/>
      <c r="G714" s="41"/>
      <c r="H714" s="41"/>
      <c r="I714" s="41"/>
      <c r="K714" s="41"/>
      <c r="L714" s="64"/>
      <c r="M714" s="79"/>
    </row>
    <row r="715" spans="3:13" ht="13">
      <c r="C715" s="63"/>
      <c r="E715" s="41"/>
      <c r="F715" s="41"/>
      <c r="G715" s="41"/>
      <c r="H715" s="41"/>
      <c r="I715" s="41"/>
      <c r="K715" s="41"/>
      <c r="L715" s="64"/>
      <c r="M715" s="79"/>
    </row>
    <row r="716" spans="3:13" ht="13">
      <c r="C716" s="63"/>
      <c r="E716" s="41"/>
      <c r="F716" s="41"/>
      <c r="G716" s="41"/>
      <c r="H716" s="41"/>
      <c r="I716" s="41"/>
      <c r="K716" s="41"/>
      <c r="L716" s="64"/>
      <c r="M716" s="79"/>
    </row>
    <row r="717" spans="3:13" ht="13">
      <c r="C717" s="63"/>
      <c r="E717" s="41"/>
      <c r="F717" s="41"/>
      <c r="G717" s="41"/>
      <c r="H717" s="41"/>
      <c r="I717" s="41"/>
      <c r="K717" s="41"/>
      <c r="L717" s="64"/>
      <c r="M717" s="79"/>
    </row>
    <row r="718" spans="3:13" ht="13">
      <c r="C718" s="63"/>
      <c r="E718" s="41"/>
      <c r="F718" s="41"/>
      <c r="G718" s="41"/>
      <c r="H718" s="41"/>
      <c r="I718" s="41"/>
      <c r="K718" s="41"/>
      <c r="L718" s="64"/>
      <c r="M718" s="79"/>
    </row>
    <row r="719" spans="3:13" ht="13">
      <c r="C719" s="63"/>
      <c r="E719" s="41"/>
      <c r="F719" s="41"/>
      <c r="G719" s="41"/>
      <c r="H719" s="41"/>
      <c r="I719" s="41"/>
      <c r="K719" s="41"/>
      <c r="L719" s="64"/>
      <c r="M719" s="79"/>
    </row>
    <row r="720" spans="3:13" ht="13">
      <c r="C720" s="63"/>
      <c r="E720" s="41"/>
      <c r="F720" s="41"/>
      <c r="G720" s="41"/>
      <c r="H720" s="41"/>
      <c r="I720" s="41"/>
      <c r="K720" s="41"/>
      <c r="L720" s="64"/>
      <c r="M720" s="79"/>
    </row>
    <row r="721" spans="3:13" ht="13">
      <c r="C721" s="63"/>
      <c r="E721" s="41"/>
      <c r="F721" s="41"/>
      <c r="G721" s="41"/>
      <c r="H721" s="41"/>
      <c r="I721" s="41"/>
      <c r="K721" s="41"/>
      <c r="L721" s="64"/>
      <c r="M721" s="79"/>
    </row>
    <row r="722" spans="3:13" ht="13">
      <c r="C722" s="63"/>
      <c r="E722" s="41"/>
      <c r="F722" s="41"/>
      <c r="G722" s="41"/>
      <c r="H722" s="41"/>
      <c r="I722" s="41"/>
      <c r="K722" s="41"/>
      <c r="L722" s="64"/>
      <c r="M722" s="79"/>
    </row>
    <row r="723" spans="3:13" ht="13">
      <c r="C723" s="63"/>
      <c r="E723" s="41"/>
      <c r="F723" s="41"/>
      <c r="G723" s="41"/>
      <c r="H723" s="41"/>
      <c r="I723" s="41"/>
      <c r="K723" s="41"/>
      <c r="L723" s="64"/>
      <c r="M723" s="79"/>
    </row>
    <row r="724" spans="3:13" ht="13">
      <c r="C724" s="63"/>
      <c r="E724" s="41"/>
      <c r="F724" s="41"/>
      <c r="G724" s="41"/>
      <c r="H724" s="41"/>
      <c r="I724" s="41"/>
      <c r="K724" s="41"/>
      <c r="L724" s="64"/>
      <c r="M724" s="79"/>
    </row>
    <row r="725" spans="3:13" ht="13">
      <c r="C725" s="63"/>
      <c r="E725" s="41"/>
      <c r="F725" s="41"/>
      <c r="G725" s="41"/>
      <c r="H725" s="41"/>
      <c r="I725" s="41"/>
      <c r="K725" s="41"/>
      <c r="L725" s="64"/>
      <c r="M725" s="79"/>
    </row>
    <row r="726" spans="3:13" ht="13">
      <c r="C726" s="63"/>
      <c r="E726" s="41"/>
      <c r="F726" s="41"/>
      <c r="G726" s="41"/>
      <c r="H726" s="41"/>
      <c r="I726" s="41"/>
      <c r="K726" s="41"/>
      <c r="L726" s="64"/>
      <c r="M726" s="79"/>
    </row>
    <row r="727" spans="3:13" ht="13">
      <c r="C727" s="63"/>
      <c r="E727" s="41"/>
      <c r="F727" s="41"/>
      <c r="G727" s="41"/>
      <c r="H727" s="41"/>
      <c r="I727" s="41"/>
      <c r="K727" s="41"/>
      <c r="L727" s="64"/>
      <c r="M727" s="79"/>
    </row>
    <row r="728" spans="3:13" ht="13">
      <c r="C728" s="63"/>
      <c r="E728" s="41"/>
      <c r="F728" s="41"/>
      <c r="G728" s="41"/>
      <c r="H728" s="41"/>
      <c r="I728" s="41"/>
      <c r="K728" s="41"/>
      <c r="L728" s="64"/>
      <c r="M728" s="79"/>
    </row>
    <row r="729" spans="3:13" ht="13">
      <c r="C729" s="63"/>
      <c r="E729" s="41"/>
      <c r="F729" s="41"/>
      <c r="G729" s="41"/>
      <c r="H729" s="41"/>
      <c r="I729" s="41"/>
      <c r="K729" s="41"/>
      <c r="L729" s="64"/>
      <c r="M729" s="79"/>
    </row>
    <row r="730" spans="3:13" ht="13">
      <c r="C730" s="63"/>
      <c r="E730" s="41"/>
      <c r="F730" s="41"/>
      <c r="G730" s="41"/>
      <c r="H730" s="41"/>
      <c r="I730" s="41"/>
      <c r="K730" s="41"/>
      <c r="L730" s="64"/>
      <c r="M730" s="79"/>
    </row>
    <row r="731" spans="3:13" ht="13">
      <c r="C731" s="63"/>
      <c r="E731" s="41"/>
      <c r="F731" s="41"/>
      <c r="G731" s="41"/>
      <c r="H731" s="41"/>
      <c r="I731" s="41"/>
      <c r="K731" s="41"/>
      <c r="L731" s="64"/>
      <c r="M731" s="79"/>
    </row>
    <row r="732" spans="3:13" ht="13">
      <c r="C732" s="63"/>
      <c r="E732" s="41"/>
      <c r="F732" s="41"/>
      <c r="G732" s="41"/>
      <c r="H732" s="41"/>
      <c r="I732" s="41"/>
      <c r="K732" s="41"/>
      <c r="L732" s="64"/>
      <c r="M732" s="79"/>
    </row>
    <row r="733" spans="3:13" ht="13">
      <c r="C733" s="63"/>
      <c r="E733" s="41"/>
      <c r="F733" s="41"/>
      <c r="G733" s="41"/>
      <c r="H733" s="41"/>
      <c r="I733" s="41"/>
      <c r="K733" s="41"/>
      <c r="L733" s="64"/>
      <c r="M733" s="79"/>
    </row>
    <row r="734" spans="3:13" ht="13">
      <c r="C734" s="63"/>
      <c r="E734" s="41"/>
      <c r="F734" s="41"/>
      <c r="G734" s="41"/>
      <c r="H734" s="41"/>
      <c r="I734" s="41"/>
      <c r="K734" s="41"/>
      <c r="L734" s="64"/>
      <c r="M734" s="79"/>
    </row>
    <row r="735" spans="3:13" ht="13">
      <c r="C735" s="63"/>
      <c r="E735" s="41"/>
      <c r="F735" s="41"/>
      <c r="G735" s="41"/>
      <c r="H735" s="41"/>
      <c r="I735" s="41"/>
      <c r="K735" s="41"/>
      <c r="L735" s="64"/>
      <c r="M735" s="79"/>
    </row>
    <row r="736" spans="3:13" ht="13">
      <c r="C736" s="63"/>
      <c r="E736" s="41"/>
      <c r="F736" s="41"/>
      <c r="G736" s="41"/>
      <c r="H736" s="41"/>
      <c r="I736" s="41"/>
      <c r="K736" s="41"/>
      <c r="L736" s="64"/>
      <c r="M736" s="79"/>
    </row>
    <row r="737" spans="3:13" ht="13">
      <c r="C737" s="63"/>
      <c r="E737" s="41"/>
      <c r="F737" s="41"/>
      <c r="G737" s="41"/>
      <c r="H737" s="41"/>
      <c r="I737" s="41"/>
      <c r="K737" s="41"/>
      <c r="L737" s="64"/>
      <c r="M737" s="79"/>
    </row>
    <row r="738" spans="3:13" ht="13">
      <c r="C738" s="63"/>
      <c r="E738" s="41"/>
      <c r="F738" s="41"/>
      <c r="G738" s="41"/>
      <c r="H738" s="41"/>
      <c r="I738" s="41"/>
      <c r="K738" s="41"/>
      <c r="L738" s="64"/>
      <c r="M738" s="79"/>
    </row>
    <row r="739" spans="3:13" ht="13">
      <c r="C739" s="63"/>
      <c r="E739" s="41"/>
      <c r="F739" s="41"/>
      <c r="G739" s="41"/>
      <c r="H739" s="41"/>
      <c r="I739" s="41"/>
      <c r="K739" s="41"/>
      <c r="L739" s="64"/>
      <c r="M739" s="79"/>
    </row>
    <row r="740" spans="3:13" ht="13">
      <c r="C740" s="63"/>
      <c r="E740" s="41"/>
      <c r="F740" s="41"/>
      <c r="G740" s="41"/>
      <c r="H740" s="41"/>
      <c r="I740" s="41"/>
      <c r="K740" s="41"/>
      <c r="L740" s="64"/>
      <c r="M740" s="79"/>
    </row>
    <row r="741" spans="3:13" ht="13">
      <c r="C741" s="63"/>
      <c r="E741" s="41"/>
      <c r="F741" s="41"/>
      <c r="G741" s="41"/>
      <c r="H741" s="41"/>
      <c r="I741" s="41"/>
      <c r="K741" s="41"/>
      <c r="L741" s="64"/>
      <c r="M741" s="79"/>
    </row>
    <row r="742" spans="3:13" ht="13">
      <c r="C742" s="63"/>
      <c r="E742" s="41"/>
      <c r="F742" s="41"/>
      <c r="G742" s="41"/>
      <c r="H742" s="41"/>
      <c r="I742" s="41"/>
      <c r="K742" s="41"/>
      <c r="L742" s="64"/>
      <c r="M742" s="79"/>
    </row>
    <row r="743" spans="3:13" ht="13">
      <c r="C743" s="63"/>
      <c r="E743" s="41"/>
      <c r="F743" s="41"/>
      <c r="G743" s="41"/>
      <c r="H743" s="41"/>
      <c r="I743" s="41"/>
      <c r="K743" s="41"/>
      <c r="L743" s="64"/>
      <c r="M743" s="79"/>
    </row>
    <row r="744" spans="3:13" ht="13">
      <c r="C744" s="63"/>
      <c r="E744" s="41"/>
      <c r="F744" s="41"/>
      <c r="G744" s="41"/>
      <c r="H744" s="41"/>
      <c r="I744" s="41"/>
      <c r="K744" s="41"/>
      <c r="L744" s="64"/>
      <c r="M744" s="79"/>
    </row>
    <row r="745" spans="3:13" ht="13">
      <c r="C745" s="63"/>
      <c r="E745" s="41"/>
      <c r="F745" s="41"/>
      <c r="G745" s="41"/>
      <c r="H745" s="41"/>
      <c r="I745" s="41"/>
      <c r="K745" s="41"/>
      <c r="L745" s="64"/>
      <c r="M745" s="79"/>
    </row>
    <row r="746" spans="3:13" ht="13">
      <c r="C746" s="63"/>
      <c r="E746" s="41"/>
      <c r="F746" s="41"/>
      <c r="G746" s="41"/>
      <c r="H746" s="41"/>
      <c r="I746" s="41"/>
      <c r="K746" s="41"/>
      <c r="L746" s="64"/>
      <c r="M746" s="79"/>
    </row>
    <row r="747" spans="3:13" ht="13">
      <c r="C747" s="63"/>
      <c r="E747" s="41"/>
      <c r="F747" s="41"/>
      <c r="G747" s="41"/>
      <c r="H747" s="41"/>
      <c r="I747" s="41"/>
      <c r="K747" s="41"/>
      <c r="L747" s="64"/>
      <c r="M747" s="79"/>
    </row>
    <row r="748" spans="3:13" ht="13">
      <c r="C748" s="63"/>
      <c r="E748" s="41"/>
      <c r="F748" s="41"/>
      <c r="G748" s="41"/>
      <c r="H748" s="41"/>
      <c r="I748" s="41"/>
      <c r="K748" s="41"/>
      <c r="L748" s="64"/>
      <c r="M748" s="79"/>
    </row>
    <row r="749" spans="3:13" ht="13">
      <c r="C749" s="63"/>
      <c r="E749" s="41"/>
      <c r="F749" s="41"/>
      <c r="G749" s="41"/>
      <c r="H749" s="41"/>
      <c r="I749" s="41"/>
      <c r="K749" s="41"/>
      <c r="L749" s="64"/>
      <c r="M749" s="79"/>
    </row>
    <row r="750" spans="3:13" ht="13">
      <c r="C750" s="63"/>
      <c r="E750" s="41"/>
      <c r="F750" s="41"/>
      <c r="G750" s="41"/>
      <c r="H750" s="41"/>
      <c r="I750" s="41"/>
      <c r="K750" s="41"/>
      <c r="L750" s="64"/>
      <c r="M750" s="79"/>
    </row>
    <row r="751" spans="3:13" ht="13">
      <c r="C751" s="63"/>
      <c r="E751" s="41"/>
      <c r="F751" s="41"/>
      <c r="G751" s="41"/>
      <c r="H751" s="41"/>
      <c r="I751" s="41"/>
      <c r="K751" s="41"/>
      <c r="L751" s="64"/>
      <c r="M751" s="79"/>
    </row>
    <row r="752" spans="3:13" ht="13">
      <c r="C752" s="63"/>
      <c r="E752" s="41"/>
      <c r="F752" s="41"/>
      <c r="G752" s="41"/>
      <c r="H752" s="41"/>
      <c r="I752" s="41"/>
      <c r="K752" s="41"/>
      <c r="L752" s="64"/>
      <c r="M752" s="79"/>
    </row>
    <row r="753" spans="3:13" ht="13">
      <c r="C753" s="63"/>
      <c r="E753" s="41"/>
      <c r="F753" s="41"/>
      <c r="G753" s="41"/>
      <c r="H753" s="41"/>
      <c r="I753" s="41"/>
      <c r="K753" s="41"/>
      <c r="L753" s="64"/>
      <c r="M753" s="79"/>
    </row>
    <row r="754" spans="3:13" ht="13">
      <c r="C754" s="63"/>
      <c r="E754" s="41"/>
      <c r="F754" s="41"/>
      <c r="G754" s="41"/>
      <c r="H754" s="41"/>
      <c r="I754" s="41"/>
      <c r="K754" s="41"/>
      <c r="L754" s="64"/>
      <c r="M754" s="79"/>
    </row>
    <row r="755" spans="3:13" ht="13">
      <c r="C755" s="63"/>
      <c r="E755" s="41"/>
      <c r="F755" s="41"/>
      <c r="G755" s="41"/>
      <c r="H755" s="41"/>
      <c r="I755" s="41"/>
      <c r="K755" s="41"/>
      <c r="L755" s="64"/>
      <c r="M755" s="79"/>
    </row>
    <row r="756" spans="3:13" ht="13">
      <c r="C756" s="63"/>
      <c r="E756" s="41"/>
      <c r="F756" s="41"/>
      <c r="G756" s="41"/>
      <c r="H756" s="41"/>
      <c r="I756" s="41"/>
      <c r="K756" s="41"/>
      <c r="L756" s="64"/>
      <c r="M756" s="79"/>
    </row>
    <row r="757" spans="3:13" ht="13">
      <c r="C757" s="63"/>
      <c r="E757" s="41"/>
      <c r="F757" s="41"/>
      <c r="G757" s="41"/>
      <c r="H757" s="41"/>
      <c r="I757" s="41"/>
      <c r="K757" s="41"/>
      <c r="L757" s="64"/>
      <c r="M757" s="79"/>
    </row>
    <row r="758" spans="3:13" ht="13">
      <c r="C758" s="63"/>
      <c r="E758" s="41"/>
      <c r="F758" s="41"/>
      <c r="G758" s="41"/>
      <c r="H758" s="41"/>
      <c r="I758" s="41"/>
      <c r="K758" s="41"/>
      <c r="L758" s="64"/>
      <c r="M758" s="79"/>
    </row>
    <row r="759" spans="3:13" ht="13">
      <c r="C759" s="63"/>
      <c r="E759" s="41"/>
      <c r="F759" s="41"/>
      <c r="G759" s="41"/>
      <c r="H759" s="41"/>
      <c r="I759" s="41"/>
      <c r="K759" s="41"/>
      <c r="L759" s="64"/>
      <c r="M759" s="79"/>
    </row>
    <row r="760" spans="3:13" ht="13">
      <c r="C760" s="63"/>
      <c r="E760" s="41"/>
      <c r="F760" s="41"/>
      <c r="G760" s="41"/>
      <c r="H760" s="41"/>
      <c r="I760" s="41"/>
      <c r="K760" s="41"/>
      <c r="L760" s="64"/>
      <c r="M760" s="79"/>
    </row>
    <row r="761" spans="3:13" ht="13">
      <c r="C761" s="63"/>
      <c r="E761" s="41"/>
      <c r="F761" s="41"/>
      <c r="G761" s="41"/>
      <c r="H761" s="41"/>
      <c r="I761" s="41"/>
      <c r="K761" s="41"/>
      <c r="L761" s="64"/>
      <c r="M761" s="79"/>
    </row>
    <row r="762" spans="3:13" ht="13">
      <c r="C762" s="63"/>
      <c r="E762" s="41"/>
      <c r="F762" s="41"/>
      <c r="G762" s="41"/>
      <c r="H762" s="41"/>
      <c r="I762" s="41"/>
      <c r="K762" s="41"/>
      <c r="L762" s="64"/>
      <c r="M762" s="79"/>
    </row>
    <row r="763" spans="3:13" ht="13">
      <c r="C763" s="63"/>
      <c r="E763" s="41"/>
      <c r="F763" s="41"/>
      <c r="G763" s="41"/>
      <c r="H763" s="41"/>
      <c r="I763" s="41"/>
      <c r="K763" s="41"/>
      <c r="L763" s="64"/>
      <c r="M763" s="79"/>
    </row>
    <row r="764" spans="3:13" ht="13">
      <c r="C764" s="63"/>
      <c r="E764" s="41"/>
      <c r="F764" s="41"/>
      <c r="G764" s="41"/>
      <c r="H764" s="41"/>
      <c r="I764" s="41"/>
      <c r="K764" s="41"/>
      <c r="L764" s="64"/>
      <c r="M764" s="79"/>
    </row>
    <row r="765" spans="3:13" ht="13">
      <c r="C765" s="63"/>
      <c r="E765" s="41"/>
      <c r="F765" s="41"/>
      <c r="G765" s="41"/>
      <c r="H765" s="41"/>
      <c r="I765" s="41"/>
      <c r="K765" s="41"/>
      <c r="L765" s="64"/>
      <c r="M765" s="79"/>
    </row>
    <row r="766" spans="3:13" ht="13">
      <c r="C766" s="63"/>
      <c r="E766" s="41"/>
      <c r="F766" s="41"/>
      <c r="G766" s="41"/>
      <c r="H766" s="41"/>
      <c r="I766" s="41"/>
      <c r="K766" s="41"/>
      <c r="L766" s="64"/>
      <c r="M766" s="79"/>
    </row>
    <row r="767" spans="3:13" ht="13">
      <c r="C767" s="63"/>
      <c r="E767" s="41"/>
      <c r="F767" s="41"/>
      <c r="G767" s="41"/>
      <c r="H767" s="41"/>
      <c r="I767" s="41"/>
      <c r="K767" s="41"/>
      <c r="L767" s="64"/>
      <c r="M767" s="79"/>
    </row>
    <row r="768" spans="3:13" ht="13">
      <c r="C768" s="63"/>
      <c r="E768" s="41"/>
      <c r="F768" s="41"/>
      <c r="G768" s="41"/>
      <c r="H768" s="41"/>
      <c r="I768" s="41"/>
      <c r="K768" s="41"/>
      <c r="L768" s="64"/>
      <c r="M768" s="79"/>
    </row>
    <row r="769" spans="3:13" ht="13">
      <c r="C769" s="63"/>
      <c r="E769" s="41"/>
      <c r="F769" s="41"/>
      <c r="G769" s="41"/>
      <c r="H769" s="41"/>
      <c r="I769" s="41"/>
      <c r="K769" s="41"/>
      <c r="L769" s="64"/>
      <c r="M769" s="79"/>
    </row>
    <row r="770" spans="3:13" ht="13">
      <c r="C770" s="63"/>
      <c r="E770" s="41"/>
      <c r="F770" s="41"/>
      <c r="G770" s="41"/>
      <c r="H770" s="41"/>
      <c r="I770" s="41"/>
      <c r="K770" s="41"/>
      <c r="L770" s="64"/>
      <c r="M770" s="79"/>
    </row>
    <row r="771" spans="3:13" ht="13">
      <c r="C771" s="63"/>
      <c r="E771" s="41"/>
      <c r="F771" s="41"/>
      <c r="G771" s="41"/>
      <c r="H771" s="41"/>
      <c r="I771" s="41"/>
      <c r="K771" s="41"/>
      <c r="L771" s="64"/>
      <c r="M771" s="79"/>
    </row>
    <row r="772" spans="3:13" ht="13">
      <c r="C772" s="63"/>
      <c r="E772" s="41"/>
      <c r="F772" s="41"/>
      <c r="G772" s="41"/>
      <c r="H772" s="41"/>
      <c r="I772" s="41"/>
      <c r="K772" s="41"/>
      <c r="L772" s="64"/>
      <c r="M772" s="79"/>
    </row>
    <row r="773" spans="3:13" ht="13">
      <c r="C773" s="63"/>
      <c r="E773" s="41"/>
      <c r="F773" s="41"/>
      <c r="G773" s="41"/>
      <c r="H773" s="41"/>
      <c r="I773" s="41"/>
      <c r="K773" s="41"/>
      <c r="L773" s="64"/>
      <c r="M773" s="79"/>
    </row>
    <row r="774" spans="3:13" ht="13">
      <c r="C774" s="63"/>
      <c r="E774" s="41"/>
      <c r="F774" s="41"/>
      <c r="G774" s="41"/>
      <c r="H774" s="41"/>
      <c r="I774" s="41"/>
      <c r="K774" s="41"/>
      <c r="L774" s="64"/>
      <c r="M774" s="79"/>
    </row>
    <row r="775" spans="3:13" ht="13">
      <c r="C775" s="63"/>
      <c r="E775" s="41"/>
      <c r="F775" s="41"/>
      <c r="G775" s="41"/>
      <c r="H775" s="41"/>
      <c r="I775" s="41"/>
      <c r="K775" s="41"/>
      <c r="L775" s="64"/>
      <c r="M775" s="79"/>
    </row>
    <row r="776" spans="3:13" ht="13">
      <c r="C776" s="63"/>
      <c r="E776" s="41"/>
      <c r="F776" s="41"/>
      <c r="G776" s="41"/>
      <c r="H776" s="41"/>
      <c r="I776" s="41"/>
      <c r="K776" s="41"/>
      <c r="L776" s="64"/>
      <c r="M776" s="79"/>
    </row>
    <row r="777" spans="3:13" ht="13">
      <c r="C777" s="63"/>
      <c r="E777" s="41"/>
      <c r="F777" s="41"/>
      <c r="G777" s="41"/>
      <c r="H777" s="41"/>
      <c r="I777" s="41"/>
      <c r="K777" s="41"/>
      <c r="L777" s="64"/>
      <c r="M777" s="79"/>
    </row>
    <row r="778" spans="3:13" ht="13">
      <c r="C778" s="63"/>
      <c r="E778" s="41"/>
      <c r="F778" s="41"/>
      <c r="G778" s="41"/>
      <c r="H778" s="41"/>
      <c r="I778" s="41"/>
      <c r="K778" s="41"/>
      <c r="L778" s="64"/>
      <c r="M778" s="79"/>
    </row>
    <row r="779" spans="3:13" ht="13">
      <c r="C779" s="63"/>
      <c r="E779" s="41"/>
      <c r="F779" s="41"/>
      <c r="G779" s="41"/>
      <c r="H779" s="41"/>
      <c r="I779" s="41"/>
      <c r="K779" s="41"/>
      <c r="L779" s="64"/>
      <c r="M779" s="79"/>
    </row>
    <row r="780" spans="3:13" ht="13">
      <c r="C780" s="63"/>
      <c r="E780" s="41"/>
      <c r="F780" s="41"/>
      <c r="G780" s="41"/>
      <c r="H780" s="41"/>
      <c r="I780" s="41"/>
      <c r="K780" s="41"/>
      <c r="L780" s="64"/>
      <c r="M780" s="79"/>
    </row>
    <row r="781" spans="3:13" ht="13">
      <c r="C781" s="63"/>
      <c r="E781" s="41"/>
      <c r="F781" s="41"/>
      <c r="G781" s="41"/>
      <c r="H781" s="41"/>
      <c r="I781" s="41"/>
      <c r="K781" s="41"/>
      <c r="L781" s="64"/>
      <c r="M781" s="79"/>
    </row>
    <row r="782" spans="3:13" ht="13">
      <c r="C782" s="63"/>
      <c r="E782" s="41"/>
      <c r="F782" s="41"/>
      <c r="G782" s="41"/>
      <c r="H782" s="41"/>
      <c r="I782" s="41"/>
      <c r="K782" s="41"/>
      <c r="L782" s="64"/>
      <c r="M782" s="79"/>
    </row>
    <row r="783" spans="3:13" ht="13">
      <c r="C783" s="63"/>
      <c r="E783" s="41"/>
      <c r="F783" s="41"/>
      <c r="G783" s="41"/>
      <c r="H783" s="41"/>
      <c r="I783" s="41"/>
      <c r="K783" s="41"/>
      <c r="L783" s="64"/>
      <c r="M783" s="79"/>
    </row>
    <row r="784" spans="3:13" ht="13">
      <c r="C784" s="63"/>
      <c r="E784" s="41"/>
      <c r="F784" s="41"/>
      <c r="G784" s="41"/>
      <c r="H784" s="41"/>
      <c r="I784" s="41"/>
      <c r="K784" s="41"/>
      <c r="L784" s="64"/>
      <c r="M784" s="79"/>
    </row>
    <row r="785" spans="3:13" ht="13">
      <c r="C785" s="63"/>
      <c r="E785" s="41"/>
      <c r="F785" s="41"/>
      <c r="G785" s="41"/>
      <c r="H785" s="41"/>
      <c r="I785" s="41"/>
      <c r="K785" s="41"/>
      <c r="L785" s="64"/>
      <c r="M785" s="79"/>
    </row>
    <row r="786" spans="3:13" ht="13">
      <c r="C786" s="63"/>
      <c r="E786" s="41"/>
      <c r="F786" s="41"/>
      <c r="G786" s="41"/>
      <c r="H786" s="41"/>
      <c r="I786" s="41"/>
      <c r="K786" s="41"/>
      <c r="L786" s="64"/>
      <c r="M786" s="79"/>
    </row>
    <row r="787" spans="3:13" ht="13">
      <c r="C787" s="63"/>
      <c r="E787" s="41"/>
      <c r="F787" s="41"/>
      <c r="G787" s="41"/>
      <c r="H787" s="41"/>
      <c r="I787" s="41"/>
      <c r="K787" s="41"/>
      <c r="L787" s="64"/>
      <c r="M787" s="79"/>
    </row>
    <row r="788" spans="3:13" ht="13">
      <c r="C788" s="63"/>
      <c r="E788" s="41"/>
      <c r="F788" s="41"/>
      <c r="G788" s="41"/>
      <c r="H788" s="41"/>
      <c r="I788" s="41"/>
      <c r="K788" s="41"/>
      <c r="L788" s="64"/>
      <c r="M788" s="79"/>
    </row>
    <row r="789" spans="3:13" ht="13">
      <c r="C789" s="63"/>
      <c r="E789" s="41"/>
      <c r="F789" s="41"/>
      <c r="G789" s="41"/>
      <c r="H789" s="41"/>
      <c r="I789" s="41"/>
      <c r="K789" s="41"/>
      <c r="L789" s="64"/>
      <c r="M789" s="79"/>
    </row>
    <row r="790" spans="3:13" ht="13">
      <c r="C790" s="63"/>
      <c r="E790" s="41"/>
      <c r="F790" s="41"/>
      <c r="G790" s="41"/>
      <c r="H790" s="41"/>
      <c r="I790" s="41"/>
      <c r="K790" s="41"/>
      <c r="L790" s="64"/>
      <c r="M790" s="79"/>
    </row>
    <row r="791" spans="3:13" ht="13">
      <c r="C791" s="63"/>
      <c r="E791" s="41"/>
      <c r="F791" s="41"/>
      <c r="G791" s="41"/>
      <c r="H791" s="41"/>
      <c r="I791" s="41"/>
      <c r="K791" s="41"/>
      <c r="L791" s="64"/>
      <c r="M791" s="79"/>
    </row>
    <row r="792" spans="3:13" ht="13">
      <c r="C792" s="63"/>
      <c r="E792" s="41"/>
      <c r="F792" s="41"/>
      <c r="G792" s="41"/>
      <c r="H792" s="41"/>
      <c r="I792" s="41"/>
      <c r="K792" s="41"/>
      <c r="L792" s="64"/>
      <c r="M792" s="79"/>
    </row>
    <row r="793" spans="3:13" ht="13">
      <c r="C793" s="63"/>
      <c r="E793" s="41"/>
      <c r="F793" s="41"/>
      <c r="G793" s="41"/>
      <c r="H793" s="41"/>
      <c r="I793" s="41"/>
      <c r="K793" s="41"/>
      <c r="L793" s="64"/>
      <c r="M793" s="79"/>
    </row>
    <row r="794" spans="3:13" ht="13">
      <c r="C794" s="63"/>
      <c r="E794" s="41"/>
      <c r="F794" s="41"/>
      <c r="G794" s="41"/>
      <c r="H794" s="41"/>
      <c r="I794" s="41"/>
      <c r="K794" s="41"/>
      <c r="L794" s="64"/>
      <c r="M794" s="79"/>
    </row>
    <row r="795" spans="3:13" ht="13">
      <c r="C795" s="63"/>
      <c r="E795" s="41"/>
      <c r="F795" s="41"/>
      <c r="G795" s="41"/>
      <c r="H795" s="41"/>
      <c r="I795" s="41"/>
      <c r="K795" s="41"/>
      <c r="L795" s="64"/>
      <c r="M795" s="79"/>
    </row>
    <row r="796" spans="3:13" ht="13">
      <c r="C796" s="63"/>
      <c r="E796" s="41"/>
      <c r="F796" s="41"/>
      <c r="G796" s="41"/>
      <c r="H796" s="41"/>
      <c r="I796" s="41"/>
      <c r="K796" s="41"/>
      <c r="L796" s="64"/>
      <c r="M796" s="79"/>
    </row>
    <row r="797" spans="3:13" ht="13">
      <c r="C797" s="63"/>
      <c r="E797" s="41"/>
      <c r="F797" s="41"/>
      <c r="G797" s="41"/>
      <c r="H797" s="41"/>
      <c r="I797" s="41"/>
      <c r="K797" s="41"/>
      <c r="L797" s="64"/>
      <c r="M797" s="79"/>
    </row>
    <row r="798" spans="3:13" ht="13">
      <c r="C798" s="63"/>
      <c r="E798" s="41"/>
      <c r="F798" s="41"/>
      <c r="G798" s="41"/>
      <c r="H798" s="41"/>
      <c r="I798" s="41"/>
      <c r="K798" s="41"/>
      <c r="L798" s="64"/>
      <c r="M798" s="79"/>
    </row>
    <row r="799" spans="3:13" ht="13">
      <c r="C799" s="63"/>
      <c r="E799" s="41"/>
      <c r="F799" s="41"/>
      <c r="G799" s="41"/>
      <c r="H799" s="41"/>
      <c r="I799" s="41"/>
      <c r="K799" s="41"/>
      <c r="L799" s="64"/>
      <c r="M799" s="79"/>
    </row>
    <row r="800" spans="3:13" ht="13">
      <c r="C800" s="63"/>
      <c r="E800" s="41"/>
      <c r="F800" s="41"/>
      <c r="G800" s="41"/>
      <c r="H800" s="41"/>
      <c r="I800" s="41"/>
      <c r="K800" s="41"/>
      <c r="L800" s="64"/>
      <c r="M800" s="79"/>
    </row>
    <row r="801" spans="3:13" ht="13">
      <c r="C801" s="63"/>
      <c r="E801" s="41"/>
      <c r="F801" s="41"/>
      <c r="G801" s="41"/>
      <c r="H801" s="41"/>
      <c r="I801" s="41"/>
      <c r="K801" s="41"/>
      <c r="L801" s="64"/>
      <c r="M801" s="79"/>
    </row>
    <row r="802" spans="3:13" ht="13">
      <c r="C802" s="63"/>
      <c r="E802" s="41"/>
      <c r="F802" s="41"/>
      <c r="G802" s="41"/>
      <c r="H802" s="41"/>
      <c r="I802" s="41"/>
      <c r="K802" s="41"/>
      <c r="L802" s="64"/>
      <c r="M802" s="79"/>
    </row>
    <row r="803" spans="3:13" ht="13">
      <c r="C803" s="63"/>
      <c r="E803" s="41"/>
      <c r="F803" s="41"/>
      <c r="G803" s="41"/>
      <c r="H803" s="41"/>
      <c r="I803" s="41"/>
      <c r="K803" s="41"/>
      <c r="L803" s="64"/>
      <c r="M803" s="79"/>
    </row>
    <row r="804" spans="3:13" ht="13">
      <c r="C804" s="63"/>
      <c r="E804" s="41"/>
      <c r="F804" s="41"/>
      <c r="G804" s="41"/>
      <c r="H804" s="41"/>
      <c r="I804" s="41"/>
      <c r="K804" s="41"/>
      <c r="L804" s="64"/>
      <c r="M804" s="79"/>
    </row>
    <row r="805" spans="3:13" ht="13">
      <c r="C805" s="63"/>
      <c r="E805" s="41"/>
      <c r="F805" s="41"/>
      <c r="G805" s="41"/>
      <c r="H805" s="41"/>
      <c r="I805" s="41"/>
      <c r="K805" s="41"/>
      <c r="L805" s="64"/>
      <c r="M805" s="79"/>
    </row>
    <row r="806" spans="3:13" ht="13">
      <c r="C806" s="63"/>
      <c r="E806" s="41"/>
      <c r="F806" s="41"/>
      <c r="G806" s="41"/>
      <c r="H806" s="41"/>
      <c r="I806" s="41"/>
      <c r="K806" s="41"/>
      <c r="L806" s="64"/>
      <c r="M806" s="79"/>
    </row>
    <row r="807" spans="3:13" ht="13">
      <c r="C807" s="63"/>
      <c r="E807" s="41"/>
      <c r="F807" s="41"/>
      <c r="G807" s="41"/>
      <c r="H807" s="41"/>
      <c r="I807" s="41"/>
      <c r="K807" s="41"/>
      <c r="L807" s="64"/>
      <c r="M807" s="79"/>
    </row>
    <row r="808" spans="3:13" ht="13">
      <c r="C808" s="63"/>
      <c r="E808" s="41"/>
      <c r="F808" s="41"/>
      <c r="G808" s="41"/>
      <c r="H808" s="41"/>
      <c r="I808" s="41"/>
      <c r="K808" s="41"/>
      <c r="L808" s="64"/>
      <c r="M808" s="79"/>
    </row>
    <row r="809" spans="3:13" ht="13">
      <c r="C809" s="63"/>
      <c r="E809" s="41"/>
      <c r="F809" s="41"/>
      <c r="G809" s="41"/>
      <c r="H809" s="41"/>
      <c r="I809" s="41"/>
      <c r="K809" s="41"/>
      <c r="L809" s="64"/>
      <c r="M809" s="79"/>
    </row>
    <row r="810" spans="3:13" ht="13">
      <c r="C810" s="63"/>
      <c r="E810" s="41"/>
      <c r="F810" s="41"/>
      <c r="G810" s="41"/>
      <c r="H810" s="41"/>
      <c r="I810" s="41"/>
      <c r="K810" s="41"/>
      <c r="L810" s="64"/>
      <c r="M810" s="79"/>
    </row>
    <row r="811" spans="3:13" ht="13">
      <c r="C811" s="63"/>
      <c r="E811" s="41"/>
      <c r="F811" s="41"/>
      <c r="G811" s="41"/>
      <c r="H811" s="41"/>
      <c r="I811" s="41"/>
      <c r="K811" s="41"/>
      <c r="L811" s="64"/>
      <c r="M811" s="79"/>
    </row>
    <row r="812" spans="3:13" ht="13">
      <c r="C812" s="63"/>
      <c r="E812" s="41"/>
      <c r="F812" s="41"/>
      <c r="G812" s="41"/>
      <c r="H812" s="41"/>
      <c r="I812" s="41"/>
      <c r="K812" s="41"/>
      <c r="L812" s="64"/>
      <c r="M812" s="79"/>
    </row>
    <row r="813" spans="3:13" ht="13">
      <c r="C813" s="63"/>
      <c r="E813" s="41"/>
      <c r="F813" s="41"/>
      <c r="G813" s="41"/>
      <c r="H813" s="41"/>
      <c r="I813" s="41"/>
      <c r="K813" s="41"/>
      <c r="L813" s="64"/>
      <c r="M813" s="79"/>
    </row>
    <row r="814" spans="3:13" ht="13">
      <c r="C814" s="63"/>
      <c r="E814" s="41"/>
      <c r="F814" s="41"/>
      <c r="G814" s="41"/>
      <c r="H814" s="41"/>
      <c r="I814" s="41"/>
      <c r="K814" s="41"/>
      <c r="L814" s="64"/>
      <c r="M814" s="79"/>
    </row>
    <row r="815" spans="3:13" ht="13">
      <c r="C815" s="63"/>
      <c r="E815" s="41"/>
      <c r="F815" s="41"/>
      <c r="G815" s="41"/>
      <c r="H815" s="41"/>
      <c r="I815" s="41"/>
      <c r="K815" s="41"/>
      <c r="L815" s="64"/>
      <c r="M815" s="79"/>
    </row>
    <row r="816" spans="3:13" ht="13">
      <c r="C816" s="63"/>
      <c r="E816" s="41"/>
      <c r="F816" s="41"/>
      <c r="G816" s="41"/>
      <c r="H816" s="41"/>
      <c r="I816" s="41"/>
      <c r="K816" s="41"/>
      <c r="L816" s="64"/>
      <c r="M816" s="79"/>
    </row>
    <row r="817" spans="3:13" ht="13">
      <c r="C817" s="63"/>
      <c r="E817" s="41"/>
      <c r="F817" s="41"/>
      <c r="G817" s="41"/>
      <c r="H817" s="41"/>
      <c r="I817" s="41"/>
      <c r="K817" s="41"/>
      <c r="L817" s="64"/>
      <c r="M817" s="79"/>
    </row>
    <row r="818" spans="3:13" ht="13">
      <c r="C818" s="63"/>
      <c r="E818" s="41"/>
      <c r="F818" s="41"/>
      <c r="G818" s="41"/>
      <c r="H818" s="41"/>
      <c r="I818" s="41"/>
      <c r="K818" s="41"/>
      <c r="L818" s="64"/>
      <c r="M818" s="79"/>
    </row>
    <row r="819" spans="3:13" ht="13">
      <c r="C819" s="63"/>
      <c r="E819" s="41"/>
      <c r="F819" s="41"/>
      <c r="G819" s="41"/>
      <c r="H819" s="41"/>
      <c r="I819" s="41"/>
      <c r="K819" s="41"/>
      <c r="L819" s="64"/>
      <c r="M819" s="79"/>
    </row>
    <row r="820" spans="3:13" ht="13">
      <c r="C820" s="63"/>
      <c r="E820" s="41"/>
      <c r="F820" s="41"/>
      <c r="G820" s="41"/>
      <c r="H820" s="41"/>
      <c r="I820" s="41"/>
      <c r="K820" s="41"/>
      <c r="L820" s="64"/>
      <c r="M820" s="79"/>
    </row>
    <row r="821" spans="3:13" ht="13">
      <c r="C821" s="63"/>
      <c r="E821" s="41"/>
      <c r="F821" s="41"/>
      <c r="G821" s="41"/>
      <c r="H821" s="41"/>
      <c r="I821" s="41"/>
      <c r="K821" s="41"/>
      <c r="L821" s="64"/>
      <c r="M821" s="79"/>
    </row>
    <row r="822" spans="3:13" ht="13">
      <c r="C822" s="63"/>
      <c r="E822" s="41"/>
      <c r="F822" s="41"/>
      <c r="G822" s="41"/>
      <c r="H822" s="41"/>
      <c r="I822" s="41"/>
      <c r="K822" s="41"/>
      <c r="L822" s="64"/>
      <c r="M822" s="79"/>
    </row>
    <row r="823" spans="3:13" ht="13">
      <c r="C823" s="63"/>
      <c r="E823" s="41"/>
      <c r="F823" s="41"/>
      <c r="G823" s="41"/>
      <c r="H823" s="41"/>
      <c r="I823" s="41"/>
      <c r="K823" s="41"/>
      <c r="L823" s="64"/>
      <c r="M823" s="79"/>
    </row>
    <row r="824" spans="3:13" ht="13">
      <c r="C824" s="63"/>
      <c r="E824" s="41"/>
      <c r="F824" s="41"/>
      <c r="G824" s="41"/>
      <c r="H824" s="41"/>
      <c r="I824" s="41"/>
      <c r="K824" s="41"/>
      <c r="L824" s="64"/>
      <c r="M824" s="79"/>
    </row>
    <row r="825" spans="3:13" ht="13">
      <c r="C825" s="63"/>
      <c r="E825" s="41"/>
      <c r="F825" s="41"/>
      <c r="G825" s="41"/>
      <c r="H825" s="41"/>
      <c r="I825" s="41"/>
      <c r="K825" s="41"/>
      <c r="L825" s="64"/>
      <c r="M825" s="79"/>
    </row>
    <row r="826" spans="3:13" ht="13">
      <c r="C826" s="63"/>
      <c r="E826" s="41"/>
      <c r="F826" s="41"/>
      <c r="G826" s="41"/>
      <c r="H826" s="41"/>
      <c r="I826" s="41"/>
      <c r="K826" s="41"/>
      <c r="L826" s="64"/>
      <c r="M826" s="79"/>
    </row>
    <row r="827" spans="3:13" ht="13">
      <c r="C827" s="63"/>
      <c r="E827" s="41"/>
      <c r="F827" s="41"/>
      <c r="G827" s="41"/>
      <c r="H827" s="41"/>
      <c r="I827" s="41"/>
      <c r="K827" s="41"/>
      <c r="L827" s="64"/>
      <c r="M827" s="79"/>
    </row>
    <row r="828" spans="3:13" ht="13">
      <c r="C828" s="63"/>
      <c r="E828" s="41"/>
      <c r="F828" s="41"/>
      <c r="G828" s="41"/>
      <c r="H828" s="41"/>
      <c r="I828" s="41"/>
      <c r="K828" s="41"/>
      <c r="L828" s="64"/>
      <c r="M828" s="79"/>
    </row>
    <row r="829" spans="3:13" ht="13">
      <c r="C829" s="63"/>
      <c r="E829" s="41"/>
      <c r="F829" s="41"/>
      <c r="G829" s="41"/>
      <c r="H829" s="41"/>
      <c r="I829" s="41"/>
      <c r="K829" s="41"/>
      <c r="L829" s="64"/>
      <c r="M829" s="79"/>
    </row>
    <row r="830" spans="3:13" ht="13">
      <c r="C830" s="63"/>
      <c r="E830" s="41"/>
      <c r="F830" s="41"/>
      <c r="G830" s="41"/>
      <c r="H830" s="41"/>
      <c r="I830" s="41"/>
      <c r="K830" s="41"/>
      <c r="L830" s="64"/>
      <c r="M830" s="79"/>
    </row>
    <row r="831" spans="3:13" ht="13">
      <c r="C831" s="63"/>
      <c r="E831" s="41"/>
      <c r="F831" s="41"/>
      <c r="G831" s="41"/>
      <c r="H831" s="41"/>
      <c r="I831" s="41"/>
      <c r="K831" s="41"/>
      <c r="L831" s="64"/>
      <c r="M831" s="79"/>
    </row>
    <row r="832" spans="3:13" ht="13">
      <c r="C832" s="63"/>
      <c r="E832" s="41"/>
      <c r="F832" s="41"/>
      <c r="G832" s="41"/>
      <c r="H832" s="41"/>
      <c r="I832" s="41"/>
      <c r="K832" s="41"/>
      <c r="L832" s="64"/>
      <c r="M832" s="79"/>
    </row>
    <row r="833" spans="3:13" ht="13">
      <c r="C833" s="63"/>
      <c r="E833" s="41"/>
      <c r="F833" s="41"/>
      <c r="G833" s="41"/>
      <c r="H833" s="41"/>
      <c r="I833" s="41"/>
      <c r="K833" s="41"/>
      <c r="L833" s="64"/>
      <c r="M833" s="79"/>
    </row>
    <row r="834" spans="3:13" ht="13">
      <c r="C834" s="63"/>
      <c r="E834" s="41"/>
      <c r="F834" s="41"/>
      <c r="G834" s="41"/>
      <c r="H834" s="41"/>
      <c r="I834" s="41"/>
      <c r="K834" s="41"/>
      <c r="L834" s="64"/>
      <c r="M834" s="79"/>
    </row>
    <row r="835" spans="3:13" ht="13">
      <c r="C835" s="63"/>
      <c r="E835" s="41"/>
      <c r="F835" s="41"/>
      <c r="G835" s="41"/>
      <c r="H835" s="41"/>
      <c r="I835" s="41"/>
      <c r="K835" s="41"/>
      <c r="L835" s="64"/>
      <c r="M835" s="79"/>
    </row>
    <row r="836" spans="3:13" ht="13">
      <c r="C836" s="63"/>
      <c r="E836" s="41"/>
      <c r="F836" s="41"/>
      <c r="G836" s="41"/>
      <c r="H836" s="41"/>
      <c r="I836" s="41"/>
      <c r="K836" s="41"/>
      <c r="L836" s="64"/>
      <c r="M836" s="79"/>
    </row>
    <row r="837" spans="3:13" ht="13">
      <c r="C837" s="63"/>
      <c r="E837" s="41"/>
      <c r="F837" s="41"/>
      <c r="G837" s="41"/>
      <c r="H837" s="41"/>
      <c r="I837" s="41"/>
      <c r="K837" s="41"/>
      <c r="L837" s="64"/>
      <c r="M837" s="79"/>
    </row>
    <row r="838" spans="3:13" ht="13">
      <c r="C838" s="63"/>
      <c r="E838" s="41"/>
      <c r="F838" s="41"/>
      <c r="G838" s="41"/>
      <c r="H838" s="41"/>
      <c r="I838" s="41"/>
      <c r="K838" s="41"/>
      <c r="L838" s="64"/>
      <c r="M838" s="79"/>
    </row>
    <row r="839" spans="3:13" ht="13">
      <c r="C839" s="63"/>
      <c r="E839" s="41"/>
      <c r="F839" s="41"/>
      <c r="G839" s="41"/>
      <c r="H839" s="41"/>
      <c r="I839" s="41"/>
      <c r="K839" s="41"/>
      <c r="L839" s="64"/>
      <c r="M839" s="79"/>
    </row>
    <row r="840" spans="3:13" ht="13">
      <c r="C840" s="63"/>
      <c r="E840" s="41"/>
      <c r="F840" s="41"/>
      <c r="G840" s="41"/>
      <c r="H840" s="41"/>
      <c r="I840" s="41"/>
      <c r="K840" s="41"/>
      <c r="L840" s="64"/>
      <c r="M840" s="79"/>
    </row>
    <row r="841" spans="3:13" ht="13">
      <c r="C841" s="63"/>
      <c r="E841" s="41"/>
      <c r="F841" s="41"/>
      <c r="G841" s="41"/>
      <c r="H841" s="41"/>
      <c r="I841" s="41"/>
      <c r="K841" s="41"/>
      <c r="L841" s="64"/>
      <c r="M841" s="79"/>
    </row>
    <row r="842" spans="3:13" ht="13">
      <c r="C842" s="63"/>
      <c r="E842" s="41"/>
      <c r="F842" s="41"/>
      <c r="G842" s="41"/>
      <c r="H842" s="41"/>
      <c r="I842" s="41"/>
      <c r="K842" s="41"/>
      <c r="L842" s="64"/>
      <c r="M842" s="79"/>
    </row>
    <row r="843" spans="3:13" ht="13">
      <c r="C843" s="63"/>
      <c r="E843" s="41"/>
      <c r="F843" s="41"/>
      <c r="G843" s="41"/>
      <c r="H843" s="41"/>
      <c r="I843" s="41"/>
      <c r="K843" s="41"/>
      <c r="L843" s="64"/>
      <c r="M843" s="79"/>
    </row>
    <row r="844" spans="3:13" ht="13">
      <c r="C844" s="63"/>
      <c r="E844" s="41"/>
      <c r="F844" s="41"/>
      <c r="G844" s="41"/>
      <c r="H844" s="41"/>
      <c r="I844" s="41"/>
      <c r="K844" s="41"/>
      <c r="L844" s="64"/>
      <c r="M844" s="79"/>
    </row>
    <row r="845" spans="3:13" ht="13">
      <c r="C845" s="63"/>
      <c r="E845" s="41"/>
      <c r="F845" s="41"/>
      <c r="G845" s="41"/>
      <c r="H845" s="41"/>
      <c r="I845" s="41"/>
      <c r="K845" s="41"/>
      <c r="L845" s="64"/>
      <c r="M845" s="79"/>
    </row>
    <row r="846" spans="3:13" ht="13">
      <c r="C846" s="63"/>
      <c r="E846" s="41"/>
      <c r="F846" s="41"/>
      <c r="G846" s="41"/>
      <c r="H846" s="41"/>
      <c r="I846" s="41"/>
      <c r="K846" s="41"/>
      <c r="L846" s="64"/>
      <c r="M846" s="79"/>
    </row>
    <row r="847" spans="3:13" ht="13">
      <c r="C847" s="63"/>
      <c r="E847" s="41"/>
      <c r="F847" s="41"/>
      <c r="G847" s="41"/>
      <c r="H847" s="41"/>
      <c r="I847" s="41"/>
      <c r="K847" s="41"/>
      <c r="L847" s="64"/>
      <c r="M847" s="79"/>
    </row>
    <row r="848" spans="3:13" ht="13">
      <c r="C848" s="63"/>
      <c r="E848" s="41"/>
      <c r="F848" s="41"/>
      <c r="G848" s="41"/>
      <c r="H848" s="41"/>
      <c r="I848" s="41"/>
      <c r="K848" s="41"/>
      <c r="L848" s="64"/>
      <c r="M848" s="79"/>
    </row>
    <row r="849" spans="3:13" ht="13">
      <c r="C849" s="63"/>
      <c r="E849" s="41"/>
      <c r="F849" s="41"/>
      <c r="G849" s="41"/>
      <c r="H849" s="41"/>
      <c r="I849" s="41"/>
      <c r="K849" s="41"/>
      <c r="L849" s="64"/>
      <c r="M849" s="79"/>
    </row>
    <row r="850" spans="3:13" ht="13">
      <c r="C850" s="63"/>
      <c r="E850" s="41"/>
      <c r="F850" s="41"/>
      <c r="G850" s="41"/>
      <c r="H850" s="41"/>
      <c r="I850" s="41"/>
      <c r="K850" s="41"/>
      <c r="L850" s="64"/>
      <c r="M850" s="79"/>
    </row>
    <row r="851" spans="3:13" ht="13">
      <c r="C851" s="63"/>
      <c r="E851" s="41"/>
      <c r="F851" s="41"/>
      <c r="G851" s="41"/>
      <c r="H851" s="41"/>
      <c r="I851" s="41"/>
      <c r="K851" s="41"/>
      <c r="L851" s="64"/>
      <c r="M851" s="79"/>
    </row>
    <row r="852" spans="3:13" ht="13">
      <c r="C852" s="63"/>
      <c r="E852" s="41"/>
      <c r="F852" s="41"/>
      <c r="G852" s="41"/>
      <c r="H852" s="41"/>
      <c r="I852" s="41"/>
      <c r="K852" s="41"/>
      <c r="L852" s="64"/>
      <c r="M852" s="79"/>
    </row>
    <row r="853" spans="3:13" ht="13">
      <c r="C853" s="63"/>
      <c r="E853" s="41"/>
      <c r="F853" s="41"/>
      <c r="G853" s="41"/>
      <c r="H853" s="41"/>
      <c r="I853" s="41"/>
      <c r="K853" s="41"/>
      <c r="L853" s="64"/>
      <c r="M853" s="79"/>
    </row>
    <row r="854" spans="3:13" ht="13">
      <c r="C854" s="63"/>
      <c r="E854" s="41"/>
      <c r="F854" s="41"/>
      <c r="G854" s="41"/>
      <c r="H854" s="41"/>
      <c r="I854" s="41"/>
      <c r="K854" s="41"/>
      <c r="L854" s="64"/>
      <c r="M854" s="79"/>
    </row>
    <row r="855" spans="3:13" ht="13">
      <c r="C855" s="63"/>
      <c r="E855" s="41"/>
      <c r="F855" s="41"/>
      <c r="G855" s="41"/>
      <c r="H855" s="41"/>
      <c r="I855" s="41"/>
      <c r="K855" s="41"/>
      <c r="L855" s="64"/>
      <c r="M855" s="79"/>
    </row>
    <row r="856" spans="3:13" ht="13">
      <c r="C856" s="63"/>
      <c r="E856" s="41"/>
      <c r="F856" s="41"/>
      <c r="G856" s="41"/>
      <c r="H856" s="41"/>
      <c r="I856" s="41"/>
      <c r="K856" s="41"/>
      <c r="L856" s="64"/>
      <c r="M856" s="79"/>
    </row>
    <row r="857" spans="3:13" ht="13">
      <c r="C857" s="63"/>
      <c r="E857" s="41"/>
      <c r="F857" s="41"/>
      <c r="G857" s="41"/>
      <c r="H857" s="41"/>
      <c r="I857" s="41"/>
      <c r="K857" s="41"/>
      <c r="L857" s="64"/>
      <c r="M857" s="79"/>
    </row>
    <row r="858" spans="3:13" ht="13">
      <c r="C858" s="63"/>
      <c r="E858" s="41"/>
      <c r="F858" s="41"/>
      <c r="G858" s="41"/>
      <c r="H858" s="41"/>
      <c r="I858" s="41"/>
      <c r="K858" s="41"/>
      <c r="L858" s="64"/>
      <c r="M858" s="79"/>
    </row>
    <row r="859" spans="3:13" ht="13">
      <c r="C859" s="63"/>
      <c r="E859" s="41"/>
      <c r="F859" s="41"/>
      <c r="G859" s="41"/>
      <c r="H859" s="41"/>
      <c r="I859" s="41"/>
      <c r="K859" s="41"/>
      <c r="L859" s="64"/>
      <c r="M859" s="79"/>
    </row>
    <row r="860" spans="3:13" ht="13">
      <c r="C860" s="63"/>
      <c r="E860" s="41"/>
      <c r="F860" s="41"/>
      <c r="G860" s="41"/>
      <c r="H860" s="41"/>
      <c r="I860" s="41"/>
      <c r="K860" s="41"/>
      <c r="L860" s="64"/>
      <c r="M860" s="79"/>
    </row>
    <row r="861" spans="3:13" ht="13">
      <c r="C861" s="63"/>
      <c r="E861" s="41"/>
      <c r="F861" s="41"/>
      <c r="G861" s="41"/>
      <c r="H861" s="41"/>
      <c r="I861" s="41"/>
      <c r="K861" s="41"/>
      <c r="L861" s="64"/>
      <c r="M861" s="79"/>
    </row>
    <row r="862" spans="3:13" ht="13">
      <c r="C862" s="63"/>
      <c r="E862" s="41"/>
      <c r="F862" s="41"/>
      <c r="G862" s="41"/>
      <c r="H862" s="41"/>
      <c r="I862" s="41"/>
      <c r="K862" s="41"/>
      <c r="L862" s="64"/>
      <c r="M862" s="79"/>
    </row>
    <row r="863" spans="3:13" ht="13">
      <c r="C863" s="63"/>
      <c r="E863" s="41"/>
      <c r="F863" s="41"/>
      <c r="G863" s="41"/>
      <c r="H863" s="41"/>
      <c r="I863" s="41"/>
      <c r="K863" s="41"/>
      <c r="L863" s="64"/>
      <c r="M863" s="79"/>
    </row>
    <row r="864" spans="3:13" ht="13">
      <c r="C864" s="63"/>
      <c r="E864" s="41"/>
      <c r="F864" s="41"/>
      <c r="G864" s="41"/>
      <c r="H864" s="41"/>
      <c r="I864" s="41"/>
      <c r="K864" s="41"/>
      <c r="L864" s="64"/>
      <c r="M864" s="79"/>
    </row>
    <row r="865" spans="3:13" ht="13">
      <c r="C865" s="63"/>
      <c r="E865" s="41"/>
      <c r="F865" s="41"/>
      <c r="G865" s="41"/>
      <c r="H865" s="41"/>
      <c r="I865" s="41"/>
      <c r="K865" s="41"/>
      <c r="L865" s="64"/>
      <c r="M865" s="79"/>
    </row>
    <row r="866" spans="3:13" ht="13">
      <c r="C866" s="63"/>
      <c r="E866" s="41"/>
      <c r="F866" s="41"/>
      <c r="G866" s="41"/>
      <c r="H866" s="41"/>
      <c r="I866" s="41"/>
      <c r="K866" s="41"/>
      <c r="L866" s="64"/>
      <c r="M866" s="79"/>
    </row>
    <row r="867" spans="3:13" ht="13">
      <c r="C867" s="63"/>
      <c r="E867" s="41"/>
      <c r="F867" s="41"/>
      <c r="G867" s="41"/>
      <c r="H867" s="41"/>
      <c r="I867" s="41"/>
      <c r="K867" s="41"/>
      <c r="L867" s="64"/>
      <c r="M867" s="79"/>
    </row>
    <row r="868" spans="3:13" ht="13">
      <c r="C868" s="63"/>
      <c r="E868" s="41"/>
      <c r="F868" s="41"/>
      <c r="G868" s="41"/>
      <c r="H868" s="41"/>
      <c r="I868" s="41"/>
      <c r="K868" s="41"/>
      <c r="L868" s="64"/>
      <c r="M868" s="79"/>
    </row>
    <row r="869" spans="3:13" ht="13">
      <c r="C869" s="63"/>
      <c r="E869" s="41"/>
      <c r="F869" s="41"/>
      <c r="G869" s="41"/>
      <c r="H869" s="41"/>
      <c r="I869" s="41"/>
      <c r="K869" s="41"/>
      <c r="L869" s="64"/>
      <c r="M869" s="79"/>
    </row>
    <row r="870" spans="3:13" ht="13">
      <c r="C870" s="63"/>
      <c r="E870" s="41"/>
      <c r="F870" s="41"/>
      <c r="G870" s="41"/>
      <c r="H870" s="41"/>
      <c r="I870" s="41"/>
      <c r="K870" s="41"/>
      <c r="L870" s="64"/>
      <c r="M870" s="79"/>
    </row>
    <row r="871" spans="3:13" ht="13">
      <c r="C871" s="63"/>
      <c r="E871" s="41"/>
      <c r="F871" s="41"/>
      <c r="G871" s="41"/>
      <c r="H871" s="41"/>
      <c r="I871" s="41"/>
      <c r="K871" s="41"/>
      <c r="L871" s="64"/>
      <c r="M871" s="79"/>
    </row>
    <row r="872" spans="3:13" ht="13">
      <c r="C872" s="63"/>
      <c r="E872" s="41"/>
      <c r="F872" s="41"/>
      <c r="G872" s="41"/>
      <c r="H872" s="41"/>
      <c r="I872" s="41"/>
      <c r="K872" s="41"/>
      <c r="L872" s="64"/>
      <c r="M872" s="79"/>
    </row>
    <row r="873" spans="3:13" ht="13">
      <c r="C873" s="63"/>
      <c r="E873" s="41"/>
      <c r="F873" s="41"/>
      <c r="G873" s="41"/>
      <c r="H873" s="41"/>
      <c r="I873" s="41"/>
      <c r="K873" s="41"/>
      <c r="L873" s="64"/>
      <c r="M873" s="79"/>
    </row>
    <row r="874" spans="3:13" ht="13">
      <c r="C874" s="63"/>
      <c r="E874" s="41"/>
      <c r="F874" s="41"/>
      <c r="G874" s="41"/>
      <c r="H874" s="41"/>
      <c r="I874" s="41"/>
      <c r="K874" s="41"/>
      <c r="L874" s="64"/>
      <c r="M874" s="79"/>
    </row>
    <row r="875" spans="3:13" ht="13">
      <c r="C875" s="63"/>
      <c r="E875" s="41"/>
      <c r="F875" s="41"/>
      <c r="G875" s="41"/>
      <c r="H875" s="41"/>
      <c r="I875" s="41"/>
      <c r="K875" s="41"/>
      <c r="L875" s="64"/>
      <c r="M875" s="79"/>
    </row>
    <row r="876" spans="3:13" ht="13">
      <c r="C876" s="63"/>
      <c r="E876" s="41"/>
      <c r="F876" s="41"/>
      <c r="G876" s="41"/>
      <c r="H876" s="41"/>
      <c r="I876" s="41"/>
      <c r="K876" s="41"/>
      <c r="L876" s="64"/>
      <c r="M876" s="79"/>
    </row>
    <row r="877" spans="3:13" ht="13">
      <c r="C877" s="63"/>
      <c r="E877" s="41"/>
      <c r="F877" s="41"/>
      <c r="G877" s="41"/>
      <c r="H877" s="41"/>
      <c r="I877" s="41"/>
      <c r="K877" s="41"/>
      <c r="L877" s="64"/>
      <c r="M877" s="79"/>
    </row>
    <row r="878" spans="3:13" ht="13">
      <c r="C878" s="63"/>
      <c r="E878" s="41"/>
      <c r="F878" s="41"/>
      <c r="G878" s="41"/>
      <c r="H878" s="41"/>
      <c r="I878" s="41"/>
      <c r="K878" s="41"/>
      <c r="L878" s="64"/>
      <c r="M878" s="79"/>
    </row>
    <row r="879" spans="3:13" ht="13">
      <c r="C879" s="63"/>
      <c r="E879" s="41"/>
      <c r="F879" s="41"/>
      <c r="G879" s="41"/>
      <c r="H879" s="41"/>
      <c r="I879" s="41"/>
      <c r="K879" s="41"/>
      <c r="L879" s="64"/>
      <c r="M879" s="79"/>
    </row>
    <row r="880" spans="3:13" ht="13">
      <c r="C880" s="63"/>
      <c r="E880" s="41"/>
      <c r="F880" s="41"/>
      <c r="G880" s="41"/>
      <c r="H880" s="41"/>
      <c r="I880" s="41"/>
      <c r="K880" s="41"/>
      <c r="L880" s="64"/>
      <c r="M880" s="79"/>
    </row>
    <row r="881" spans="3:13" ht="13">
      <c r="C881" s="63"/>
      <c r="E881" s="41"/>
      <c r="F881" s="41"/>
      <c r="G881" s="41"/>
      <c r="H881" s="41"/>
      <c r="I881" s="41"/>
      <c r="K881" s="41"/>
      <c r="L881" s="64"/>
      <c r="M881" s="79"/>
    </row>
    <row r="882" spans="3:13" ht="13">
      <c r="C882" s="63"/>
      <c r="E882" s="41"/>
      <c r="F882" s="41"/>
      <c r="G882" s="41"/>
      <c r="H882" s="41"/>
      <c r="I882" s="41"/>
      <c r="K882" s="41"/>
      <c r="L882" s="64"/>
      <c r="M882" s="79"/>
    </row>
    <row r="883" spans="3:13" ht="13">
      <c r="C883" s="63"/>
      <c r="E883" s="41"/>
      <c r="F883" s="41"/>
      <c r="G883" s="41"/>
      <c r="H883" s="41"/>
      <c r="I883" s="41"/>
      <c r="K883" s="41"/>
      <c r="L883" s="64"/>
      <c r="M883" s="79"/>
    </row>
    <row r="884" spans="3:13" ht="13">
      <c r="C884" s="63"/>
      <c r="E884" s="41"/>
      <c r="F884" s="41"/>
      <c r="G884" s="41"/>
      <c r="H884" s="41"/>
      <c r="I884" s="41"/>
      <c r="K884" s="41"/>
      <c r="L884" s="64"/>
      <c r="M884" s="79"/>
    </row>
    <row r="885" spans="3:13" ht="13">
      <c r="C885" s="63"/>
      <c r="E885" s="41"/>
      <c r="F885" s="41"/>
      <c r="G885" s="41"/>
      <c r="H885" s="41"/>
      <c r="I885" s="41"/>
      <c r="K885" s="41"/>
      <c r="L885" s="64"/>
      <c r="M885" s="79"/>
    </row>
    <row r="886" spans="3:13" ht="13">
      <c r="C886" s="63"/>
      <c r="E886" s="41"/>
      <c r="F886" s="41"/>
      <c r="G886" s="41"/>
      <c r="H886" s="41"/>
      <c r="I886" s="41"/>
      <c r="K886" s="41"/>
      <c r="L886" s="64"/>
      <c r="M886" s="79"/>
    </row>
    <row r="887" spans="3:13" ht="13">
      <c r="C887" s="63"/>
      <c r="E887" s="41"/>
      <c r="F887" s="41"/>
      <c r="G887" s="41"/>
      <c r="H887" s="41"/>
      <c r="I887" s="41"/>
      <c r="K887" s="41"/>
      <c r="L887" s="64"/>
      <c r="M887" s="79"/>
    </row>
    <row r="888" spans="3:13" ht="13">
      <c r="C888" s="63"/>
      <c r="E888" s="41"/>
      <c r="F888" s="41"/>
      <c r="G888" s="41"/>
      <c r="H888" s="41"/>
      <c r="I888" s="41"/>
      <c r="K888" s="41"/>
      <c r="L888" s="64"/>
      <c r="M888" s="79"/>
    </row>
    <row r="889" spans="3:13" ht="13">
      <c r="C889" s="63"/>
      <c r="E889" s="41"/>
      <c r="F889" s="41"/>
      <c r="G889" s="41"/>
      <c r="H889" s="41"/>
      <c r="I889" s="41"/>
      <c r="K889" s="41"/>
      <c r="L889" s="64"/>
      <c r="M889" s="79"/>
    </row>
    <row r="890" spans="3:13" ht="13">
      <c r="C890" s="63"/>
      <c r="E890" s="41"/>
      <c r="F890" s="41"/>
      <c r="G890" s="41"/>
      <c r="H890" s="41"/>
      <c r="I890" s="41"/>
      <c r="K890" s="41"/>
      <c r="L890" s="64"/>
      <c r="M890" s="79"/>
    </row>
    <row r="891" spans="3:13" ht="13">
      <c r="C891" s="63"/>
      <c r="E891" s="41"/>
      <c r="F891" s="41"/>
      <c r="G891" s="41"/>
      <c r="H891" s="41"/>
      <c r="I891" s="41"/>
      <c r="K891" s="41"/>
      <c r="L891" s="64"/>
      <c r="M891" s="79"/>
    </row>
    <row r="892" spans="3:13" ht="13">
      <c r="C892" s="63"/>
      <c r="E892" s="41"/>
      <c r="F892" s="41"/>
      <c r="G892" s="41"/>
      <c r="H892" s="41"/>
      <c r="I892" s="41"/>
      <c r="K892" s="41"/>
      <c r="L892" s="64"/>
      <c r="M892" s="79"/>
    </row>
    <row r="893" spans="3:13" ht="13">
      <c r="C893" s="63"/>
      <c r="E893" s="41"/>
      <c r="F893" s="41"/>
      <c r="G893" s="41"/>
      <c r="H893" s="41"/>
      <c r="I893" s="41"/>
      <c r="K893" s="41"/>
      <c r="L893" s="64"/>
      <c r="M893" s="79"/>
    </row>
    <row r="894" spans="3:13" ht="13">
      <c r="C894" s="63"/>
      <c r="E894" s="41"/>
      <c r="F894" s="41"/>
      <c r="G894" s="41"/>
      <c r="H894" s="41"/>
      <c r="I894" s="41"/>
      <c r="K894" s="41"/>
      <c r="L894" s="64"/>
      <c r="M894" s="79"/>
    </row>
    <row r="895" spans="3:13" ht="13">
      <c r="C895" s="63"/>
      <c r="E895" s="41"/>
      <c r="F895" s="41"/>
      <c r="G895" s="41"/>
      <c r="H895" s="41"/>
      <c r="I895" s="41"/>
      <c r="K895" s="41"/>
      <c r="L895" s="64"/>
      <c r="M895" s="79"/>
    </row>
    <row r="896" spans="3:13" ht="13">
      <c r="C896" s="63"/>
      <c r="E896" s="41"/>
      <c r="F896" s="41"/>
      <c r="G896" s="41"/>
      <c r="H896" s="41"/>
      <c r="I896" s="41"/>
      <c r="K896" s="41"/>
      <c r="L896" s="64"/>
      <c r="M896" s="79"/>
    </row>
    <row r="897" spans="3:13" ht="13">
      <c r="C897" s="63"/>
      <c r="E897" s="41"/>
      <c r="F897" s="41"/>
      <c r="G897" s="41"/>
      <c r="H897" s="41"/>
      <c r="I897" s="41"/>
      <c r="K897" s="41"/>
      <c r="L897" s="64"/>
      <c r="M897" s="79"/>
    </row>
    <row r="898" spans="3:13" ht="13">
      <c r="C898" s="63"/>
      <c r="E898" s="41"/>
      <c r="F898" s="41"/>
      <c r="G898" s="41"/>
      <c r="H898" s="41"/>
      <c r="I898" s="41"/>
      <c r="K898" s="41"/>
      <c r="L898" s="64"/>
      <c r="M898" s="79"/>
    </row>
    <row r="899" spans="3:13" ht="13">
      <c r="C899" s="63"/>
      <c r="E899" s="41"/>
      <c r="F899" s="41"/>
      <c r="G899" s="41"/>
      <c r="H899" s="41"/>
      <c r="I899" s="41"/>
      <c r="K899" s="41"/>
      <c r="L899" s="64"/>
      <c r="M899" s="79"/>
    </row>
    <row r="900" spans="3:13" ht="13">
      <c r="C900" s="63"/>
      <c r="E900" s="41"/>
      <c r="F900" s="41"/>
      <c r="G900" s="41"/>
      <c r="H900" s="41"/>
      <c r="I900" s="41"/>
      <c r="K900" s="41"/>
      <c r="L900" s="64"/>
      <c r="M900" s="79"/>
    </row>
    <row r="901" spans="3:13" ht="13">
      <c r="C901" s="63"/>
      <c r="E901" s="41"/>
      <c r="F901" s="41"/>
      <c r="G901" s="41"/>
      <c r="H901" s="41"/>
      <c r="I901" s="41"/>
      <c r="K901" s="41"/>
      <c r="L901" s="64"/>
      <c r="M901" s="79"/>
    </row>
    <row r="902" spans="3:13" ht="13">
      <c r="C902" s="63"/>
      <c r="E902" s="41"/>
      <c r="F902" s="41"/>
      <c r="G902" s="41"/>
      <c r="H902" s="41"/>
      <c r="I902" s="41"/>
      <c r="K902" s="41"/>
      <c r="L902" s="64"/>
      <c r="M902" s="79"/>
    </row>
    <row r="903" spans="3:13" ht="13">
      <c r="C903" s="63"/>
      <c r="E903" s="41"/>
      <c r="F903" s="41"/>
      <c r="G903" s="41"/>
      <c r="H903" s="41"/>
      <c r="I903" s="41"/>
      <c r="K903" s="41"/>
      <c r="L903" s="64"/>
      <c r="M903" s="79"/>
    </row>
    <row r="904" spans="3:13" ht="13">
      <c r="C904" s="63"/>
      <c r="E904" s="41"/>
      <c r="F904" s="41"/>
      <c r="G904" s="41"/>
      <c r="H904" s="41"/>
      <c r="I904" s="41"/>
      <c r="K904" s="41"/>
      <c r="L904" s="64"/>
      <c r="M904" s="79"/>
    </row>
    <row r="905" spans="3:13" ht="13">
      <c r="C905" s="63"/>
      <c r="E905" s="41"/>
      <c r="F905" s="41"/>
      <c r="G905" s="41"/>
      <c r="H905" s="41"/>
      <c r="I905" s="41"/>
      <c r="K905" s="41"/>
      <c r="L905" s="64"/>
      <c r="M905" s="79"/>
    </row>
    <row r="906" spans="3:13" ht="13">
      <c r="C906" s="63"/>
      <c r="E906" s="41"/>
      <c r="F906" s="41"/>
      <c r="G906" s="41"/>
      <c r="H906" s="41"/>
      <c r="I906" s="41"/>
      <c r="K906" s="41"/>
      <c r="L906" s="64"/>
      <c r="M906" s="79"/>
    </row>
    <row r="907" spans="3:13" ht="13">
      <c r="C907" s="63"/>
      <c r="E907" s="41"/>
      <c r="F907" s="41"/>
      <c r="G907" s="41"/>
      <c r="H907" s="41"/>
      <c r="I907" s="41"/>
      <c r="K907" s="41"/>
      <c r="L907" s="64"/>
      <c r="M907" s="79"/>
    </row>
    <row r="908" spans="3:13" ht="13">
      <c r="C908" s="63"/>
      <c r="E908" s="41"/>
      <c r="F908" s="41"/>
      <c r="G908" s="41"/>
      <c r="H908" s="41"/>
      <c r="I908" s="41"/>
      <c r="K908" s="41"/>
      <c r="L908" s="64"/>
      <c r="M908" s="79"/>
    </row>
    <row r="909" spans="3:13" ht="13">
      <c r="C909" s="63"/>
      <c r="E909" s="41"/>
      <c r="F909" s="41"/>
      <c r="G909" s="41"/>
      <c r="H909" s="41"/>
      <c r="I909" s="41"/>
      <c r="K909" s="41"/>
      <c r="L909" s="64"/>
      <c r="M909" s="79"/>
    </row>
    <row r="910" spans="3:13" ht="13">
      <c r="C910" s="63"/>
      <c r="E910" s="41"/>
      <c r="F910" s="41"/>
      <c r="G910" s="41"/>
      <c r="H910" s="41"/>
      <c r="I910" s="41"/>
      <c r="K910" s="41"/>
      <c r="L910" s="64"/>
      <c r="M910" s="79"/>
    </row>
    <row r="911" spans="3:13" ht="13">
      <c r="C911" s="63"/>
      <c r="E911" s="41"/>
      <c r="F911" s="41"/>
      <c r="G911" s="41"/>
      <c r="H911" s="41"/>
      <c r="I911" s="41"/>
      <c r="K911" s="41"/>
      <c r="L911" s="64"/>
      <c r="M911" s="79"/>
    </row>
    <row r="912" spans="3:13" ht="13">
      <c r="C912" s="63"/>
      <c r="E912" s="41"/>
      <c r="F912" s="41"/>
      <c r="G912" s="41"/>
      <c r="H912" s="41"/>
      <c r="I912" s="41"/>
      <c r="K912" s="41"/>
      <c r="L912" s="64"/>
      <c r="M912" s="79"/>
    </row>
    <row r="913" spans="3:13" ht="13">
      <c r="C913" s="63"/>
      <c r="E913" s="41"/>
      <c r="F913" s="41"/>
      <c r="G913" s="41"/>
      <c r="H913" s="41"/>
      <c r="I913" s="41"/>
      <c r="K913" s="41"/>
      <c r="L913" s="64"/>
      <c r="M913" s="79"/>
    </row>
    <row r="914" spans="3:13" ht="13">
      <c r="C914" s="63"/>
      <c r="E914" s="41"/>
      <c r="F914" s="41"/>
      <c r="G914" s="41"/>
      <c r="H914" s="41"/>
      <c r="I914" s="41"/>
      <c r="K914" s="41"/>
      <c r="L914" s="64"/>
      <c r="M914" s="79"/>
    </row>
    <row r="915" spans="3:13" ht="13">
      <c r="C915" s="63"/>
      <c r="E915" s="41"/>
      <c r="F915" s="41"/>
      <c r="G915" s="41"/>
      <c r="H915" s="41"/>
      <c r="I915" s="41"/>
      <c r="K915" s="41"/>
      <c r="L915" s="64"/>
      <c r="M915" s="79"/>
    </row>
    <row r="916" spans="3:13" ht="13">
      <c r="C916" s="63"/>
      <c r="E916" s="41"/>
      <c r="F916" s="41"/>
      <c r="G916" s="41"/>
      <c r="H916" s="41"/>
      <c r="I916" s="41"/>
      <c r="K916" s="41"/>
      <c r="L916" s="64"/>
      <c r="M916" s="79"/>
    </row>
    <row r="917" spans="3:13" ht="13">
      <c r="C917" s="63"/>
      <c r="E917" s="41"/>
      <c r="F917" s="41"/>
      <c r="G917" s="41"/>
      <c r="H917" s="41"/>
      <c r="I917" s="41"/>
      <c r="K917" s="41"/>
      <c r="L917" s="64"/>
      <c r="M917" s="79"/>
    </row>
    <row r="918" spans="3:13" ht="13">
      <c r="C918" s="63"/>
      <c r="E918" s="41"/>
      <c r="F918" s="41"/>
      <c r="G918" s="41"/>
      <c r="H918" s="41"/>
      <c r="I918" s="41"/>
      <c r="K918" s="41"/>
      <c r="L918" s="64"/>
      <c r="M918" s="79"/>
    </row>
    <row r="919" spans="3:13" ht="13">
      <c r="C919" s="63"/>
      <c r="E919" s="41"/>
      <c r="F919" s="41"/>
      <c r="G919" s="41"/>
      <c r="H919" s="41"/>
      <c r="I919" s="41"/>
      <c r="K919" s="41"/>
      <c r="L919" s="64"/>
      <c r="M919" s="79"/>
    </row>
    <row r="920" spans="3:13" ht="13">
      <c r="C920" s="63"/>
      <c r="E920" s="41"/>
      <c r="F920" s="41"/>
      <c r="G920" s="41"/>
      <c r="H920" s="41"/>
      <c r="I920" s="41"/>
      <c r="K920" s="41"/>
      <c r="L920" s="64"/>
      <c r="M920" s="79"/>
    </row>
    <row r="921" spans="3:13" ht="13">
      <c r="C921" s="63"/>
      <c r="E921" s="41"/>
      <c r="F921" s="41"/>
      <c r="G921" s="41"/>
      <c r="H921" s="41"/>
      <c r="I921" s="41"/>
      <c r="K921" s="41"/>
      <c r="L921" s="64"/>
      <c r="M921" s="79"/>
    </row>
    <row r="922" spans="3:13" ht="13">
      <c r="C922" s="63"/>
      <c r="E922" s="41"/>
      <c r="F922" s="41"/>
      <c r="G922" s="41"/>
      <c r="H922" s="41"/>
      <c r="I922" s="41"/>
      <c r="K922" s="41"/>
      <c r="L922" s="64"/>
      <c r="M922" s="79"/>
    </row>
    <row r="923" spans="3:13" ht="13">
      <c r="C923" s="63"/>
      <c r="E923" s="41"/>
      <c r="F923" s="41"/>
      <c r="G923" s="41"/>
      <c r="H923" s="41"/>
      <c r="I923" s="41"/>
      <c r="K923" s="41"/>
      <c r="L923" s="64"/>
      <c r="M923" s="79"/>
    </row>
    <row r="924" spans="3:13" ht="13">
      <c r="C924" s="63"/>
      <c r="E924" s="41"/>
      <c r="F924" s="41"/>
      <c r="G924" s="41"/>
      <c r="H924" s="41"/>
      <c r="I924" s="41"/>
      <c r="K924" s="41"/>
      <c r="L924" s="64"/>
      <c r="M924" s="79"/>
    </row>
    <row r="925" spans="3:13" ht="13">
      <c r="C925" s="63"/>
      <c r="E925" s="41"/>
      <c r="F925" s="41"/>
      <c r="G925" s="41"/>
      <c r="H925" s="41"/>
      <c r="I925" s="41"/>
      <c r="K925" s="41"/>
      <c r="L925" s="64"/>
      <c r="M925" s="79"/>
    </row>
    <row r="926" spans="3:13" ht="13">
      <c r="C926" s="63"/>
      <c r="E926" s="41"/>
      <c r="F926" s="41"/>
      <c r="G926" s="41"/>
      <c r="H926" s="41"/>
      <c r="I926" s="41"/>
      <c r="K926" s="41"/>
      <c r="L926" s="64"/>
      <c r="M926" s="79"/>
    </row>
    <row r="927" spans="3:13" ht="13">
      <c r="C927" s="63"/>
      <c r="E927" s="41"/>
      <c r="F927" s="41"/>
      <c r="G927" s="41"/>
      <c r="H927" s="41"/>
      <c r="I927" s="41"/>
      <c r="K927" s="41"/>
      <c r="L927" s="64"/>
      <c r="M927" s="79"/>
    </row>
    <row r="928" spans="3:13" ht="13">
      <c r="C928" s="63"/>
      <c r="E928" s="41"/>
      <c r="F928" s="41"/>
      <c r="G928" s="41"/>
      <c r="H928" s="41"/>
      <c r="I928" s="41"/>
      <c r="K928" s="41"/>
      <c r="L928" s="64"/>
      <c r="M928" s="79"/>
    </row>
    <row r="929" spans="3:13" ht="13">
      <c r="C929" s="63"/>
      <c r="E929" s="41"/>
      <c r="F929" s="41"/>
      <c r="G929" s="41"/>
      <c r="H929" s="41"/>
      <c r="I929" s="41"/>
      <c r="K929" s="41"/>
      <c r="L929" s="64"/>
      <c r="M929" s="79"/>
    </row>
    <row r="930" spans="3:13" ht="13">
      <c r="C930" s="63"/>
      <c r="E930" s="41"/>
      <c r="F930" s="41"/>
      <c r="G930" s="41"/>
      <c r="H930" s="41"/>
      <c r="I930" s="41"/>
      <c r="K930" s="41"/>
      <c r="L930" s="64"/>
      <c r="M930" s="79"/>
    </row>
    <row r="931" spans="3:13" ht="13">
      <c r="C931" s="63"/>
      <c r="E931" s="41"/>
      <c r="F931" s="41"/>
      <c r="G931" s="41"/>
      <c r="H931" s="41"/>
      <c r="I931" s="41"/>
      <c r="K931" s="41"/>
      <c r="L931" s="64"/>
      <c r="M931" s="79"/>
    </row>
    <row r="932" spans="3:13" ht="13">
      <c r="C932" s="63"/>
      <c r="E932" s="41"/>
      <c r="F932" s="41"/>
      <c r="G932" s="41"/>
      <c r="H932" s="41"/>
      <c r="I932" s="41"/>
      <c r="K932" s="41"/>
      <c r="L932" s="64"/>
      <c r="M932" s="79"/>
    </row>
    <row r="933" spans="3:13" ht="13">
      <c r="C933" s="63"/>
      <c r="E933" s="41"/>
      <c r="F933" s="41"/>
      <c r="G933" s="41"/>
      <c r="H933" s="41"/>
      <c r="I933" s="41"/>
      <c r="K933" s="41"/>
      <c r="L933" s="64"/>
      <c r="M933" s="79"/>
    </row>
    <row r="934" spans="3:13" ht="13">
      <c r="C934" s="63"/>
      <c r="E934" s="41"/>
      <c r="F934" s="41"/>
      <c r="G934" s="41"/>
      <c r="H934" s="41"/>
      <c r="I934" s="41"/>
      <c r="K934" s="41"/>
      <c r="L934" s="64"/>
      <c r="M934" s="79"/>
    </row>
    <row r="935" spans="3:13" ht="13">
      <c r="C935" s="63"/>
      <c r="E935" s="41"/>
      <c r="F935" s="41"/>
      <c r="G935" s="41"/>
      <c r="H935" s="41"/>
      <c r="I935" s="41"/>
      <c r="K935" s="41"/>
      <c r="L935" s="64"/>
      <c r="M935" s="79"/>
    </row>
    <row r="936" spans="3:13" ht="13">
      <c r="C936" s="63"/>
      <c r="E936" s="41"/>
      <c r="F936" s="41"/>
      <c r="G936" s="41"/>
      <c r="H936" s="41"/>
      <c r="I936" s="41"/>
      <c r="K936" s="41"/>
      <c r="L936" s="64"/>
      <c r="M936" s="79"/>
    </row>
    <row r="937" spans="3:13" ht="13">
      <c r="C937" s="63"/>
      <c r="E937" s="41"/>
      <c r="F937" s="41"/>
      <c r="G937" s="41"/>
      <c r="H937" s="41"/>
      <c r="I937" s="41"/>
      <c r="K937" s="41"/>
      <c r="L937" s="64"/>
      <c r="M937" s="79"/>
    </row>
    <row r="938" spans="3:13" ht="13">
      <c r="C938" s="63"/>
      <c r="E938" s="41"/>
      <c r="F938" s="41"/>
      <c r="G938" s="41"/>
      <c r="H938" s="41"/>
      <c r="I938" s="41"/>
      <c r="K938" s="41"/>
      <c r="L938" s="64"/>
      <c r="M938" s="79"/>
    </row>
    <row r="939" spans="3:13" ht="13">
      <c r="C939" s="63"/>
      <c r="E939" s="41"/>
      <c r="F939" s="41"/>
      <c r="G939" s="41"/>
      <c r="H939" s="41"/>
      <c r="I939" s="41"/>
      <c r="K939" s="41"/>
      <c r="L939" s="64"/>
      <c r="M939" s="79"/>
    </row>
    <row r="940" spans="3:13" ht="13">
      <c r="C940" s="63"/>
      <c r="E940" s="41"/>
      <c r="F940" s="41"/>
      <c r="G940" s="41"/>
      <c r="H940" s="41"/>
      <c r="I940" s="41"/>
      <c r="K940" s="41"/>
      <c r="L940" s="64"/>
      <c r="M940" s="79"/>
    </row>
    <row r="941" spans="3:13" ht="13">
      <c r="C941" s="63"/>
      <c r="E941" s="41"/>
      <c r="F941" s="41"/>
      <c r="G941" s="41"/>
      <c r="H941" s="41"/>
      <c r="I941" s="41"/>
      <c r="K941" s="41"/>
      <c r="L941" s="64"/>
      <c r="M941" s="79"/>
    </row>
    <row r="942" spans="3:13" ht="13">
      <c r="C942" s="63"/>
      <c r="E942" s="41"/>
      <c r="F942" s="41"/>
      <c r="G942" s="41"/>
      <c r="H942" s="41"/>
      <c r="I942" s="41"/>
      <c r="K942" s="41"/>
      <c r="L942" s="64"/>
      <c r="M942" s="79"/>
    </row>
    <row r="943" spans="3:13" ht="13">
      <c r="C943" s="63"/>
      <c r="E943" s="41"/>
      <c r="F943" s="41"/>
      <c r="G943" s="41"/>
      <c r="H943" s="41"/>
      <c r="I943" s="41"/>
      <c r="K943" s="41"/>
      <c r="L943" s="64"/>
      <c r="M943" s="79"/>
    </row>
    <row r="944" spans="3:13" ht="13">
      <c r="C944" s="63"/>
      <c r="E944" s="41"/>
      <c r="F944" s="41"/>
      <c r="G944" s="41"/>
      <c r="H944" s="41"/>
      <c r="I944" s="41"/>
      <c r="K944" s="41"/>
      <c r="L944" s="64"/>
      <c r="M944" s="79"/>
    </row>
    <row r="945" spans="3:13" ht="13">
      <c r="C945" s="63"/>
      <c r="E945" s="41"/>
      <c r="F945" s="41"/>
      <c r="G945" s="41"/>
      <c r="H945" s="41"/>
      <c r="I945" s="41"/>
      <c r="K945" s="41"/>
      <c r="L945" s="64"/>
      <c r="M945" s="79"/>
    </row>
    <row r="946" spans="3:13" ht="13">
      <c r="C946" s="63"/>
      <c r="E946" s="41"/>
      <c r="F946" s="41"/>
      <c r="G946" s="41"/>
      <c r="H946" s="41"/>
      <c r="I946" s="41"/>
      <c r="K946" s="41"/>
      <c r="L946" s="64"/>
      <c r="M946" s="79"/>
    </row>
    <row r="947" spans="3:13" ht="13">
      <c r="C947" s="63"/>
      <c r="E947" s="41"/>
      <c r="F947" s="41"/>
      <c r="G947" s="41"/>
      <c r="H947" s="41"/>
      <c r="I947" s="41"/>
      <c r="K947" s="41"/>
      <c r="L947" s="64"/>
      <c r="M947" s="79"/>
    </row>
    <row r="948" spans="3:13" ht="13">
      <c r="C948" s="63"/>
      <c r="E948" s="41"/>
      <c r="F948" s="41"/>
      <c r="G948" s="41"/>
      <c r="H948" s="41"/>
      <c r="I948" s="41"/>
      <c r="K948" s="41"/>
      <c r="L948" s="64"/>
      <c r="M948" s="79"/>
    </row>
    <row r="949" spans="3:13" ht="13">
      <c r="C949" s="63"/>
      <c r="E949" s="41"/>
      <c r="F949" s="41"/>
      <c r="G949" s="41"/>
      <c r="H949" s="41"/>
      <c r="I949" s="41"/>
      <c r="K949" s="41"/>
      <c r="L949" s="64"/>
      <c r="M949" s="79"/>
    </row>
    <row r="950" spans="3:13" ht="13">
      <c r="C950" s="63"/>
      <c r="E950" s="41"/>
      <c r="F950" s="41"/>
      <c r="G950" s="41"/>
      <c r="H950" s="41"/>
      <c r="I950" s="41"/>
      <c r="K950" s="41"/>
      <c r="L950" s="64"/>
      <c r="M950" s="79"/>
    </row>
    <row r="951" spans="3:13" ht="13">
      <c r="C951" s="63"/>
      <c r="E951" s="41"/>
      <c r="F951" s="41"/>
      <c r="G951" s="41"/>
      <c r="H951" s="41"/>
      <c r="I951" s="41"/>
      <c r="K951" s="41"/>
      <c r="L951" s="64"/>
      <c r="M951" s="79"/>
    </row>
    <row r="952" spans="3:13" ht="13">
      <c r="C952" s="63"/>
      <c r="E952" s="41"/>
      <c r="F952" s="41"/>
      <c r="G952" s="41"/>
      <c r="H952" s="41"/>
      <c r="I952" s="41"/>
      <c r="K952" s="41"/>
      <c r="L952" s="64"/>
      <c r="M952" s="79"/>
    </row>
    <row r="953" spans="3:13" ht="13">
      <c r="C953" s="63"/>
      <c r="E953" s="41"/>
      <c r="F953" s="41"/>
      <c r="G953" s="41"/>
      <c r="H953" s="41"/>
      <c r="I953" s="41"/>
      <c r="K953" s="41"/>
      <c r="L953" s="64"/>
      <c r="M953" s="79"/>
    </row>
    <row r="954" spans="3:13" ht="13">
      <c r="C954" s="63"/>
      <c r="E954" s="41"/>
      <c r="F954" s="41"/>
      <c r="G954" s="41"/>
      <c r="H954" s="41"/>
      <c r="I954" s="41"/>
      <c r="K954" s="41"/>
      <c r="L954" s="64"/>
      <c r="M954" s="79"/>
    </row>
    <row r="955" spans="3:13" ht="13">
      <c r="C955" s="63"/>
      <c r="E955" s="41"/>
      <c r="F955" s="41"/>
      <c r="G955" s="41"/>
      <c r="H955" s="41"/>
      <c r="I955" s="41"/>
      <c r="K955" s="41"/>
      <c r="L955" s="64"/>
      <c r="M955" s="79"/>
    </row>
    <row r="956" spans="3:13" ht="13">
      <c r="C956" s="63"/>
      <c r="E956" s="41"/>
      <c r="F956" s="41"/>
      <c r="G956" s="41"/>
      <c r="H956" s="41"/>
      <c r="I956" s="41"/>
      <c r="K956" s="41"/>
      <c r="L956" s="64"/>
      <c r="M956" s="79"/>
    </row>
    <row r="957" spans="3:13" ht="13">
      <c r="C957" s="63"/>
      <c r="E957" s="41"/>
      <c r="F957" s="41"/>
      <c r="G957" s="41"/>
      <c r="H957" s="41"/>
      <c r="I957" s="41"/>
      <c r="K957" s="41"/>
      <c r="L957" s="64"/>
      <c r="M957" s="79"/>
    </row>
    <row r="958" spans="3:13" ht="13">
      <c r="C958" s="63"/>
      <c r="E958" s="41"/>
      <c r="F958" s="41"/>
      <c r="G958" s="41"/>
      <c r="H958" s="41"/>
      <c r="I958" s="41"/>
      <c r="K958" s="41"/>
      <c r="L958" s="64"/>
      <c r="M958" s="79"/>
    </row>
    <row r="959" spans="3:13" ht="13">
      <c r="C959" s="63"/>
      <c r="E959" s="41"/>
      <c r="F959" s="41"/>
      <c r="G959" s="41"/>
      <c r="H959" s="41"/>
      <c r="I959" s="41"/>
      <c r="K959" s="41"/>
      <c r="L959" s="64"/>
      <c r="M959" s="79"/>
    </row>
    <row r="960" spans="3:13" ht="13">
      <c r="C960" s="63"/>
      <c r="E960" s="41"/>
      <c r="F960" s="41"/>
      <c r="G960" s="41"/>
      <c r="H960" s="41"/>
      <c r="I960" s="41"/>
      <c r="K960" s="41"/>
      <c r="L960" s="64"/>
      <c r="M960" s="79"/>
    </row>
    <row r="961" spans="3:13" ht="13">
      <c r="C961" s="63"/>
      <c r="E961" s="41"/>
      <c r="F961" s="41"/>
      <c r="G961" s="41"/>
      <c r="H961" s="41"/>
      <c r="I961" s="41"/>
      <c r="K961" s="41"/>
      <c r="L961" s="64"/>
      <c r="M961" s="79"/>
    </row>
    <row r="962" spans="3:13" ht="13">
      <c r="C962" s="63"/>
      <c r="E962" s="41"/>
      <c r="F962" s="41"/>
      <c r="G962" s="41"/>
      <c r="H962" s="41"/>
      <c r="I962" s="41"/>
      <c r="K962" s="41"/>
      <c r="L962" s="64"/>
      <c r="M962" s="79"/>
    </row>
    <row r="963" spans="3:13" ht="13">
      <c r="C963" s="63"/>
      <c r="E963" s="41"/>
      <c r="F963" s="41"/>
      <c r="G963" s="41"/>
      <c r="H963" s="41"/>
      <c r="I963" s="41"/>
      <c r="K963" s="41"/>
      <c r="L963" s="64"/>
      <c r="M963" s="79"/>
    </row>
    <row r="964" spans="3:13" ht="13">
      <c r="C964" s="63"/>
      <c r="E964" s="41"/>
      <c r="F964" s="41"/>
      <c r="G964" s="41"/>
      <c r="H964" s="41"/>
      <c r="I964" s="41"/>
      <c r="K964" s="41"/>
      <c r="L964" s="64"/>
      <c r="M964" s="79"/>
    </row>
    <row r="965" spans="3:13" ht="13">
      <c r="C965" s="63"/>
      <c r="E965" s="41"/>
      <c r="F965" s="41"/>
      <c r="G965" s="41"/>
      <c r="H965" s="41"/>
      <c r="I965" s="41"/>
      <c r="K965" s="41"/>
      <c r="L965" s="64"/>
      <c r="M965" s="79"/>
    </row>
    <row r="966" spans="3:13" ht="13">
      <c r="C966" s="63"/>
      <c r="E966" s="41"/>
      <c r="F966" s="41"/>
      <c r="G966" s="41"/>
      <c r="H966" s="41"/>
      <c r="I966" s="41"/>
      <c r="K966" s="41"/>
      <c r="L966" s="64"/>
      <c r="M966" s="79"/>
    </row>
    <row r="967" spans="3:13" ht="13">
      <c r="C967" s="63"/>
      <c r="E967" s="41"/>
      <c r="F967" s="41"/>
      <c r="G967" s="41"/>
      <c r="H967" s="41"/>
      <c r="I967" s="41"/>
      <c r="K967" s="41"/>
      <c r="L967" s="64"/>
      <c r="M967" s="79"/>
    </row>
    <row r="968" spans="3:13" ht="13">
      <c r="C968" s="63"/>
      <c r="E968" s="41"/>
      <c r="F968" s="41"/>
      <c r="G968" s="41"/>
      <c r="H968" s="41"/>
      <c r="I968" s="41"/>
      <c r="K968" s="41"/>
      <c r="L968" s="64"/>
      <c r="M968" s="79"/>
    </row>
    <row r="969" spans="3:13" ht="13">
      <c r="C969" s="63"/>
      <c r="E969" s="41"/>
      <c r="F969" s="41"/>
      <c r="G969" s="41"/>
      <c r="H969" s="41"/>
      <c r="I969" s="41"/>
      <c r="K969" s="41"/>
      <c r="L969" s="64"/>
      <c r="M969" s="79"/>
    </row>
    <row r="970" spans="3:13" ht="13">
      <c r="C970" s="63"/>
      <c r="E970" s="41"/>
      <c r="F970" s="41"/>
      <c r="G970" s="41"/>
      <c r="H970" s="41"/>
      <c r="I970" s="41"/>
      <c r="K970" s="41"/>
      <c r="L970" s="64"/>
      <c r="M970" s="79"/>
    </row>
    <row r="971" spans="3:13" ht="13">
      <c r="C971" s="63"/>
      <c r="E971" s="41"/>
      <c r="F971" s="41"/>
      <c r="G971" s="41"/>
      <c r="H971" s="41"/>
      <c r="I971" s="41"/>
      <c r="K971" s="41"/>
      <c r="L971" s="64"/>
      <c r="M971" s="79"/>
    </row>
    <row r="972" spans="3:13" ht="13">
      <c r="C972" s="63"/>
      <c r="E972" s="41"/>
      <c r="F972" s="41"/>
      <c r="G972" s="41"/>
      <c r="H972" s="41"/>
      <c r="I972" s="41"/>
      <c r="K972" s="41"/>
      <c r="L972" s="64"/>
      <c r="M972" s="79"/>
    </row>
    <row r="973" spans="3:13" ht="13">
      <c r="C973" s="63"/>
      <c r="E973" s="41"/>
      <c r="F973" s="41"/>
      <c r="G973" s="41"/>
      <c r="H973" s="41"/>
      <c r="I973" s="41"/>
      <c r="K973" s="41"/>
      <c r="L973" s="64"/>
      <c r="M973" s="79"/>
    </row>
    <row r="974" spans="3:13" ht="13">
      <c r="C974" s="63"/>
      <c r="E974" s="41"/>
      <c r="F974" s="41"/>
      <c r="G974" s="41"/>
      <c r="H974" s="41"/>
      <c r="I974" s="41"/>
      <c r="K974" s="41"/>
      <c r="L974" s="64"/>
      <c r="M974" s="79"/>
    </row>
    <row r="975" spans="3:13" ht="13">
      <c r="C975" s="63"/>
      <c r="E975" s="41"/>
      <c r="F975" s="41"/>
      <c r="G975" s="41"/>
      <c r="H975" s="41"/>
      <c r="I975" s="41"/>
      <c r="K975" s="41"/>
      <c r="L975" s="64"/>
      <c r="M975" s="79"/>
    </row>
    <row r="976" spans="3:13" ht="13">
      <c r="C976" s="63"/>
      <c r="E976" s="41"/>
      <c r="F976" s="41"/>
      <c r="G976" s="41"/>
      <c r="H976" s="41"/>
      <c r="I976" s="41"/>
      <c r="K976" s="41"/>
      <c r="L976" s="64"/>
      <c r="M976" s="79"/>
    </row>
    <row r="977" spans="3:13" ht="13">
      <c r="C977" s="63"/>
      <c r="E977" s="41"/>
      <c r="F977" s="41"/>
      <c r="G977" s="41"/>
      <c r="H977" s="41"/>
      <c r="I977" s="41"/>
      <c r="K977" s="41"/>
      <c r="L977" s="64"/>
      <c r="M977" s="79"/>
    </row>
    <row r="978" spans="3:13" ht="13">
      <c r="C978" s="63"/>
      <c r="E978" s="41"/>
      <c r="F978" s="41"/>
      <c r="G978" s="41"/>
      <c r="H978" s="41"/>
      <c r="I978" s="41"/>
      <c r="K978" s="41"/>
      <c r="L978" s="64"/>
      <c r="M978" s="79"/>
    </row>
    <row r="979" spans="3:13" ht="13">
      <c r="C979" s="63"/>
      <c r="E979" s="41"/>
      <c r="F979" s="41"/>
      <c r="G979" s="41"/>
      <c r="H979" s="41"/>
      <c r="I979" s="41"/>
      <c r="K979" s="41"/>
      <c r="L979" s="64"/>
      <c r="M979" s="79"/>
    </row>
    <row r="980" spans="3:13" ht="13">
      <c r="C980" s="63"/>
      <c r="E980" s="41"/>
      <c r="F980" s="41"/>
      <c r="G980" s="41"/>
      <c r="H980" s="41"/>
      <c r="I980" s="41"/>
      <c r="K980" s="41"/>
      <c r="L980" s="64"/>
      <c r="M980" s="79"/>
    </row>
    <row r="981" spans="3:13" ht="13">
      <c r="C981" s="63"/>
      <c r="E981" s="41"/>
      <c r="F981" s="41"/>
      <c r="G981" s="41"/>
      <c r="H981" s="41"/>
      <c r="I981" s="41"/>
      <c r="K981" s="41"/>
      <c r="L981" s="64"/>
      <c r="M981" s="79"/>
    </row>
    <row r="982" spans="3:13" ht="13">
      <c r="C982" s="63"/>
      <c r="E982" s="41"/>
      <c r="F982" s="41"/>
      <c r="G982" s="41"/>
      <c r="H982" s="41"/>
      <c r="I982" s="41"/>
      <c r="K982" s="41"/>
      <c r="L982" s="64"/>
      <c r="M982" s="79"/>
    </row>
    <row r="983" spans="3:13" ht="13">
      <c r="C983" s="63"/>
      <c r="E983" s="41"/>
      <c r="F983" s="41"/>
      <c r="G983" s="41"/>
      <c r="H983" s="41"/>
      <c r="I983" s="41"/>
      <c r="K983" s="41"/>
      <c r="L983" s="64"/>
      <c r="M983" s="79"/>
    </row>
    <row r="984" spans="3:13" ht="13">
      <c r="C984" s="63"/>
      <c r="E984" s="41"/>
      <c r="F984" s="41"/>
      <c r="G984" s="41"/>
      <c r="H984" s="41"/>
      <c r="I984" s="41"/>
      <c r="K984" s="41"/>
      <c r="L984" s="64"/>
      <c r="M984" s="79"/>
    </row>
    <row r="985" spans="3:13" ht="13">
      <c r="C985" s="63"/>
      <c r="E985" s="41"/>
      <c r="F985" s="41"/>
      <c r="G985" s="41"/>
      <c r="H985" s="41"/>
      <c r="I985" s="41"/>
      <c r="K985" s="41"/>
      <c r="L985" s="64"/>
      <c r="M985" s="79"/>
    </row>
    <row r="986" spans="3:13" ht="13">
      <c r="C986" s="63"/>
      <c r="E986" s="41"/>
      <c r="F986" s="41"/>
      <c r="G986" s="41"/>
      <c r="H986" s="41"/>
      <c r="I986" s="41"/>
      <c r="K986" s="41"/>
      <c r="L986" s="64"/>
      <c r="M986" s="79"/>
    </row>
    <row r="987" spans="3:13" ht="13">
      <c r="C987" s="63"/>
      <c r="E987" s="41"/>
      <c r="F987" s="41"/>
      <c r="G987" s="41"/>
      <c r="H987" s="41"/>
      <c r="I987" s="41"/>
      <c r="K987" s="41"/>
      <c r="L987" s="64"/>
      <c r="M987" s="79"/>
    </row>
    <row r="988" spans="3:13" ht="13">
      <c r="C988" s="63"/>
      <c r="E988" s="41"/>
      <c r="F988" s="41"/>
      <c r="G988" s="41"/>
      <c r="H988" s="41"/>
      <c r="I988" s="41"/>
      <c r="K988" s="41"/>
      <c r="L988" s="64"/>
      <c r="M988" s="79"/>
    </row>
    <row r="989" spans="3:13" ht="13">
      <c r="C989" s="63"/>
      <c r="E989" s="41"/>
      <c r="F989" s="41"/>
      <c r="G989" s="41"/>
      <c r="H989" s="41"/>
      <c r="I989" s="41"/>
      <c r="K989" s="41"/>
      <c r="L989" s="64"/>
      <c r="M989" s="79"/>
    </row>
    <row r="990" spans="3:13" ht="13">
      <c r="C990" s="63"/>
      <c r="E990" s="41"/>
      <c r="F990" s="41"/>
      <c r="G990" s="41"/>
      <c r="H990" s="41"/>
      <c r="I990" s="41"/>
      <c r="K990" s="41"/>
      <c r="L990" s="64"/>
      <c r="M990" s="79"/>
    </row>
    <row r="991" spans="3:13" ht="13">
      <c r="C991" s="63"/>
      <c r="E991" s="41"/>
      <c r="F991" s="41"/>
      <c r="G991" s="41"/>
      <c r="H991" s="41"/>
      <c r="I991" s="41"/>
      <c r="K991" s="41"/>
      <c r="L991" s="64"/>
      <c r="M991" s="79"/>
    </row>
    <row r="992" spans="3:13" ht="13">
      <c r="C992" s="63"/>
      <c r="E992" s="41"/>
      <c r="F992" s="41"/>
      <c r="G992" s="41"/>
      <c r="H992" s="41"/>
      <c r="I992" s="41"/>
      <c r="K992" s="41"/>
      <c r="L992" s="64"/>
      <c r="M992" s="79"/>
    </row>
    <row r="993" spans="3:13" ht="13">
      <c r="C993" s="63"/>
      <c r="E993" s="41"/>
      <c r="F993" s="41"/>
      <c r="G993" s="41"/>
      <c r="H993" s="41"/>
      <c r="I993" s="41"/>
      <c r="K993" s="41"/>
      <c r="L993" s="64"/>
      <c r="M993" s="79"/>
    </row>
    <row r="994" spans="3:13" ht="13">
      <c r="C994" s="63"/>
      <c r="E994" s="41"/>
      <c r="F994" s="41"/>
      <c r="G994" s="41"/>
      <c r="H994" s="41"/>
      <c r="I994" s="41"/>
      <c r="K994" s="41"/>
      <c r="L994" s="64"/>
      <c r="M994" s="79"/>
    </row>
    <row r="995" spans="3:13" ht="13">
      <c r="C995" s="63"/>
      <c r="E995" s="41"/>
      <c r="F995" s="41"/>
      <c r="G995" s="41"/>
      <c r="H995" s="41"/>
      <c r="I995" s="41"/>
      <c r="K995" s="41"/>
      <c r="L995" s="64"/>
      <c r="M995" s="79"/>
    </row>
    <row r="996" spans="3:13" ht="13">
      <c r="C996" s="63"/>
      <c r="E996" s="41"/>
      <c r="F996" s="41"/>
      <c r="G996" s="41"/>
      <c r="H996" s="41"/>
      <c r="I996" s="41"/>
      <c r="K996" s="41"/>
      <c r="L996" s="64"/>
      <c r="M996" s="79"/>
    </row>
    <row r="997" spans="3:13" ht="13">
      <c r="C997" s="63"/>
      <c r="E997" s="41"/>
      <c r="F997" s="41"/>
      <c r="G997" s="41"/>
      <c r="H997" s="41"/>
      <c r="I997" s="41"/>
      <c r="K997" s="41"/>
      <c r="L997" s="64"/>
      <c r="M997" s="79"/>
    </row>
    <row r="998" spans="3:13" ht="13">
      <c r="C998" s="63"/>
      <c r="E998" s="41"/>
      <c r="F998" s="41"/>
      <c r="G998" s="41"/>
      <c r="H998" s="41"/>
      <c r="I998" s="41"/>
      <c r="K998" s="41"/>
      <c r="L998" s="64"/>
      <c r="M998" s="79"/>
    </row>
    <row r="999" spans="3:13" ht="13">
      <c r="C999" s="63"/>
      <c r="E999" s="41"/>
      <c r="F999" s="41"/>
      <c r="G999" s="41"/>
      <c r="H999" s="41"/>
      <c r="I999" s="41"/>
      <c r="K999" s="41"/>
      <c r="L999" s="64"/>
      <c r="M999" s="79"/>
    </row>
    <row r="1000" spans="3:13" ht="13">
      <c r="C1000" s="63"/>
      <c r="E1000" s="41"/>
      <c r="F1000" s="41"/>
      <c r="G1000" s="41"/>
      <c r="H1000" s="41"/>
      <c r="I1000" s="41"/>
      <c r="K1000" s="41"/>
      <c r="L1000" s="64"/>
      <c r="M1000" s="79"/>
    </row>
  </sheetData>
  <autoFilter ref="A1:M1000" xr:uid="{00000000-0009-0000-0000-000006000000}"/>
  <customSheetViews>
    <customSheetView guid="{B8519574-77FB-49A0-940D-FDADA7009AF9}" filter="1" showAutoFilter="1">
      <pageMargins left="0.7" right="0.7" top="0.75" bottom="0.75" header="0.3" footer="0.3"/>
      <autoFilter ref="A1:L27" xr:uid="{00000000-0000-0000-0000-000000000000}"/>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M1000"/>
  <sheetViews>
    <sheetView workbookViewId="0">
      <pane xSplit="1" ySplit="1" topLeftCell="C3" activePane="bottomRight" state="frozen"/>
      <selection pane="topRight" activeCell="B1" sqref="B1"/>
      <selection pane="bottomLeft" activeCell="A2" sqref="A2"/>
      <selection pane="bottomRight" activeCell="E27" sqref="E27:I27"/>
    </sheetView>
  </sheetViews>
  <sheetFormatPr baseColWidth="10" defaultColWidth="14.5" defaultRowHeight="15.75" customHeight="1"/>
  <cols>
    <col min="1" max="1" width="29.1640625" customWidth="1"/>
    <col min="2" max="2" width="14.5" hidden="1"/>
    <col min="3" max="3" width="19.5" customWidth="1"/>
    <col min="5" max="5" width="15.83203125" customWidth="1"/>
    <col min="6" max="6" width="20.6640625" customWidth="1"/>
    <col min="9" max="9" width="25.5" customWidth="1"/>
    <col min="11" max="11" width="21.6640625" customWidth="1"/>
    <col min="12" max="12" width="102" customWidth="1"/>
    <col min="13" max="13" width="49.5" customWidth="1"/>
  </cols>
  <sheetData>
    <row r="1" spans="1:13" ht="15">
      <c r="A1" s="66" t="s">
        <v>175</v>
      </c>
      <c r="B1" s="13" t="s">
        <v>46</v>
      </c>
      <c r="C1" s="42" t="s">
        <v>109</v>
      </c>
      <c r="D1" s="14" t="s">
        <v>47</v>
      </c>
      <c r="E1" s="13" t="s">
        <v>48</v>
      </c>
      <c r="F1" s="13" t="s">
        <v>49</v>
      </c>
      <c r="G1" s="13" t="s">
        <v>50</v>
      </c>
      <c r="H1" s="13" t="s">
        <v>51</v>
      </c>
      <c r="I1" s="13" t="s">
        <v>52</v>
      </c>
      <c r="J1" s="15" t="s">
        <v>53</v>
      </c>
      <c r="K1" s="15" t="s">
        <v>54</v>
      </c>
      <c r="L1" s="43" t="s">
        <v>55</v>
      </c>
      <c r="M1" s="67" t="s">
        <v>351</v>
      </c>
    </row>
    <row r="2" spans="1:13" ht="409.6">
      <c r="A2" s="40" t="s">
        <v>63</v>
      </c>
      <c r="B2" s="45"/>
      <c r="C2" s="40" t="s">
        <v>111</v>
      </c>
      <c r="D2" s="68" t="s">
        <v>112</v>
      </c>
      <c r="E2" s="69">
        <v>3</v>
      </c>
      <c r="F2" s="70">
        <v>3</v>
      </c>
      <c r="G2" s="70">
        <v>4</v>
      </c>
      <c r="H2" s="70">
        <v>4</v>
      </c>
      <c r="I2" s="71">
        <v>4</v>
      </c>
      <c r="J2" s="50">
        <f t="shared" ref="J2:J4" si="0">AVERAGE(E2:I2)</f>
        <v>3.6</v>
      </c>
      <c r="K2" s="94">
        <v>1</v>
      </c>
      <c r="L2" s="56" t="s">
        <v>352</v>
      </c>
      <c r="M2" s="44" t="s">
        <v>353</v>
      </c>
    </row>
    <row r="3" spans="1:13" ht="15.75" customHeight="1">
      <c r="A3" s="40" t="s">
        <v>85</v>
      </c>
      <c r="B3" s="45"/>
      <c r="C3" s="40" t="s">
        <v>111</v>
      </c>
      <c r="D3" s="68" t="s">
        <v>112</v>
      </c>
      <c r="E3" s="81">
        <v>4</v>
      </c>
      <c r="F3" s="81">
        <v>4</v>
      </c>
      <c r="G3" s="81">
        <v>4</v>
      </c>
      <c r="H3" s="81">
        <v>4</v>
      </c>
      <c r="I3" s="71">
        <v>4</v>
      </c>
      <c r="J3" s="50">
        <f t="shared" si="0"/>
        <v>4</v>
      </c>
      <c r="K3" s="51">
        <v>1</v>
      </c>
      <c r="L3" s="56" t="s">
        <v>354</v>
      </c>
      <c r="M3" s="44" t="s">
        <v>355</v>
      </c>
    </row>
    <row r="4" spans="1:13" ht="15.75" customHeight="1">
      <c r="A4" s="40" t="s">
        <v>91</v>
      </c>
      <c r="B4" s="45"/>
      <c r="C4" s="40" t="s">
        <v>111</v>
      </c>
      <c r="D4" s="68" t="s">
        <v>112</v>
      </c>
      <c r="E4" s="69">
        <v>4</v>
      </c>
      <c r="F4" s="70">
        <v>4</v>
      </c>
      <c r="G4" s="70">
        <v>4</v>
      </c>
      <c r="H4" s="70">
        <v>4</v>
      </c>
      <c r="I4" s="71">
        <v>4</v>
      </c>
      <c r="J4" s="50">
        <f t="shared" si="0"/>
        <v>4</v>
      </c>
      <c r="K4" s="51">
        <v>1</v>
      </c>
      <c r="L4" s="56" t="s">
        <v>356</v>
      </c>
      <c r="M4" s="44" t="s">
        <v>357</v>
      </c>
    </row>
    <row r="5" spans="1:13" ht="15.75" customHeight="1">
      <c r="A5" s="40" t="s">
        <v>93</v>
      </c>
      <c r="B5" s="45"/>
      <c r="C5" s="40" t="s">
        <v>119</v>
      </c>
      <c r="D5" s="40" t="s">
        <v>112</v>
      </c>
      <c r="E5" s="54">
        <v>4</v>
      </c>
      <c r="F5" s="54">
        <v>4</v>
      </c>
      <c r="G5" s="54">
        <v>4</v>
      </c>
      <c r="H5" s="54">
        <v>4</v>
      </c>
      <c r="I5" s="54">
        <v>4</v>
      </c>
      <c r="J5" s="50">
        <f t="shared" ref="J5:J27" si="1">AVERAGE(E5:I5)</f>
        <v>4</v>
      </c>
      <c r="K5" s="72">
        <v>1</v>
      </c>
      <c r="L5" s="55" t="s">
        <v>358</v>
      </c>
      <c r="M5" s="67" t="s">
        <v>359</v>
      </c>
    </row>
    <row r="6" spans="1:13" ht="15.75" customHeight="1">
      <c r="A6" s="40" t="s">
        <v>103</v>
      </c>
      <c r="B6" s="45"/>
      <c r="C6" s="40" t="s">
        <v>186</v>
      </c>
      <c r="D6" s="68" t="s">
        <v>123</v>
      </c>
      <c r="E6" s="54">
        <v>4</v>
      </c>
      <c r="F6" s="54">
        <v>5</v>
      </c>
      <c r="G6" s="54">
        <v>3</v>
      </c>
      <c r="H6" s="54">
        <v>3</v>
      </c>
      <c r="I6" s="54">
        <v>3</v>
      </c>
      <c r="J6" s="50">
        <f t="shared" si="1"/>
        <v>3.6</v>
      </c>
      <c r="K6" s="95">
        <v>1</v>
      </c>
      <c r="L6" s="56" t="s">
        <v>360</v>
      </c>
      <c r="M6" s="44" t="s">
        <v>361</v>
      </c>
    </row>
    <row r="7" spans="1:13" ht="70">
      <c r="A7" s="40" t="s">
        <v>105</v>
      </c>
      <c r="B7" s="45"/>
      <c r="C7" s="40" t="s">
        <v>111</v>
      </c>
      <c r="D7" s="68" t="s">
        <v>123</v>
      </c>
      <c r="E7" s="48">
        <v>4</v>
      </c>
      <c r="F7" s="89">
        <v>5</v>
      </c>
      <c r="G7" s="89">
        <v>4</v>
      </c>
      <c r="H7" s="89">
        <v>3</v>
      </c>
      <c r="I7" s="90">
        <v>4</v>
      </c>
      <c r="J7" s="50">
        <f t="shared" si="1"/>
        <v>4</v>
      </c>
      <c r="K7" s="51">
        <v>1</v>
      </c>
      <c r="L7" s="31" t="s">
        <v>362</v>
      </c>
      <c r="M7" s="44" t="s">
        <v>363</v>
      </c>
    </row>
    <row r="8" spans="1:13" ht="15.75" customHeight="1">
      <c r="A8" s="40" t="s">
        <v>59</v>
      </c>
      <c r="B8" s="45"/>
      <c r="C8" s="40" t="s">
        <v>186</v>
      </c>
      <c r="D8" s="40" t="s">
        <v>123</v>
      </c>
      <c r="E8" s="54">
        <v>2</v>
      </c>
      <c r="F8" s="49">
        <v>4</v>
      </c>
      <c r="G8" s="54">
        <v>4</v>
      </c>
      <c r="H8" s="54">
        <v>4</v>
      </c>
      <c r="I8" s="54">
        <v>3</v>
      </c>
      <c r="J8" s="50">
        <f t="shared" si="1"/>
        <v>3.4</v>
      </c>
      <c r="K8" s="51">
        <v>1</v>
      </c>
      <c r="L8" s="57" t="s">
        <v>364</v>
      </c>
      <c r="M8" s="44" t="s">
        <v>365</v>
      </c>
    </row>
    <row r="9" spans="1:13" ht="15.75" customHeight="1">
      <c r="A9" s="40" t="s">
        <v>101</v>
      </c>
      <c r="B9" s="45"/>
      <c r="C9" s="40" t="s">
        <v>186</v>
      </c>
      <c r="D9" s="40" t="s">
        <v>123</v>
      </c>
      <c r="E9" s="48">
        <v>3</v>
      </c>
      <c r="F9" s="49">
        <v>4</v>
      </c>
      <c r="G9" s="49">
        <v>4</v>
      </c>
      <c r="H9" s="49">
        <v>4</v>
      </c>
      <c r="I9" s="54">
        <v>3</v>
      </c>
      <c r="J9" s="50">
        <f t="shared" si="1"/>
        <v>3.6</v>
      </c>
      <c r="K9" s="51">
        <v>1</v>
      </c>
      <c r="L9" s="55" t="s">
        <v>366</v>
      </c>
      <c r="M9" s="44" t="s">
        <v>367</v>
      </c>
    </row>
    <row r="10" spans="1:13" ht="15.75" customHeight="1">
      <c r="A10" s="40" t="s">
        <v>79</v>
      </c>
      <c r="B10" s="45"/>
      <c r="C10" s="40" t="s">
        <v>119</v>
      </c>
      <c r="D10" s="40" t="s">
        <v>132</v>
      </c>
      <c r="E10" s="59">
        <v>3</v>
      </c>
      <c r="F10" s="54">
        <v>4</v>
      </c>
      <c r="G10" s="54">
        <v>3</v>
      </c>
      <c r="H10" s="54">
        <v>4</v>
      </c>
      <c r="I10" s="54">
        <v>4</v>
      </c>
      <c r="J10" s="50">
        <f t="shared" si="1"/>
        <v>3.6</v>
      </c>
      <c r="K10" s="51">
        <v>1</v>
      </c>
      <c r="L10" s="55" t="s">
        <v>368</v>
      </c>
      <c r="M10" s="73" t="s">
        <v>369</v>
      </c>
    </row>
    <row r="11" spans="1:13" ht="15.75" customHeight="1">
      <c r="A11" s="40" t="s">
        <v>56</v>
      </c>
      <c r="B11" s="45"/>
      <c r="C11" s="40" t="s">
        <v>135</v>
      </c>
      <c r="D11" s="40" t="s">
        <v>132</v>
      </c>
      <c r="E11" s="54">
        <v>4</v>
      </c>
      <c r="F11" s="54">
        <v>3</v>
      </c>
      <c r="G11" s="54">
        <v>4</v>
      </c>
      <c r="H11" s="54">
        <v>4</v>
      </c>
      <c r="I11" s="54">
        <v>3</v>
      </c>
      <c r="J11" s="50">
        <f t="shared" si="1"/>
        <v>3.6</v>
      </c>
      <c r="K11" s="51">
        <v>1</v>
      </c>
      <c r="L11" s="44" t="s">
        <v>370</v>
      </c>
      <c r="M11" s="44" t="s">
        <v>371</v>
      </c>
    </row>
    <row r="12" spans="1:13" ht="15.75" customHeight="1">
      <c r="A12" s="40" t="s">
        <v>89</v>
      </c>
      <c r="B12" s="45"/>
      <c r="C12" s="40" t="s">
        <v>119</v>
      </c>
      <c r="D12" s="68" t="s">
        <v>132</v>
      </c>
      <c r="E12" s="54">
        <v>4</v>
      </c>
      <c r="F12" s="54">
        <v>4</v>
      </c>
      <c r="G12" s="54">
        <v>3</v>
      </c>
      <c r="H12" s="54">
        <v>3</v>
      </c>
      <c r="I12" s="54">
        <v>4</v>
      </c>
      <c r="J12" s="50">
        <f t="shared" si="1"/>
        <v>3.6</v>
      </c>
      <c r="K12" s="72">
        <v>1</v>
      </c>
      <c r="L12" s="55" t="s">
        <v>372</v>
      </c>
      <c r="M12" s="67" t="s">
        <v>373</v>
      </c>
    </row>
    <row r="13" spans="1:13" ht="15.75" customHeight="1">
      <c r="A13" s="40" t="s">
        <v>61</v>
      </c>
      <c r="B13" s="45"/>
      <c r="C13" s="40" t="s">
        <v>148</v>
      </c>
      <c r="D13" s="40" t="s">
        <v>132</v>
      </c>
      <c r="E13" s="59">
        <v>4</v>
      </c>
      <c r="F13" s="54">
        <v>4</v>
      </c>
      <c r="G13" s="54">
        <v>3</v>
      </c>
      <c r="H13" s="54">
        <v>4</v>
      </c>
      <c r="I13" s="54">
        <v>3</v>
      </c>
      <c r="J13" s="50">
        <f t="shared" si="1"/>
        <v>3.6</v>
      </c>
      <c r="K13" s="51">
        <v>1</v>
      </c>
      <c r="L13" s="74" t="s">
        <v>374</v>
      </c>
      <c r="M13" s="55"/>
    </row>
    <row r="14" spans="1:13" ht="15.75" customHeight="1">
      <c r="A14" s="40" t="s">
        <v>71</v>
      </c>
      <c r="B14" s="45"/>
      <c r="C14" s="40" t="s">
        <v>135</v>
      </c>
      <c r="D14" s="68" t="s">
        <v>143</v>
      </c>
      <c r="E14" s="54">
        <v>4</v>
      </c>
      <c r="F14" s="54">
        <v>4</v>
      </c>
      <c r="G14" s="54">
        <v>3</v>
      </c>
      <c r="H14" s="54">
        <v>5</v>
      </c>
      <c r="I14" s="54">
        <v>4</v>
      </c>
      <c r="J14" s="50">
        <f t="shared" si="1"/>
        <v>4</v>
      </c>
      <c r="K14" s="51">
        <v>1</v>
      </c>
      <c r="L14" s="44" t="s">
        <v>375</v>
      </c>
      <c r="M14" s="44" t="s">
        <v>376</v>
      </c>
    </row>
    <row r="15" spans="1:13" ht="15.75" customHeight="1">
      <c r="A15" s="40" t="s">
        <v>73</v>
      </c>
      <c r="B15" s="45"/>
      <c r="C15" s="40" t="s">
        <v>135</v>
      </c>
      <c r="D15" s="68" t="s">
        <v>143</v>
      </c>
      <c r="E15" s="48">
        <v>4</v>
      </c>
      <c r="F15" s="49">
        <v>4</v>
      </c>
      <c r="G15" s="49">
        <v>5</v>
      </c>
      <c r="H15" s="49">
        <v>4</v>
      </c>
      <c r="I15" s="54">
        <v>3</v>
      </c>
      <c r="J15" s="50">
        <f t="shared" si="1"/>
        <v>4</v>
      </c>
      <c r="K15" s="51">
        <v>1</v>
      </c>
      <c r="L15" s="44" t="s">
        <v>377</v>
      </c>
      <c r="M15" s="44" t="s">
        <v>378</v>
      </c>
    </row>
    <row r="16" spans="1:13" ht="15.75" customHeight="1">
      <c r="A16" s="40" t="s">
        <v>81</v>
      </c>
      <c r="B16" s="45"/>
      <c r="C16" s="40" t="s">
        <v>148</v>
      </c>
      <c r="D16" s="40" t="s">
        <v>143</v>
      </c>
      <c r="E16" s="48">
        <v>4</v>
      </c>
      <c r="F16" s="49">
        <v>4</v>
      </c>
      <c r="G16" s="49">
        <v>4</v>
      </c>
      <c r="H16" s="49">
        <v>4</v>
      </c>
      <c r="I16" s="54">
        <v>3</v>
      </c>
      <c r="J16" s="50">
        <f t="shared" si="1"/>
        <v>3.8</v>
      </c>
      <c r="K16" s="51">
        <v>1</v>
      </c>
      <c r="L16" s="74" t="s">
        <v>379</v>
      </c>
      <c r="M16" s="55"/>
    </row>
    <row r="17" spans="1:13" ht="56">
      <c r="A17" s="40" t="s">
        <v>65</v>
      </c>
      <c r="B17" s="45"/>
      <c r="C17" s="40" t="s">
        <v>111</v>
      </c>
      <c r="D17" s="68" t="s">
        <v>143</v>
      </c>
      <c r="E17" s="90">
        <v>4</v>
      </c>
      <c r="F17" s="90">
        <v>4</v>
      </c>
      <c r="G17" s="90">
        <v>3</v>
      </c>
      <c r="H17" s="90">
        <v>4</v>
      </c>
      <c r="I17" s="90">
        <v>4</v>
      </c>
      <c r="J17" s="50">
        <f t="shared" si="1"/>
        <v>3.8</v>
      </c>
      <c r="K17" s="51">
        <v>1</v>
      </c>
      <c r="L17" s="31" t="s">
        <v>380</v>
      </c>
      <c r="M17" s="61" t="s">
        <v>381</v>
      </c>
    </row>
    <row r="18" spans="1:13" ht="15.75" customHeight="1">
      <c r="A18" s="40" t="s">
        <v>99</v>
      </c>
      <c r="B18" s="45"/>
      <c r="C18" s="40" t="s">
        <v>186</v>
      </c>
      <c r="D18" s="40" t="s">
        <v>153</v>
      </c>
      <c r="E18" s="54">
        <v>4</v>
      </c>
      <c r="F18" s="54">
        <v>3</v>
      </c>
      <c r="G18" s="54">
        <v>3</v>
      </c>
      <c r="H18" s="54">
        <v>4</v>
      </c>
      <c r="I18" s="54">
        <v>3</v>
      </c>
      <c r="J18" s="50">
        <f t="shared" si="1"/>
        <v>3.4</v>
      </c>
      <c r="K18" s="51">
        <v>1</v>
      </c>
      <c r="L18" s="52" t="s">
        <v>382</v>
      </c>
      <c r="M18" s="44" t="s">
        <v>383</v>
      </c>
    </row>
    <row r="19" spans="1:13" ht="15.75" customHeight="1">
      <c r="A19" s="40" t="s">
        <v>97</v>
      </c>
      <c r="B19" s="45"/>
      <c r="C19" s="40" t="s">
        <v>119</v>
      </c>
      <c r="D19" s="40" t="s">
        <v>153</v>
      </c>
      <c r="E19" s="54">
        <v>4</v>
      </c>
      <c r="F19" s="54">
        <v>4</v>
      </c>
      <c r="G19" s="54">
        <v>3</v>
      </c>
      <c r="H19" s="54">
        <v>4</v>
      </c>
      <c r="I19" s="54">
        <v>4</v>
      </c>
      <c r="J19" s="50">
        <f t="shared" si="1"/>
        <v>3.8</v>
      </c>
      <c r="K19" s="51">
        <v>1</v>
      </c>
      <c r="L19" s="55" t="s">
        <v>384</v>
      </c>
      <c r="M19" s="76" t="s">
        <v>385</v>
      </c>
    </row>
    <row r="20" spans="1:13" ht="15.75" customHeight="1">
      <c r="A20" s="40" t="s">
        <v>87</v>
      </c>
      <c r="B20" s="45"/>
      <c r="C20" s="40" t="s">
        <v>148</v>
      </c>
      <c r="D20" s="40" t="s">
        <v>153</v>
      </c>
      <c r="E20" s="54">
        <v>4</v>
      </c>
      <c r="F20" s="54">
        <v>3</v>
      </c>
      <c r="G20" s="54">
        <v>3</v>
      </c>
      <c r="H20" s="54">
        <v>4</v>
      </c>
      <c r="I20" s="54">
        <v>3</v>
      </c>
      <c r="J20" s="50">
        <f t="shared" si="1"/>
        <v>3.4</v>
      </c>
      <c r="K20" s="51">
        <v>1</v>
      </c>
      <c r="L20" s="74" t="s">
        <v>386</v>
      </c>
      <c r="M20" s="55"/>
    </row>
    <row r="21" spans="1:13" ht="15.75" customHeight="1">
      <c r="A21" s="40" t="s">
        <v>107</v>
      </c>
      <c r="B21" s="45"/>
      <c r="C21" s="40" t="s">
        <v>135</v>
      </c>
      <c r="D21" s="68" t="s">
        <v>153</v>
      </c>
      <c r="E21" s="48">
        <v>4</v>
      </c>
      <c r="F21" s="49">
        <v>4</v>
      </c>
      <c r="G21" s="49">
        <v>5</v>
      </c>
      <c r="H21" s="49">
        <v>5</v>
      </c>
      <c r="I21" s="54">
        <v>4</v>
      </c>
      <c r="J21" s="50">
        <f t="shared" si="1"/>
        <v>4.4000000000000004</v>
      </c>
      <c r="K21" s="51">
        <v>1</v>
      </c>
      <c r="L21" s="55" t="s">
        <v>387</v>
      </c>
      <c r="M21" s="44" t="s">
        <v>388</v>
      </c>
    </row>
    <row r="22" spans="1:13" ht="15.75" customHeight="1">
      <c r="A22" s="40" t="s">
        <v>69</v>
      </c>
      <c r="B22" s="45"/>
      <c r="C22" s="40" t="s">
        <v>135</v>
      </c>
      <c r="D22" s="40" t="s">
        <v>153</v>
      </c>
      <c r="E22" s="54">
        <v>4</v>
      </c>
      <c r="F22" s="54">
        <v>4</v>
      </c>
      <c r="G22" s="54">
        <v>4</v>
      </c>
      <c r="H22" s="54">
        <v>4</v>
      </c>
      <c r="I22" s="54">
        <v>4</v>
      </c>
      <c r="J22" s="50">
        <f t="shared" si="1"/>
        <v>4</v>
      </c>
      <c r="K22" s="51">
        <v>1</v>
      </c>
      <c r="L22" s="96" t="s">
        <v>389</v>
      </c>
      <c r="M22" s="44" t="s">
        <v>390</v>
      </c>
    </row>
    <row r="23" spans="1:13" ht="15.75" customHeight="1">
      <c r="A23" s="40" t="s">
        <v>83</v>
      </c>
      <c r="B23" s="45"/>
      <c r="C23" s="40" t="s">
        <v>119</v>
      </c>
      <c r="D23" s="68" t="s">
        <v>164</v>
      </c>
      <c r="E23" s="54">
        <v>3</v>
      </c>
      <c r="F23" s="54">
        <v>4</v>
      </c>
      <c r="G23" s="54">
        <v>4</v>
      </c>
      <c r="H23" s="54">
        <v>4</v>
      </c>
      <c r="I23" s="54">
        <v>3</v>
      </c>
      <c r="J23" s="50">
        <f t="shared" si="1"/>
        <v>3.6</v>
      </c>
      <c r="K23" s="51">
        <v>1</v>
      </c>
      <c r="L23" s="52" t="s">
        <v>391</v>
      </c>
      <c r="M23" s="67" t="s">
        <v>392</v>
      </c>
    </row>
    <row r="24" spans="1:13" ht="15.75" customHeight="1">
      <c r="A24" s="40" t="s">
        <v>75</v>
      </c>
      <c r="B24" s="45"/>
      <c r="C24" s="40" t="s">
        <v>186</v>
      </c>
      <c r="D24" s="40" t="s">
        <v>164</v>
      </c>
      <c r="E24" s="54">
        <v>3</v>
      </c>
      <c r="F24" s="54">
        <v>4</v>
      </c>
      <c r="G24" s="54">
        <v>3</v>
      </c>
      <c r="H24" s="54">
        <v>3</v>
      </c>
      <c r="I24" s="54">
        <v>3</v>
      </c>
      <c r="J24" s="50">
        <f t="shared" si="1"/>
        <v>3.2</v>
      </c>
      <c r="K24" s="51">
        <v>1</v>
      </c>
      <c r="L24" s="52" t="s">
        <v>393</v>
      </c>
      <c r="M24" s="44" t="s">
        <v>394</v>
      </c>
    </row>
    <row r="25" spans="1:13" ht="84">
      <c r="A25" s="40" t="s">
        <v>77</v>
      </c>
      <c r="B25" s="45"/>
      <c r="C25" s="40" t="s">
        <v>111</v>
      </c>
      <c r="D25" s="40" t="s">
        <v>164</v>
      </c>
      <c r="E25" s="90">
        <v>4</v>
      </c>
      <c r="F25" s="90">
        <v>4</v>
      </c>
      <c r="G25" s="90">
        <v>3</v>
      </c>
      <c r="H25" s="90">
        <v>3</v>
      </c>
      <c r="I25" s="90">
        <v>3</v>
      </c>
      <c r="J25" s="50">
        <f t="shared" si="1"/>
        <v>3.4</v>
      </c>
      <c r="K25" s="51">
        <v>1</v>
      </c>
      <c r="L25" s="78" t="s">
        <v>395</v>
      </c>
      <c r="M25" s="44" t="s">
        <v>396</v>
      </c>
    </row>
    <row r="26" spans="1:13" ht="15.75" customHeight="1">
      <c r="A26" s="40" t="s">
        <v>95</v>
      </c>
      <c r="B26" s="45"/>
      <c r="C26" s="40" t="s">
        <v>148</v>
      </c>
      <c r="D26" s="37" t="s">
        <v>164</v>
      </c>
      <c r="E26" s="59">
        <v>3</v>
      </c>
      <c r="F26" s="54">
        <v>4</v>
      </c>
      <c r="G26" s="54">
        <v>4</v>
      </c>
      <c r="H26" s="54">
        <v>4</v>
      </c>
      <c r="I26" s="54">
        <v>3</v>
      </c>
      <c r="J26" s="50">
        <f t="shared" si="1"/>
        <v>3.6</v>
      </c>
      <c r="K26" s="51"/>
      <c r="L26" s="74" t="s">
        <v>397</v>
      </c>
      <c r="M26" s="55"/>
    </row>
    <row r="27" spans="1:13" ht="15.75" customHeight="1">
      <c r="A27" s="40" t="s">
        <v>67</v>
      </c>
      <c r="B27" s="45"/>
      <c r="C27" s="40" t="s">
        <v>148</v>
      </c>
      <c r="D27" s="40" t="s">
        <v>164</v>
      </c>
      <c r="E27" s="54">
        <v>4</v>
      </c>
      <c r="F27" s="54">
        <v>3</v>
      </c>
      <c r="G27" s="54">
        <v>4</v>
      </c>
      <c r="H27" s="54">
        <v>4</v>
      </c>
      <c r="I27" s="54">
        <v>4</v>
      </c>
      <c r="J27" s="50">
        <f t="shared" si="1"/>
        <v>3.8</v>
      </c>
      <c r="K27" s="51"/>
      <c r="L27" s="74" t="s">
        <v>398</v>
      </c>
      <c r="M27" s="55"/>
    </row>
    <row r="28" spans="1:13" ht="14">
      <c r="C28" s="45"/>
      <c r="D28" s="26"/>
      <c r="E28" s="41"/>
      <c r="F28" s="41"/>
      <c r="G28" s="41"/>
      <c r="H28" s="41"/>
      <c r="I28" s="41"/>
      <c r="K28" s="41"/>
      <c r="L28" s="64"/>
      <c r="M28" s="79"/>
    </row>
    <row r="29" spans="1:13" ht="14">
      <c r="C29" s="45"/>
      <c r="D29" s="26"/>
      <c r="E29" s="41"/>
      <c r="F29" s="41"/>
      <c r="G29" s="41"/>
      <c r="H29" s="41"/>
      <c r="I29" s="41"/>
      <c r="K29" s="41"/>
      <c r="L29" s="64"/>
      <c r="M29" s="79"/>
    </row>
    <row r="30" spans="1:13" ht="14">
      <c r="C30" s="45"/>
      <c r="D30" s="26"/>
      <c r="E30" s="41"/>
      <c r="F30" s="41"/>
      <c r="G30" s="41"/>
      <c r="H30" s="41"/>
      <c r="I30" s="41"/>
      <c r="K30" s="41"/>
      <c r="L30" s="64"/>
      <c r="M30" s="79"/>
    </row>
    <row r="31" spans="1:13" ht="14">
      <c r="C31" s="45"/>
      <c r="D31" s="26"/>
      <c r="E31" s="41"/>
      <c r="F31" s="41"/>
      <c r="G31" s="41"/>
      <c r="H31" s="41"/>
      <c r="I31" s="41"/>
      <c r="K31" s="41"/>
      <c r="L31" s="64"/>
      <c r="M31" s="79"/>
    </row>
    <row r="32" spans="1:13" ht="14">
      <c r="C32" s="45"/>
      <c r="D32" s="26"/>
      <c r="E32" s="41"/>
      <c r="F32" s="41"/>
      <c r="G32" s="41"/>
      <c r="H32" s="41"/>
      <c r="I32" s="41"/>
      <c r="K32" s="41"/>
      <c r="L32" s="64"/>
      <c r="M32" s="79"/>
    </row>
    <row r="33" spans="3:13" ht="14">
      <c r="C33" s="45"/>
      <c r="D33" s="26"/>
      <c r="E33" s="41"/>
      <c r="F33" s="41"/>
      <c r="G33" s="41"/>
      <c r="H33" s="41"/>
      <c r="I33" s="41"/>
      <c r="K33" s="41"/>
      <c r="L33" s="64"/>
      <c r="M33" s="79"/>
    </row>
    <row r="34" spans="3:13" ht="14">
      <c r="C34" s="45"/>
      <c r="D34" s="26"/>
      <c r="E34" s="41"/>
      <c r="F34" s="41"/>
      <c r="G34" s="41"/>
      <c r="H34" s="41"/>
      <c r="I34" s="41"/>
      <c r="K34" s="41"/>
      <c r="L34" s="64"/>
      <c r="M34" s="79"/>
    </row>
    <row r="35" spans="3:13" ht="14">
      <c r="C35" s="45"/>
      <c r="D35" s="26"/>
      <c r="E35" s="41"/>
      <c r="F35" s="41"/>
      <c r="G35" s="41"/>
      <c r="H35" s="41"/>
      <c r="I35" s="41"/>
      <c r="K35" s="41"/>
      <c r="L35" s="64"/>
      <c r="M35" s="79"/>
    </row>
    <row r="36" spans="3:13" ht="14">
      <c r="C36" s="45"/>
      <c r="D36" s="26"/>
      <c r="E36" s="41"/>
      <c r="F36" s="41"/>
      <c r="G36" s="41"/>
      <c r="H36" s="41"/>
      <c r="I36" s="41"/>
      <c r="K36" s="41"/>
      <c r="L36" s="64"/>
      <c r="M36" s="79"/>
    </row>
    <row r="37" spans="3:13" ht="14">
      <c r="C37" s="45"/>
      <c r="D37" s="26"/>
      <c r="E37" s="41"/>
      <c r="F37" s="41"/>
      <c r="G37" s="41"/>
      <c r="H37" s="41"/>
      <c r="I37" s="41"/>
      <c r="K37" s="41"/>
      <c r="L37" s="64"/>
      <c r="M37" s="79"/>
    </row>
    <row r="38" spans="3:13" ht="14">
      <c r="C38" s="45"/>
      <c r="D38" s="26"/>
      <c r="E38" s="41"/>
      <c r="F38" s="41"/>
      <c r="G38" s="41"/>
      <c r="H38" s="41"/>
      <c r="I38" s="41"/>
      <c r="K38" s="41"/>
      <c r="L38" s="64"/>
      <c r="M38" s="79"/>
    </row>
    <row r="39" spans="3:13" ht="14">
      <c r="C39" s="45"/>
      <c r="D39" s="26"/>
      <c r="E39" s="41"/>
      <c r="F39" s="41"/>
      <c r="G39" s="41"/>
      <c r="H39" s="41"/>
      <c r="I39" s="41"/>
      <c r="K39" s="41"/>
      <c r="L39" s="64"/>
      <c r="M39" s="79"/>
    </row>
    <row r="40" spans="3:13" ht="14">
      <c r="C40" s="45"/>
      <c r="D40" s="26"/>
      <c r="E40" s="41"/>
      <c r="F40" s="41"/>
      <c r="G40" s="41"/>
      <c r="H40" s="41"/>
      <c r="I40" s="41"/>
      <c r="K40" s="41"/>
      <c r="L40" s="64"/>
      <c r="M40" s="79"/>
    </row>
    <row r="41" spans="3:13" ht="14">
      <c r="C41" s="45"/>
      <c r="D41" s="26"/>
      <c r="E41" s="41"/>
      <c r="F41" s="41"/>
      <c r="G41" s="41"/>
      <c r="H41" s="41"/>
      <c r="I41" s="41"/>
      <c r="K41" s="41"/>
      <c r="L41" s="64"/>
      <c r="M41" s="79"/>
    </row>
    <row r="42" spans="3:13" ht="14">
      <c r="C42" s="45"/>
      <c r="D42" s="26"/>
      <c r="E42" s="41"/>
      <c r="F42" s="41"/>
      <c r="G42" s="41"/>
      <c r="H42" s="41"/>
      <c r="I42" s="41"/>
      <c r="K42" s="41"/>
      <c r="L42" s="64"/>
      <c r="M42" s="79"/>
    </row>
    <row r="43" spans="3:13" ht="14">
      <c r="C43" s="45"/>
      <c r="D43" s="26"/>
      <c r="E43" s="41"/>
      <c r="F43" s="41"/>
      <c r="G43" s="41"/>
      <c r="H43" s="41"/>
      <c r="I43" s="41"/>
      <c r="K43" s="41"/>
      <c r="L43" s="64"/>
      <c r="M43" s="79"/>
    </row>
    <row r="44" spans="3:13" ht="14">
      <c r="C44" s="45"/>
      <c r="D44" s="26"/>
      <c r="E44" s="41"/>
      <c r="F44" s="41"/>
      <c r="G44" s="41"/>
      <c r="H44" s="41"/>
      <c r="I44" s="41"/>
      <c r="K44" s="41"/>
      <c r="L44" s="64"/>
      <c r="M44" s="79"/>
    </row>
    <row r="45" spans="3:13" ht="14">
      <c r="C45" s="45"/>
      <c r="D45" s="26"/>
      <c r="E45" s="41"/>
      <c r="F45" s="41"/>
      <c r="G45" s="41"/>
      <c r="H45" s="41"/>
      <c r="I45" s="41"/>
      <c r="K45" s="41"/>
      <c r="L45" s="64"/>
      <c r="M45" s="79"/>
    </row>
    <row r="46" spans="3:13" ht="14">
      <c r="C46" s="45"/>
      <c r="D46" s="26"/>
      <c r="E46" s="41"/>
      <c r="F46" s="41"/>
      <c r="G46" s="41"/>
      <c r="H46" s="41"/>
      <c r="I46" s="41"/>
      <c r="K46" s="41"/>
      <c r="L46" s="64"/>
      <c r="M46" s="79"/>
    </row>
    <row r="47" spans="3:13" ht="14">
      <c r="C47" s="45"/>
      <c r="D47" s="26"/>
      <c r="E47" s="41"/>
      <c r="F47" s="41"/>
      <c r="G47" s="41"/>
      <c r="H47" s="41"/>
      <c r="I47" s="41"/>
      <c r="K47" s="41"/>
      <c r="L47" s="64"/>
      <c r="M47" s="79"/>
    </row>
    <row r="48" spans="3:13" ht="14">
      <c r="C48" s="45"/>
      <c r="D48" s="26"/>
      <c r="E48" s="41"/>
      <c r="F48" s="41"/>
      <c r="G48" s="41"/>
      <c r="H48" s="41"/>
      <c r="I48" s="41"/>
      <c r="K48" s="41"/>
      <c r="L48" s="64"/>
      <c r="M48" s="79"/>
    </row>
    <row r="49" spans="3:13" ht="14">
      <c r="C49" s="45"/>
      <c r="D49" s="26"/>
      <c r="E49" s="41"/>
      <c r="F49" s="41"/>
      <c r="G49" s="41"/>
      <c r="H49" s="41"/>
      <c r="I49" s="41"/>
      <c r="K49" s="41"/>
      <c r="L49" s="64"/>
      <c r="M49" s="79"/>
    </row>
    <row r="50" spans="3:13" ht="14">
      <c r="C50" s="45"/>
      <c r="D50" s="26"/>
      <c r="E50" s="41"/>
      <c r="F50" s="41"/>
      <c r="G50" s="41"/>
      <c r="H50" s="41"/>
      <c r="I50" s="41"/>
      <c r="K50" s="41"/>
      <c r="L50" s="64"/>
      <c r="M50" s="79"/>
    </row>
    <row r="51" spans="3:13" ht="14">
      <c r="C51" s="45"/>
      <c r="D51" s="26"/>
      <c r="E51" s="41"/>
      <c r="F51" s="41"/>
      <c r="G51" s="41"/>
      <c r="H51" s="41"/>
      <c r="I51" s="41"/>
      <c r="K51" s="41"/>
      <c r="L51" s="64"/>
      <c r="M51" s="79"/>
    </row>
    <row r="52" spans="3:13" ht="15.75" customHeight="1">
      <c r="C52" s="63"/>
      <c r="E52" s="41"/>
      <c r="F52" s="41"/>
      <c r="G52" s="41"/>
      <c r="H52" s="41"/>
      <c r="I52" s="41"/>
      <c r="K52" s="41"/>
      <c r="L52" s="64"/>
      <c r="M52" s="79"/>
    </row>
    <row r="53" spans="3:13" ht="15.75" customHeight="1">
      <c r="C53" s="63"/>
      <c r="E53" s="41"/>
      <c r="F53" s="41"/>
      <c r="G53" s="41"/>
      <c r="H53" s="41"/>
      <c r="I53" s="41"/>
      <c r="K53" s="41"/>
      <c r="L53" s="64"/>
      <c r="M53" s="79"/>
    </row>
    <row r="54" spans="3:13" ht="15.75" customHeight="1">
      <c r="C54" s="63"/>
      <c r="E54" s="41"/>
      <c r="F54" s="41"/>
      <c r="G54" s="41"/>
      <c r="H54" s="41"/>
      <c r="I54" s="41"/>
      <c r="K54" s="41"/>
      <c r="L54" s="64"/>
      <c r="M54" s="79"/>
    </row>
    <row r="55" spans="3:13" ht="15.75" customHeight="1">
      <c r="C55" s="63"/>
      <c r="E55" s="41"/>
      <c r="F55" s="41"/>
      <c r="G55" s="41"/>
      <c r="H55" s="41"/>
      <c r="I55" s="41"/>
      <c r="K55" s="41"/>
      <c r="L55" s="64"/>
      <c r="M55" s="79"/>
    </row>
    <row r="56" spans="3:13" ht="15.75" customHeight="1">
      <c r="C56" s="63"/>
      <c r="E56" s="41"/>
      <c r="F56" s="41"/>
      <c r="G56" s="41"/>
      <c r="H56" s="41"/>
      <c r="I56" s="41"/>
      <c r="K56" s="41"/>
      <c r="L56" s="64"/>
      <c r="M56" s="79"/>
    </row>
    <row r="57" spans="3:13" ht="15.75" customHeight="1">
      <c r="C57" s="63"/>
      <c r="E57" s="41"/>
      <c r="F57" s="41"/>
      <c r="G57" s="41"/>
      <c r="H57" s="41"/>
      <c r="I57" s="41"/>
      <c r="K57" s="41"/>
      <c r="L57" s="64"/>
      <c r="M57" s="79"/>
    </row>
    <row r="58" spans="3:13" ht="15.75" customHeight="1">
      <c r="C58" s="63"/>
      <c r="E58" s="41"/>
      <c r="F58" s="41"/>
      <c r="G58" s="41"/>
      <c r="H58" s="41"/>
      <c r="I58" s="41"/>
      <c r="K58" s="41"/>
      <c r="L58" s="64"/>
      <c r="M58" s="79"/>
    </row>
    <row r="59" spans="3:13" ht="15.75" customHeight="1">
      <c r="C59" s="63"/>
      <c r="E59" s="41"/>
      <c r="F59" s="41"/>
      <c r="G59" s="41"/>
      <c r="H59" s="41"/>
      <c r="I59" s="41"/>
      <c r="K59" s="41"/>
      <c r="L59" s="64"/>
      <c r="M59" s="79"/>
    </row>
    <row r="60" spans="3:13" ht="15.75" customHeight="1">
      <c r="C60" s="63"/>
      <c r="E60" s="41"/>
      <c r="F60" s="41"/>
      <c r="G60" s="41"/>
      <c r="H60" s="41"/>
      <c r="I60" s="41"/>
      <c r="K60" s="41"/>
      <c r="L60" s="64"/>
      <c r="M60" s="79"/>
    </row>
    <row r="61" spans="3:13" ht="13">
      <c r="C61" s="63"/>
      <c r="E61" s="41"/>
      <c r="F61" s="41"/>
      <c r="G61" s="41"/>
      <c r="H61" s="41"/>
      <c r="I61" s="41"/>
      <c r="K61" s="41"/>
      <c r="L61" s="64"/>
      <c r="M61" s="79"/>
    </row>
    <row r="62" spans="3:13" ht="13">
      <c r="C62" s="63"/>
      <c r="E62" s="41"/>
      <c r="F62" s="41"/>
      <c r="G62" s="41"/>
      <c r="H62" s="41"/>
      <c r="I62" s="41"/>
      <c r="K62" s="41"/>
      <c r="L62" s="64"/>
      <c r="M62" s="79"/>
    </row>
    <row r="63" spans="3:13" ht="13">
      <c r="C63" s="63"/>
      <c r="E63" s="41"/>
      <c r="F63" s="41"/>
      <c r="G63" s="41"/>
      <c r="H63" s="41"/>
      <c r="I63" s="41"/>
      <c r="K63" s="41"/>
      <c r="L63" s="64"/>
      <c r="M63" s="79"/>
    </row>
    <row r="64" spans="3:13" ht="13">
      <c r="C64" s="63"/>
      <c r="E64" s="41"/>
      <c r="F64" s="41"/>
      <c r="G64" s="41"/>
      <c r="H64" s="41"/>
      <c r="I64" s="41"/>
      <c r="K64" s="41"/>
      <c r="L64" s="64"/>
      <c r="M64" s="79"/>
    </row>
    <row r="65" spans="3:13" ht="13">
      <c r="C65" s="63"/>
      <c r="E65" s="41"/>
      <c r="F65" s="41"/>
      <c r="G65" s="41"/>
      <c r="H65" s="41"/>
      <c r="I65" s="41"/>
      <c r="K65" s="41"/>
      <c r="L65" s="64"/>
      <c r="M65" s="79"/>
    </row>
    <row r="66" spans="3:13" ht="13">
      <c r="C66" s="63"/>
      <c r="E66" s="41"/>
      <c r="F66" s="41"/>
      <c r="G66" s="41"/>
      <c r="H66" s="41"/>
      <c r="I66" s="41"/>
      <c r="K66" s="41"/>
      <c r="L66" s="64"/>
      <c r="M66" s="79"/>
    </row>
    <row r="67" spans="3:13" ht="13">
      <c r="C67" s="63"/>
      <c r="E67" s="41"/>
      <c r="F67" s="41"/>
      <c r="G67" s="41"/>
      <c r="H67" s="41"/>
      <c r="I67" s="41"/>
      <c r="K67" s="41"/>
      <c r="L67" s="64"/>
      <c r="M67" s="79"/>
    </row>
    <row r="68" spans="3:13" ht="13">
      <c r="C68" s="63"/>
      <c r="E68" s="41"/>
      <c r="F68" s="41"/>
      <c r="G68" s="41"/>
      <c r="H68" s="41"/>
      <c r="I68" s="41"/>
      <c r="K68" s="41"/>
      <c r="L68" s="64"/>
      <c r="M68" s="79"/>
    </row>
    <row r="69" spans="3:13" ht="13">
      <c r="C69" s="63"/>
      <c r="E69" s="41"/>
      <c r="F69" s="41"/>
      <c r="G69" s="41"/>
      <c r="H69" s="41"/>
      <c r="I69" s="41"/>
      <c r="K69" s="41"/>
      <c r="L69" s="64"/>
      <c r="M69" s="79"/>
    </row>
    <row r="70" spans="3:13" ht="13">
      <c r="C70" s="63"/>
      <c r="E70" s="41"/>
      <c r="F70" s="41"/>
      <c r="G70" s="41"/>
      <c r="H70" s="41"/>
      <c r="I70" s="41"/>
      <c r="K70" s="41"/>
      <c r="L70" s="64"/>
      <c r="M70" s="79"/>
    </row>
    <row r="71" spans="3:13" ht="13">
      <c r="C71" s="63"/>
      <c r="E71" s="41"/>
      <c r="F71" s="41"/>
      <c r="G71" s="41"/>
      <c r="H71" s="41"/>
      <c r="I71" s="41"/>
      <c r="K71" s="41"/>
      <c r="L71" s="64"/>
      <c r="M71" s="79"/>
    </row>
    <row r="72" spans="3:13" ht="13">
      <c r="C72" s="63"/>
      <c r="E72" s="41"/>
      <c r="F72" s="41"/>
      <c r="G72" s="41"/>
      <c r="H72" s="41"/>
      <c r="I72" s="41"/>
      <c r="K72" s="41"/>
      <c r="L72" s="64"/>
      <c r="M72" s="79"/>
    </row>
    <row r="73" spans="3:13" ht="13">
      <c r="C73" s="63"/>
      <c r="E73" s="41"/>
      <c r="F73" s="41"/>
      <c r="G73" s="41"/>
      <c r="H73" s="41"/>
      <c r="I73" s="41"/>
      <c r="K73" s="41"/>
      <c r="L73" s="64"/>
      <c r="M73" s="79"/>
    </row>
    <row r="74" spans="3:13" ht="13">
      <c r="C74" s="63"/>
      <c r="E74" s="41"/>
      <c r="F74" s="41"/>
      <c r="G74" s="41"/>
      <c r="H74" s="41"/>
      <c r="I74" s="41"/>
      <c r="K74" s="41"/>
      <c r="L74" s="64"/>
      <c r="M74" s="79"/>
    </row>
    <row r="75" spans="3:13" ht="13">
      <c r="C75" s="63"/>
      <c r="E75" s="41"/>
      <c r="F75" s="41"/>
      <c r="G75" s="41"/>
      <c r="H75" s="41"/>
      <c r="I75" s="41"/>
      <c r="K75" s="41"/>
      <c r="L75" s="64"/>
      <c r="M75" s="79"/>
    </row>
    <row r="76" spans="3:13" ht="13">
      <c r="C76" s="63"/>
      <c r="E76" s="41"/>
      <c r="F76" s="41"/>
      <c r="G76" s="41"/>
      <c r="H76" s="41"/>
      <c r="I76" s="41"/>
      <c r="K76" s="41"/>
      <c r="L76" s="64"/>
      <c r="M76" s="79"/>
    </row>
    <row r="77" spans="3:13" ht="13">
      <c r="C77" s="63"/>
      <c r="E77" s="41"/>
      <c r="F77" s="41"/>
      <c r="G77" s="41"/>
      <c r="H77" s="41"/>
      <c r="I77" s="41"/>
      <c r="K77" s="41"/>
      <c r="L77" s="64"/>
      <c r="M77" s="79"/>
    </row>
    <row r="78" spans="3:13" ht="13">
      <c r="C78" s="63"/>
      <c r="E78" s="41"/>
      <c r="F78" s="41"/>
      <c r="G78" s="41"/>
      <c r="H78" s="41"/>
      <c r="I78" s="41"/>
      <c r="K78" s="41"/>
      <c r="L78" s="64"/>
      <c r="M78" s="79"/>
    </row>
    <row r="79" spans="3:13" ht="13">
      <c r="C79" s="63"/>
      <c r="E79" s="41"/>
      <c r="F79" s="41"/>
      <c r="G79" s="41"/>
      <c r="H79" s="41"/>
      <c r="I79" s="41"/>
      <c r="K79" s="41"/>
      <c r="L79" s="64"/>
      <c r="M79" s="79"/>
    </row>
    <row r="80" spans="3:13" ht="13">
      <c r="C80" s="63"/>
      <c r="E80" s="41"/>
      <c r="F80" s="41"/>
      <c r="G80" s="41"/>
      <c r="H80" s="41"/>
      <c r="I80" s="41"/>
      <c r="K80" s="41"/>
      <c r="L80" s="64"/>
      <c r="M80" s="79"/>
    </row>
    <row r="81" spans="3:13" ht="13">
      <c r="C81" s="63"/>
      <c r="E81" s="41"/>
      <c r="F81" s="41"/>
      <c r="G81" s="41"/>
      <c r="H81" s="41"/>
      <c r="I81" s="41"/>
      <c r="K81" s="41"/>
      <c r="L81" s="64"/>
      <c r="M81" s="79"/>
    </row>
    <row r="82" spans="3:13" ht="13">
      <c r="C82" s="63"/>
      <c r="E82" s="41"/>
      <c r="F82" s="41"/>
      <c r="G82" s="41"/>
      <c r="H82" s="41"/>
      <c r="I82" s="41"/>
      <c r="K82" s="41"/>
      <c r="L82" s="64"/>
      <c r="M82" s="79"/>
    </row>
    <row r="83" spans="3:13" ht="13">
      <c r="C83" s="63"/>
      <c r="E83" s="41"/>
      <c r="F83" s="41"/>
      <c r="G83" s="41"/>
      <c r="H83" s="41"/>
      <c r="I83" s="41"/>
      <c r="K83" s="41"/>
      <c r="L83" s="64"/>
      <c r="M83" s="79"/>
    </row>
    <row r="84" spans="3:13" ht="13">
      <c r="C84" s="63"/>
      <c r="E84" s="41"/>
      <c r="F84" s="41"/>
      <c r="G84" s="41"/>
      <c r="H84" s="41"/>
      <c r="I84" s="41"/>
      <c r="K84" s="41"/>
      <c r="L84" s="64"/>
      <c r="M84" s="79"/>
    </row>
    <row r="85" spans="3:13" ht="13">
      <c r="C85" s="63"/>
      <c r="E85" s="41"/>
      <c r="F85" s="41"/>
      <c r="G85" s="41"/>
      <c r="H85" s="41"/>
      <c r="I85" s="41"/>
      <c r="K85" s="41"/>
      <c r="L85" s="64"/>
      <c r="M85" s="79"/>
    </row>
    <row r="86" spans="3:13" ht="13">
      <c r="C86" s="63"/>
      <c r="E86" s="41"/>
      <c r="F86" s="41"/>
      <c r="G86" s="41"/>
      <c r="H86" s="41"/>
      <c r="I86" s="41"/>
      <c r="K86" s="41"/>
      <c r="L86" s="64"/>
      <c r="M86" s="79"/>
    </row>
    <row r="87" spans="3:13" ht="13">
      <c r="C87" s="63"/>
      <c r="E87" s="41"/>
      <c r="F87" s="41"/>
      <c r="G87" s="41"/>
      <c r="H87" s="41"/>
      <c r="I87" s="41"/>
      <c r="K87" s="41"/>
      <c r="L87" s="64"/>
      <c r="M87" s="79"/>
    </row>
    <row r="88" spans="3:13" ht="13">
      <c r="C88" s="63"/>
      <c r="E88" s="41"/>
      <c r="F88" s="41"/>
      <c r="G88" s="41"/>
      <c r="H88" s="41"/>
      <c r="I88" s="41"/>
      <c r="K88" s="41"/>
      <c r="L88" s="64"/>
      <c r="M88" s="79"/>
    </row>
    <row r="89" spans="3:13" ht="13">
      <c r="C89" s="63"/>
      <c r="E89" s="41"/>
      <c r="F89" s="41"/>
      <c r="G89" s="41"/>
      <c r="H89" s="41"/>
      <c r="I89" s="41"/>
      <c r="K89" s="41"/>
      <c r="L89" s="64"/>
      <c r="M89" s="79"/>
    </row>
    <row r="90" spans="3:13" ht="13">
      <c r="C90" s="63"/>
      <c r="E90" s="41"/>
      <c r="F90" s="41"/>
      <c r="G90" s="41"/>
      <c r="H90" s="41"/>
      <c r="I90" s="41"/>
      <c r="K90" s="41"/>
      <c r="L90" s="64"/>
      <c r="M90" s="79"/>
    </row>
    <row r="91" spans="3:13" ht="13">
      <c r="C91" s="63"/>
      <c r="E91" s="41"/>
      <c r="F91" s="41"/>
      <c r="G91" s="41"/>
      <c r="H91" s="41"/>
      <c r="I91" s="41"/>
      <c r="K91" s="41"/>
      <c r="L91" s="64"/>
      <c r="M91" s="79"/>
    </row>
    <row r="92" spans="3:13" ht="13">
      <c r="C92" s="63"/>
      <c r="E92" s="41"/>
      <c r="F92" s="41"/>
      <c r="G92" s="41"/>
      <c r="H92" s="41"/>
      <c r="I92" s="41"/>
      <c r="K92" s="41"/>
      <c r="L92" s="64"/>
      <c r="M92" s="79"/>
    </row>
    <row r="93" spans="3:13" ht="13">
      <c r="C93" s="63"/>
      <c r="E93" s="41"/>
      <c r="F93" s="41"/>
      <c r="G93" s="41"/>
      <c r="H93" s="41"/>
      <c r="I93" s="41"/>
      <c r="K93" s="41"/>
      <c r="L93" s="64"/>
      <c r="M93" s="79"/>
    </row>
    <row r="94" spans="3:13" ht="13">
      <c r="C94" s="63"/>
      <c r="E94" s="41"/>
      <c r="F94" s="41"/>
      <c r="G94" s="41"/>
      <c r="H94" s="41"/>
      <c r="I94" s="41"/>
      <c r="K94" s="41"/>
      <c r="L94" s="64"/>
      <c r="M94" s="79"/>
    </row>
    <row r="95" spans="3:13" ht="13">
      <c r="C95" s="63"/>
      <c r="E95" s="41"/>
      <c r="F95" s="41"/>
      <c r="G95" s="41"/>
      <c r="H95" s="41"/>
      <c r="I95" s="41"/>
      <c r="K95" s="41"/>
      <c r="L95" s="64"/>
      <c r="M95" s="79"/>
    </row>
    <row r="96" spans="3:13" ht="13">
      <c r="C96" s="63"/>
      <c r="E96" s="41"/>
      <c r="F96" s="41"/>
      <c r="G96" s="41"/>
      <c r="H96" s="41"/>
      <c r="I96" s="41"/>
      <c r="K96" s="41"/>
      <c r="L96" s="64"/>
      <c r="M96" s="79"/>
    </row>
    <row r="97" spans="3:13" ht="13">
      <c r="C97" s="63"/>
      <c r="E97" s="41"/>
      <c r="F97" s="41"/>
      <c r="G97" s="41"/>
      <c r="H97" s="41"/>
      <c r="I97" s="41"/>
      <c r="K97" s="41"/>
      <c r="L97" s="64"/>
      <c r="M97" s="79"/>
    </row>
    <row r="98" spans="3:13" ht="13">
      <c r="C98" s="63"/>
      <c r="E98" s="41"/>
      <c r="F98" s="41"/>
      <c r="G98" s="41"/>
      <c r="H98" s="41"/>
      <c r="I98" s="41"/>
      <c r="K98" s="41"/>
      <c r="L98" s="64"/>
      <c r="M98" s="79"/>
    </row>
    <row r="99" spans="3:13" ht="13">
      <c r="C99" s="63"/>
      <c r="E99" s="41"/>
      <c r="F99" s="41"/>
      <c r="G99" s="41"/>
      <c r="H99" s="41"/>
      <c r="I99" s="41"/>
      <c r="K99" s="41"/>
      <c r="L99" s="64"/>
      <c r="M99" s="79"/>
    </row>
    <row r="100" spans="3:13" ht="13">
      <c r="C100" s="63"/>
      <c r="E100" s="41"/>
      <c r="F100" s="41"/>
      <c r="G100" s="41"/>
      <c r="H100" s="41"/>
      <c r="I100" s="41"/>
      <c r="K100" s="41"/>
      <c r="L100" s="64"/>
      <c r="M100" s="79"/>
    </row>
    <row r="101" spans="3:13" ht="13">
      <c r="C101" s="63"/>
      <c r="E101" s="41"/>
      <c r="F101" s="41"/>
      <c r="G101" s="41"/>
      <c r="H101" s="41"/>
      <c r="I101" s="41"/>
      <c r="K101" s="41"/>
      <c r="L101" s="64"/>
      <c r="M101" s="79"/>
    </row>
    <row r="102" spans="3:13" ht="13">
      <c r="C102" s="63"/>
      <c r="E102" s="41"/>
      <c r="F102" s="41"/>
      <c r="G102" s="41"/>
      <c r="H102" s="41"/>
      <c r="I102" s="41"/>
      <c r="K102" s="41"/>
      <c r="L102" s="64"/>
      <c r="M102" s="79"/>
    </row>
    <row r="103" spans="3:13" ht="13">
      <c r="C103" s="63"/>
      <c r="E103" s="41"/>
      <c r="F103" s="41"/>
      <c r="G103" s="41"/>
      <c r="H103" s="41"/>
      <c r="I103" s="41"/>
      <c r="K103" s="41"/>
      <c r="L103" s="64"/>
      <c r="M103" s="79"/>
    </row>
    <row r="104" spans="3:13" ht="13">
      <c r="C104" s="63"/>
      <c r="E104" s="41"/>
      <c r="F104" s="41"/>
      <c r="G104" s="41"/>
      <c r="H104" s="41"/>
      <c r="I104" s="41"/>
      <c r="K104" s="41"/>
      <c r="L104" s="64"/>
      <c r="M104" s="79"/>
    </row>
    <row r="105" spans="3:13" ht="13">
      <c r="C105" s="63"/>
      <c r="E105" s="41"/>
      <c r="F105" s="41"/>
      <c r="G105" s="41"/>
      <c r="H105" s="41"/>
      <c r="I105" s="41"/>
      <c r="K105" s="41"/>
      <c r="L105" s="64"/>
      <c r="M105" s="79"/>
    </row>
    <row r="106" spans="3:13" ht="13">
      <c r="C106" s="63"/>
      <c r="E106" s="41"/>
      <c r="F106" s="41"/>
      <c r="G106" s="41"/>
      <c r="H106" s="41"/>
      <c r="I106" s="41"/>
      <c r="K106" s="41"/>
      <c r="L106" s="64"/>
      <c r="M106" s="79"/>
    </row>
    <row r="107" spans="3:13" ht="13">
      <c r="C107" s="63"/>
      <c r="E107" s="41"/>
      <c r="F107" s="41"/>
      <c r="G107" s="41"/>
      <c r="H107" s="41"/>
      <c r="I107" s="41"/>
      <c r="K107" s="41"/>
      <c r="L107" s="64"/>
      <c r="M107" s="79"/>
    </row>
    <row r="108" spans="3:13" ht="13">
      <c r="C108" s="63"/>
      <c r="E108" s="41"/>
      <c r="F108" s="41"/>
      <c r="G108" s="41"/>
      <c r="H108" s="41"/>
      <c r="I108" s="41"/>
      <c r="K108" s="41"/>
      <c r="L108" s="64"/>
      <c r="M108" s="79"/>
    </row>
    <row r="109" spans="3:13" ht="13">
      <c r="C109" s="63"/>
      <c r="E109" s="41"/>
      <c r="F109" s="41"/>
      <c r="G109" s="41"/>
      <c r="H109" s="41"/>
      <c r="I109" s="41"/>
      <c r="K109" s="41"/>
      <c r="L109" s="64"/>
      <c r="M109" s="79"/>
    </row>
    <row r="110" spans="3:13" ht="13">
      <c r="C110" s="63"/>
      <c r="E110" s="41"/>
      <c r="F110" s="41"/>
      <c r="G110" s="41"/>
      <c r="H110" s="41"/>
      <c r="I110" s="41"/>
      <c r="K110" s="41"/>
      <c r="L110" s="64"/>
      <c r="M110" s="79"/>
    </row>
    <row r="111" spans="3:13" ht="13">
      <c r="C111" s="63"/>
      <c r="E111" s="41"/>
      <c r="F111" s="41"/>
      <c r="G111" s="41"/>
      <c r="H111" s="41"/>
      <c r="I111" s="41"/>
      <c r="K111" s="41"/>
      <c r="L111" s="64"/>
      <c r="M111" s="79"/>
    </row>
    <row r="112" spans="3:13" ht="13">
      <c r="C112" s="63"/>
      <c r="E112" s="41"/>
      <c r="F112" s="41"/>
      <c r="G112" s="41"/>
      <c r="H112" s="41"/>
      <c r="I112" s="41"/>
      <c r="K112" s="41"/>
      <c r="L112" s="64"/>
      <c r="M112" s="79"/>
    </row>
    <row r="113" spans="3:13" ht="13">
      <c r="C113" s="63"/>
      <c r="E113" s="41"/>
      <c r="F113" s="41"/>
      <c r="G113" s="41"/>
      <c r="H113" s="41"/>
      <c r="I113" s="41"/>
      <c r="K113" s="41"/>
      <c r="L113" s="64"/>
      <c r="M113" s="79"/>
    </row>
    <row r="114" spans="3:13" ht="13">
      <c r="C114" s="63"/>
      <c r="E114" s="41"/>
      <c r="F114" s="41"/>
      <c r="G114" s="41"/>
      <c r="H114" s="41"/>
      <c r="I114" s="41"/>
      <c r="K114" s="41"/>
      <c r="L114" s="64"/>
      <c r="M114" s="79"/>
    </row>
    <row r="115" spans="3:13" ht="13">
      <c r="C115" s="63"/>
      <c r="E115" s="41"/>
      <c r="F115" s="41"/>
      <c r="G115" s="41"/>
      <c r="H115" s="41"/>
      <c r="I115" s="41"/>
      <c r="K115" s="41"/>
      <c r="L115" s="64"/>
      <c r="M115" s="79"/>
    </row>
    <row r="116" spans="3:13" ht="13">
      <c r="C116" s="63"/>
      <c r="E116" s="41"/>
      <c r="F116" s="41"/>
      <c r="G116" s="41"/>
      <c r="H116" s="41"/>
      <c r="I116" s="41"/>
      <c r="K116" s="41"/>
      <c r="L116" s="64"/>
      <c r="M116" s="79"/>
    </row>
    <row r="117" spans="3:13" ht="13">
      <c r="C117" s="63"/>
      <c r="E117" s="41"/>
      <c r="F117" s="41"/>
      <c r="G117" s="41"/>
      <c r="H117" s="41"/>
      <c r="I117" s="41"/>
      <c r="K117" s="41"/>
      <c r="L117" s="64"/>
      <c r="M117" s="79"/>
    </row>
    <row r="118" spans="3:13" ht="13">
      <c r="C118" s="63"/>
      <c r="E118" s="41"/>
      <c r="F118" s="41"/>
      <c r="G118" s="41"/>
      <c r="H118" s="41"/>
      <c r="I118" s="41"/>
      <c r="K118" s="41"/>
      <c r="L118" s="64"/>
      <c r="M118" s="79"/>
    </row>
    <row r="119" spans="3:13" ht="13">
      <c r="C119" s="63"/>
      <c r="E119" s="41"/>
      <c r="F119" s="41"/>
      <c r="G119" s="41"/>
      <c r="H119" s="41"/>
      <c r="I119" s="41"/>
      <c r="K119" s="41"/>
      <c r="L119" s="64"/>
      <c r="M119" s="79"/>
    </row>
    <row r="120" spans="3:13" ht="13">
      <c r="C120" s="63"/>
      <c r="E120" s="41"/>
      <c r="F120" s="41"/>
      <c r="G120" s="41"/>
      <c r="H120" s="41"/>
      <c r="I120" s="41"/>
      <c r="K120" s="41"/>
      <c r="L120" s="64"/>
      <c r="M120" s="79"/>
    </row>
    <row r="121" spans="3:13" ht="13">
      <c r="C121" s="63"/>
      <c r="E121" s="41"/>
      <c r="F121" s="41"/>
      <c r="G121" s="41"/>
      <c r="H121" s="41"/>
      <c r="I121" s="41"/>
      <c r="K121" s="41"/>
      <c r="L121" s="64"/>
      <c r="M121" s="79"/>
    </row>
    <row r="122" spans="3:13" ht="13">
      <c r="C122" s="63"/>
      <c r="E122" s="41"/>
      <c r="F122" s="41"/>
      <c r="G122" s="41"/>
      <c r="H122" s="41"/>
      <c r="I122" s="41"/>
      <c r="K122" s="41"/>
      <c r="L122" s="64"/>
      <c r="M122" s="79"/>
    </row>
    <row r="123" spans="3:13" ht="13">
      <c r="C123" s="63"/>
      <c r="E123" s="41"/>
      <c r="F123" s="41"/>
      <c r="G123" s="41"/>
      <c r="H123" s="41"/>
      <c r="I123" s="41"/>
      <c r="K123" s="41"/>
      <c r="L123" s="64"/>
      <c r="M123" s="79"/>
    </row>
    <row r="124" spans="3:13" ht="13">
      <c r="C124" s="63"/>
      <c r="E124" s="41"/>
      <c r="F124" s="41"/>
      <c r="G124" s="41"/>
      <c r="H124" s="41"/>
      <c r="I124" s="41"/>
      <c r="K124" s="41"/>
      <c r="L124" s="64"/>
      <c r="M124" s="79"/>
    </row>
    <row r="125" spans="3:13" ht="13">
      <c r="C125" s="63"/>
      <c r="E125" s="41"/>
      <c r="F125" s="41"/>
      <c r="G125" s="41"/>
      <c r="H125" s="41"/>
      <c r="I125" s="41"/>
      <c r="K125" s="41"/>
      <c r="L125" s="64"/>
      <c r="M125" s="79"/>
    </row>
    <row r="126" spans="3:13" ht="13">
      <c r="C126" s="63"/>
      <c r="E126" s="41"/>
      <c r="F126" s="41"/>
      <c r="G126" s="41"/>
      <c r="H126" s="41"/>
      <c r="I126" s="41"/>
      <c r="K126" s="41"/>
      <c r="L126" s="64"/>
      <c r="M126" s="79"/>
    </row>
    <row r="127" spans="3:13" ht="13">
      <c r="C127" s="63"/>
      <c r="E127" s="41"/>
      <c r="F127" s="41"/>
      <c r="G127" s="41"/>
      <c r="H127" s="41"/>
      <c r="I127" s="41"/>
      <c r="K127" s="41"/>
      <c r="L127" s="64"/>
      <c r="M127" s="79"/>
    </row>
    <row r="128" spans="3:13" ht="13">
      <c r="C128" s="63"/>
      <c r="E128" s="41"/>
      <c r="F128" s="41"/>
      <c r="G128" s="41"/>
      <c r="H128" s="41"/>
      <c r="I128" s="41"/>
      <c r="K128" s="41"/>
      <c r="L128" s="64"/>
      <c r="M128" s="79"/>
    </row>
    <row r="129" spans="3:13" ht="13">
      <c r="C129" s="63"/>
      <c r="E129" s="41"/>
      <c r="F129" s="41"/>
      <c r="G129" s="41"/>
      <c r="H129" s="41"/>
      <c r="I129" s="41"/>
      <c r="K129" s="41"/>
      <c r="L129" s="64"/>
      <c r="M129" s="79"/>
    </row>
    <row r="130" spans="3:13" ht="13">
      <c r="C130" s="63"/>
      <c r="E130" s="41"/>
      <c r="F130" s="41"/>
      <c r="G130" s="41"/>
      <c r="H130" s="41"/>
      <c r="I130" s="41"/>
      <c r="K130" s="41"/>
      <c r="L130" s="64"/>
      <c r="M130" s="79"/>
    </row>
    <row r="131" spans="3:13" ht="13">
      <c r="C131" s="63"/>
      <c r="E131" s="41"/>
      <c r="F131" s="41"/>
      <c r="G131" s="41"/>
      <c r="H131" s="41"/>
      <c r="I131" s="41"/>
      <c r="K131" s="41"/>
      <c r="L131" s="64"/>
      <c r="M131" s="79"/>
    </row>
    <row r="132" spans="3:13" ht="13">
      <c r="C132" s="63"/>
      <c r="E132" s="41"/>
      <c r="F132" s="41"/>
      <c r="G132" s="41"/>
      <c r="H132" s="41"/>
      <c r="I132" s="41"/>
      <c r="K132" s="41"/>
      <c r="L132" s="64"/>
      <c r="M132" s="79"/>
    </row>
    <row r="133" spans="3:13" ht="13">
      <c r="C133" s="63"/>
      <c r="E133" s="41"/>
      <c r="F133" s="41"/>
      <c r="G133" s="41"/>
      <c r="H133" s="41"/>
      <c r="I133" s="41"/>
      <c r="K133" s="41"/>
      <c r="L133" s="64"/>
      <c r="M133" s="79"/>
    </row>
    <row r="134" spans="3:13" ht="13">
      <c r="C134" s="63"/>
      <c r="E134" s="41"/>
      <c r="F134" s="41"/>
      <c r="G134" s="41"/>
      <c r="H134" s="41"/>
      <c r="I134" s="41"/>
      <c r="K134" s="41"/>
      <c r="L134" s="64"/>
      <c r="M134" s="79"/>
    </row>
    <row r="135" spans="3:13" ht="13">
      <c r="C135" s="63"/>
      <c r="E135" s="41"/>
      <c r="F135" s="41"/>
      <c r="G135" s="41"/>
      <c r="H135" s="41"/>
      <c r="I135" s="41"/>
      <c r="K135" s="41"/>
      <c r="L135" s="64"/>
      <c r="M135" s="79"/>
    </row>
    <row r="136" spans="3:13" ht="13">
      <c r="C136" s="63"/>
      <c r="E136" s="41"/>
      <c r="F136" s="41"/>
      <c r="G136" s="41"/>
      <c r="H136" s="41"/>
      <c r="I136" s="41"/>
      <c r="K136" s="41"/>
      <c r="L136" s="64"/>
      <c r="M136" s="79"/>
    </row>
    <row r="137" spans="3:13" ht="13">
      <c r="C137" s="63"/>
      <c r="E137" s="41"/>
      <c r="F137" s="41"/>
      <c r="G137" s="41"/>
      <c r="H137" s="41"/>
      <c r="I137" s="41"/>
      <c r="K137" s="41"/>
      <c r="L137" s="64"/>
      <c r="M137" s="79"/>
    </row>
    <row r="138" spans="3:13" ht="13">
      <c r="C138" s="63"/>
      <c r="E138" s="41"/>
      <c r="F138" s="41"/>
      <c r="G138" s="41"/>
      <c r="H138" s="41"/>
      <c r="I138" s="41"/>
      <c r="K138" s="41"/>
      <c r="L138" s="64"/>
      <c r="M138" s="79"/>
    </row>
    <row r="139" spans="3:13" ht="13">
      <c r="C139" s="63"/>
      <c r="E139" s="41"/>
      <c r="F139" s="41"/>
      <c r="G139" s="41"/>
      <c r="H139" s="41"/>
      <c r="I139" s="41"/>
      <c r="K139" s="41"/>
      <c r="L139" s="64"/>
      <c r="M139" s="79"/>
    </row>
    <row r="140" spans="3:13" ht="13">
      <c r="C140" s="63"/>
      <c r="E140" s="41"/>
      <c r="F140" s="41"/>
      <c r="G140" s="41"/>
      <c r="H140" s="41"/>
      <c r="I140" s="41"/>
      <c r="K140" s="41"/>
      <c r="L140" s="64"/>
      <c r="M140" s="79"/>
    </row>
    <row r="141" spans="3:13" ht="13">
      <c r="C141" s="63"/>
      <c r="E141" s="41"/>
      <c r="F141" s="41"/>
      <c r="G141" s="41"/>
      <c r="H141" s="41"/>
      <c r="I141" s="41"/>
      <c r="K141" s="41"/>
      <c r="L141" s="64"/>
      <c r="M141" s="79"/>
    </row>
    <row r="142" spans="3:13" ht="13">
      <c r="C142" s="63"/>
      <c r="E142" s="41"/>
      <c r="F142" s="41"/>
      <c r="G142" s="41"/>
      <c r="H142" s="41"/>
      <c r="I142" s="41"/>
      <c r="K142" s="41"/>
      <c r="L142" s="64"/>
      <c r="M142" s="79"/>
    </row>
    <row r="143" spans="3:13" ht="13">
      <c r="C143" s="63"/>
      <c r="E143" s="41"/>
      <c r="F143" s="41"/>
      <c r="G143" s="41"/>
      <c r="H143" s="41"/>
      <c r="I143" s="41"/>
      <c r="K143" s="41"/>
      <c r="L143" s="64"/>
      <c r="M143" s="79"/>
    </row>
    <row r="144" spans="3:13" ht="13">
      <c r="C144" s="63"/>
      <c r="E144" s="41"/>
      <c r="F144" s="41"/>
      <c r="G144" s="41"/>
      <c r="H144" s="41"/>
      <c r="I144" s="41"/>
      <c r="K144" s="41"/>
      <c r="L144" s="64"/>
      <c r="M144" s="79"/>
    </row>
    <row r="145" spans="3:13" ht="13">
      <c r="C145" s="63"/>
      <c r="E145" s="41"/>
      <c r="F145" s="41"/>
      <c r="G145" s="41"/>
      <c r="H145" s="41"/>
      <c r="I145" s="41"/>
      <c r="K145" s="41"/>
      <c r="L145" s="64"/>
      <c r="M145" s="79"/>
    </row>
    <row r="146" spans="3:13" ht="13">
      <c r="C146" s="63"/>
      <c r="E146" s="41"/>
      <c r="F146" s="41"/>
      <c r="G146" s="41"/>
      <c r="H146" s="41"/>
      <c r="I146" s="41"/>
      <c r="K146" s="41"/>
      <c r="L146" s="64"/>
      <c r="M146" s="79"/>
    </row>
    <row r="147" spans="3:13" ht="13">
      <c r="C147" s="63"/>
      <c r="E147" s="41"/>
      <c r="F147" s="41"/>
      <c r="G147" s="41"/>
      <c r="H147" s="41"/>
      <c r="I147" s="41"/>
      <c r="K147" s="41"/>
      <c r="L147" s="64"/>
      <c r="M147" s="79"/>
    </row>
    <row r="148" spans="3:13" ht="13">
      <c r="C148" s="63"/>
      <c r="E148" s="41"/>
      <c r="F148" s="41"/>
      <c r="G148" s="41"/>
      <c r="H148" s="41"/>
      <c r="I148" s="41"/>
      <c r="K148" s="41"/>
      <c r="L148" s="64"/>
      <c r="M148" s="79"/>
    </row>
    <row r="149" spans="3:13" ht="13">
      <c r="C149" s="63"/>
      <c r="E149" s="41"/>
      <c r="F149" s="41"/>
      <c r="G149" s="41"/>
      <c r="H149" s="41"/>
      <c r="I149" s="41"/>
      <c r="K149" s="41"/>
      <c r="L149" s="64"/>
      <c r="M149" s="79"/>
    </row>
    <row r="150" spans="3:13" ht="13">
      <c r="C150" s="63"/>
      <c r="E150" s="41"/>
      <c r="F150" s="41"/>
      <c r="G150" s="41"/>
      <c r="H150" s="41"/>
      <c r="I150" s="41"/>
      <c r="K150" s="41"/>
      <c r="L150" s="64"/>
      <c r="M150" s="79"/>
    </row>
    <row r="151" spans="3:13" ht="13">
      <c r="C151" s="63"/>
      <c r="E151" s="41"/>
      <c r="F151" s="41"/>
      <c r="G151" s="41"/>
      <c r="H151" s="41"/>
      <c r="I151" s="41"/>
      <c r="K151" s="41"/>
      <c r="L151" s="64"/>
      <c r="M151" s="79"/>
    </row>
    <row r="152" spans="3:13" ht="13">
      <c r="C152" s="63"/>
      <c r="E152" s="41"/>
      <c r="F152" s="41"/>
      <c r="G152" s="41"/>
      <c r="H152" s="41"/>
      <c r="I152" s="41"/>
      <c r="K152" s="41"/>
      <c r="L152" s="64"/>
      <c r="M152" s="79"/>
    </row>
    <row r="153" spans="3:13" ht="13">
      <c r="C153" s="63"/>
      <c r="E153" s="41"/>
      <c r="F153" s="41"/>
      <c r="G153" s="41"/>
      <c r="H153" s="41"/>
      <c r="I153" s="41"/>
      <c r="K153" s="41"/>
      <c r="L153" s="64"/>
      <c r="M153" s="79"/>
    </row>
    <row r="154" spans="3:13" ht="13">
      <c r="C154" s="63"/>
      <c r="E154" s="41"/>
      <c r="F154" s="41"/>
      <c r="G154" s="41"/>
      <c r="H154" s="41"/>
      <c r="I154" s="41"/>
      <c r="K154" s="41"/>
      <c r="L154" s="64"/>
      <c r="M154" s="79"/>
    </row>
    <row r="155" spans="3:13" ht="13">
      <c r="C155" s="63"/>
      <c r="E155" s="41"/>
      <c r="F155" s="41"/>
      <c r="G155" s="41"/>
      <c r="H155" s="41"/>
      <c r="I155" s="41"/>
      <c r="K155" s="41"/>
      <c r="L155" s="64"/>
      <c r="M155" s="79"/>
    </row>
    <row r="156" spans="3:13" ht="13">
      <c r="C156" s="63"/>
      <c r="E156" s="41"/>
      <c r="F156" s="41"/>
      <c r="G156" s="41"/>
      <c r="H156" s="41"/>
      <c r="I156" s="41"/>
      <c r="K156" s="41"/>
      <c r="L156" s="64"/>
      <c r="M156" s="79"/>
    </row>
    <row r="157" spans="3:13" ht="13">
      <c r="C157" s="63"/>
      <c r="E157" s="41"/>
      <c r="F157" s="41"/>
      <c r="G157" s="41"/>
      <c r="H157" s="41"/>
      <c r="I157" s="41"/>
      <c r="K157" s="41"/>
      <c r="L157" s="64"/>
      <c r="M157" s="79"/>
    </row>
    <row r="158" spans="3:13" ht="13">
      <c r="C158" s="63"/>
      <c r="E158" s="41"/>
      <c r="F158" s="41"/>
      <c r="G158" s="41"/>
      <c r="H158" s="41"/>
      <c r="I158" s="41"/>
      <c r="K158" s="41"/>
      <c r="L158" s="64"/>
      <c r="M158" s="79"/>
    </row>
    <row r="159" spans="3:13" ht="13">
      <c r="C159" s="63"/>
      <c r="E159" s="41"/>
      <c r="F159" s="41"/>
      <c r="G159" s="41"/>
      <c r="H159" s="41"/>
      <c r="I159" s="41"/>
      <c r="K159" s="41"/>
      <c r="L159" s="64"/>
      <c r="M159" s="79"/>
    </row>
    <row r="160" spans="3:13" ht="13">
      <c r="C160" s="63"/>
      <c r="E160" s="41"/>
      <c r="F160" s="41"/>
      <c r="G160" s="41"/>
      <c r="H160" s="41"/>
      <c r="I160" s="41"/>
      <c r="K160" s="41"/>
      <c r="L160" s="64"/>
      <c r="M160" s="79"/>
    </row>
    <row r="161" spans="3:13" ht="13">
      <c r="C161" s="63"/>
      <c r="E161" s="41"/>
      <c r="F161" s="41"/>
      <c r="G161" s="41"/>
      <c r="H161" s="41"/>
      <c r="I161" s="41"/>
      <c r="K161" s="41"/>
      <c r="L161" s="64"/>
      <c r="M161" s="79"/>
    </row>
    <row r="162" spans="3:13" ht="13">
      <c r="C162" s="63"/>
      <c r="E162" s="41"/>
      <c r="F162" s="41"/>
      <c r="G162" s="41"/>
      <c r="H162" s="41"/>
      <c r="I162" s="41"/>
      <c r="K162" s="41"/>
      <c r="L162" s="64"/>
      <c r="M162" s="79"/>
    </row>
    <row r="163" spans="3:13" ht="13">
      <c r="C163" s="63"/>
      <c r="E163" s="41"/>
      <c r="F163" s="41"/>
      <c r="G163" s="41"/>
      <c r="H163" s="41"/>
      <c r="I163" s="41"/>
      <c r="K163" s="41"/>
      <c r="L163" s="64"/>
      <c r="M163" s="79"/>
    </row>
    <row r="164" spans="3:13" ht="13">
      <c r="C164" s="63"/>
      <c r="E164" s="41"/>
      <c r="F164" s="41"/>
      <c r="G164" s="41"/>
      <c r="H164" s="41"/>
      <c r="I164" s="41"/>
      <c r="K164" s="41"/>
      <c r="L164" s="64"/>
      <c r="M164" s="79"/>
    </row>
    <row r="165" spans="3:13" ht="13">
      <c r="C165" s="63"/>
      <c r="E165" s="41"/>
      <c r="F165" s="41"/>
      <c r="G165" s="41"/>
      <c r="H165" s="41"/>
      <c r="I165" s="41"/>
      <c r="K165" s="41"/>
      <c r="L165" s="64"/>
      <c r="M165" s="79"/>
    </row>
    <row r="166" spans="3:13" ht="13">
      <c r="C166" s="63"/>
      <c r="E166" s="41"/>
      <c r="F166" s="41"/>
      <c r="G166" s="41"/>
      <c r="H166" s="41"/>
      <c r="I166" s="41"/>
      <c r="K166" s="41"/>
      <c r="L166" s="64"/>
      <c r="M166" s="79"/>
    </row>
    <row r="167" spans="3:13" ht="13">
      <c r="C167" s="63"/>
      <c r="E167" s="41"/>
      <c r="F167" s="41"/>
      <c r="G167" s="41"/>
      <c r="H167" s="41"/>
      <c r="I167" s="41"/>
      <c r="K167" s="41"/>
      <c r="L167" s="64"/>
      <c r="M167" s="79"/>
    </row>
    <row r="168" spans="3:13" ht="13">
      <c r="C168" s="63"/>
      <c r="E168" s="41"/>
      <c r="F168" s="41"/>
      <c r="G168" s="41"/>
      <c r="H168" s="41"/>
      <c r="I168" s="41"/>
      <c r="K168" s="41"/>
      <c r="L168" s="64"/>
      <c r="M168" s="79"/>
    </row>
    <row r="169" spans="3:13" ht="13">
      <c r="C169" s="63"/>
      <c r="E169" s="41"/>
      <c r="F169" s="41"/>
      <c r="G169" s="41"/>
      <c r="H169" s="41"/>
      <c r="I169" s="41"/>
      <c r="K169" s="41"/>
      <c r="L169" s="64"/>
      <c r="M169" s="79"/>
    </row>
    <row r="170" spans="3:13" ht="13">
      <c r="C170" s="63"/>
      <c r="E170" s="41"/>
      <c r="F170" s="41"/>
      <c r="G170" s="41"/>
      <c r="H170" s="41"/>
      <c r="I170" s="41"/>
      <c r="K170" s="41"/>
      <c r="L170" s="64"/>
      <c r="M170" s="79"/>
    </row>
    <row r="171" spans="3:13" ht="13">
      <c r="C171" s="63"/>
      <c r="E171" s="41"/>
      <c r="F171" s="41"/>
      <c r="G171" s="41"/>
      <c r="H171" s="41"/>
      <c r="I171" s="41"/>
      <c r="K171" s="41"/>
      <c r="L171" s="64"/>
      <c r="M171" s="79"/>
    </row>
    <row r="172" spans="3:13" ht="13">
      <c r="C172" s="63"/>
      <c r="E172" s="41"/>
      <c r="F172" s="41"/>
      <c r="G172" s="41"/>
      <c r="H172" s="41"/>
      <c r="I172" s="41"/>
      <c r="K172" s="41"/>
      <c r="L172" s="64"/>
      <c r="M172" s="79"/>
    </row>
    <row r="173" spans="3:13" ht="13">
      <c r="C173" s="63"/>
      <c r="E173" s="41"/>
      <c r="F173" s="41"/>
      <c r="G173" s="41"/>
      <c r="H173" s="41"/>
      <c r="I173" s="41"/>
      <c r="K173" s="41"/>
      <c r="L173" s="64"/>
      <c r="M173" s="79"/>
    </row>
    <row r="174" spans="3:13" ht="13">
      <c r="C174" s="63"/>
      <c r="E174" s="41"/>
      <c r="F174" s="41"/>
      <c r="G174" s="41"/>
      <c r="H174" s="41"/>
      <c r="I174" s="41"/>
      <c r="K174" s="41"/>
      <c r="L174" s="64"/>
      <c r="M174" s="79"/>
    </row>
    <row r="175" spans="3:13" ht="13">
      <c r="C175" s="63"/>
      <c r="E175" s="41"/>
      <c r="F175" s="41"/>
      <c r="G175" s="41"/>
      <c r="H175" s="41"/>
      <c r="I175" s="41"/>
      <c r="K175" s="41"/>
      <c r="L175" s="64"/>
      <c r="M175" s="79"/>
    </row>
    <row r="176" spans="3:13" ht="13">
      <c r="C176" s="63"/>
      <c r="E176" s="41"/>
      <c r="F176" s="41"/>
      <c r="G176" s="41"/>
      <c r="H176" s="41"/>
      <c r="I176" s="41"/>
      <c r="K176" s="41"/>
      <c r="L176" s="64"/>
      <c r="M176" s="79"/>
    </row>
    <row r="177" spans="3:13" ht="13">
      <c r="C177" s="63"/>
      <c r="E177" s="41"/>
      <c r="F177" s="41"/>
      <c r="G177" s="41"/>
      <c r="H177" s="41"/>
      <c r="I177" s="41"/>
      <c r="K177" s="41"/>
      <c r="L177" s="64"/>
      <c r="M177" s="79"/>
    </row>
    <row r="178" spans="3:13" ht="13">
      <c r="C178" s="63"/>
      <c r="E178" s="41"/>
      <c r="F178" s="41"/>
      <c r="G178" s="41"/>
      <c r="H178" s="41"/>
      <c r="I178" s="41"/>
      <c r="K178" s="41"/>
      <c r="L178" s="64"/>
      <c r="M178" s="79"/>
    </row>
    <row r="179" spans="3:13" ht="13">
      <c r="C179" s="63"/>
      <c r="E179" s="41"/>
      <c r="F179" s="41"/>
      <c r="G179" s="41"/>
      <c r="H179" s="41"/>
      <c r="I179" s="41"/>
      <c r="K179" s="41"/>
      <c r="L179" s="64"/>
      <c r="M179" s="79"/>
    </row>
    <row r="180" spans="3:13" ht="13">
      <c r="C180" s="63"/>
      <c r="E180" s="41"/>
      <c r="F180" s="41"/>
      <c r="G180" s="41"/>
      <c r="H180" s="41"/>
      <c r="I180" s="41"/>
      <c r="K180" s="41"/>
      <c r="L180" s="64"/>
      <c r="M180" s="79"/>
    </row>
    <row r="181" spans="3:13" ht="13">
      <c r="C181" s="63"/>
      <c r="E181" s="41"/>
      <c r="F181" s="41"/>
      <c r="G181" s="41"/>
      <c r="H181" s="41"/>
      <c r="I181" s="41"/>
      <c r="K181" s="41"/>
      <c r="L181" s="64"/>
      <c r="M181" s="79"/>
    </row>
    <row r="182" spans="3:13" ht="13">
      <c r="C182" s="63"/>
      <c r="E182" s="41"/>
      <c r="F182" s="41"/>
      <c r="G182" s="41"/>
      <c r="H182" s="41"/>
      <c r="I182" s="41"/>
      <c r="K182" s="41"/>
      <c r="L182" s="64"/>
      <c r="M182" s="79"/>
    </row>
    <row r="183" spans="3:13" ht="13">
      <c r="C183" s="63"/>
      <c r="E183" s="41"/>
      <c r="F183" s="41"/>
      <c r="G183" s="41"/>
      <c r="H183" s="41"/>
      <c r="I183" s="41"/>
      <c r="K183" s="41"/>
      <c r="L183" s="64"/>
      <c r="M183" s="79"/>
    </row>
    <row r="184" spans="3:13" ht="13">
      <c r="C184" s="63"/>
      <c r="E184" s="41"/>
      <c r="F184" s="41"/>
      <c r="G184" s="41"/>
      <c r="H184" s="41"/>
      <c r="I184" s="41"/>
      <c r="K184" s="41"/>
      <c r="L184" s="64"/>
      <c r="M184" s="79"/>
    </row>
    <row r="185" spans="3:13" ht="13">
      <c r="C185" s="63"/>
      <c r="E185" s="41"/>
      <c r="F185" s="41"/>
      <c r="G185" s="41"/>
      <c r="H185" s="41"/>
      <c r="I185" s="41"/>
      <c r="K185" s="41"/>
      <c r="L185" s="64"/>
      <c r="M185" s="79"/>
    </row>
    <row r="186" spans="3:13" ht="13">
      <c r="C186" s="63"/>
      <c r="E186" s="41"/>
      <c r="F186" s="41"/>
      <c r="G186" s="41"/>
      <c r="H186" s="41"/>
      <c r="I186" s="41"/>
      <c r="K186" s="41"/>
      <c r="L186" s="64"/>
      <c r="M186" s="79"/>
    </row>
    <row r="187" spans="3:13" ht="13">
      <c r="C187" s="63"/>
      <c r="E187" s="41"/>
      <c r="F187" s="41"/>
      <c r="G187" s="41"/>
      <c r="H187" s="41"/>
      <c r="I187" s="41"/>
      <c r="K187" s="41"/>
      <c r="L187" s="64"/>
      <c r="M187" s="79"/>
    </row>
    <row r="188" spans="3:13" ht="13">
      <c r="C188" s="63"/>
      <c r="E188" s="41"/>
      <c r="F188" s="41"/>
      <c r="G188" s="41"/>
      <c r="H188" s="41"/>
      <c r="I188" s="41"/>
      <c r="K188" s="41"/>
      <c r="L188" s="64"/>
      <c r="M188" s="79"/>
    </row>
    <row r="189" spans="3:13" ht="13">
      <c r="C189" s="63"/>
      <c r="E189" s="41"/>
      <c r="F189" s="41"/>
      <c r="G189" s="41"/>
      <c r="H189" s="41"/>
      <c r="I189" s="41"/>
      <c r="K189" s="41"/>
      <c r="L189" s="64"/>
      <c r="M189" s="79"/>
    </row>
    <row r="190" spans="3:13" ht="13">
      <c r="C190" s="63"/>
      <c r="E190" s="41"/>
      <c r="F190" s="41"/>
      <c r="G190" s="41"/>
      <c r="H190" s="41"/>
      <c r="I190" s="41"/>
      <c r="K190" s="41"/>
      <c r="L190" s="64"/>
      <c r="M190" s="79"/>
    </row>
    <row r="191" spans="3:13" ht="13">
      <c r="C191" s="63"/>
      <c r="E191" s="41"/>
      <c r="F191" s="41"/>
      <c r="G191" s="41"/>
      <c r="H191" s="41"/>
      <c r="I191" s="41"/>
      <c r="K191" s="41"/>
      <c r="L191" s="64"/>
      <c r="M191" s="79"/>
    </row>
    <row r="192" spans="3:13" ht="13">
      <c r="C192" s="63"/>
      <c r="E192" s="41"/>
      <c r="F192" s="41"/>
      <c r="G192" s="41"/>
      <c r="H192" s="41"/>
      <c r="I192" s="41"/>
      <c r="K192" s="41"/>
      <c r="L192" s="64"/>
      <c r="M192" s="79"/>
    </row>
    <row r="193" spans="3:13" ht="13">
      <c r="C193" s="63"/>
      <c r="E193" s="41"/>
      <c r="F193" s="41"/>
      <c r="G193" s="41"/>
      <c r="H193" s="41"/>
      <c r="I193" s="41"/>
      <c r="K193" s="41"/>
      <c r="L193" s="64"/>
      <c r="M193" s="79"/>
    </row>
    <row r="194" spans="3:13" ht="13">
      <c r="C194" s="63"/>
      <c r="E194" s="41"/>
      <c r="F194" s="41"/>
      <c r="G194" s="41"/>
      <c r="H194" s="41"/>
      <c r="I194" s="41"/>
      <c r="K194" s="41"/>
      <c r="L194" s="64"/>
      <c r="M194" s="79"/>
    </row>
    <row r="195" spans="3:13" ht="13">
      <c r="C195" s="63"/>
      <c r="E195" s="41"/>
      <c r="F195" s="41"/>
      <c r="G195" s="41"/>
      <c r="H195" s="41"/>
      <c r="I195" s="41"/>
      <c r="K195" s="41"/>
      <c r="L195" s="64"/>
      <c r="M195" s="79"/>
    </row>
    <row r="196" spans="3:13" ht="13">
      <c r="C196" s="63"/>
      <c r="E196" s="41"/>
      <c r="F196" s="41"/>
      <c r="G196" s="41"/>
      <c r="H196" s="41"/>
      <c r="I196" s="41"/>
      <c r="K196" s="41"/>
      <c r="L196" s="64"/>
      <c r="M196" s="79"/>
    </row>
    <row r="197" spans="3:13" ht="13">
      <c r="C197" s="63"/>
      <c r="E197" s="41"/>
      <c r="F197" s="41"/>
      <c r="G197" s="41"/>
      <c r="H197" s="41"/>
      <c r="I197" s="41"/>
      <c r="K197" s="41"/>
      <c r="L197" s="64"/>
      <c r="M197" s="79"/>
    </row>
    <row r="198" spans="3:13" ht="13">
      <c r="C198" s="63"/>
      <c r="E198" s="41"/>
      <c r="F198" s="41"/>
      <c r="G198" s="41"/>
      <c r="H198" s="41"/>
      <c r="I198" s="41"/>
      <c r="K198" s="41"/>
      <c r="L198" s="64"/>
      <c r="M198" s="79"/>
    </row>
    <row r="199" spans="3:13" ht="13">
      <c r="C199" s="63"/>
      <c r="E199" s="41"/>
      <c r="F199" s="41"/>
      <c r="G199" s="41"/>
      <c r="H199" s="41"/>
      <c r="I199" s="41"/>
      <c r="K199" s="41"/>
      <c r="L199" s="64"/>
      <c r="M199" s="79"/>
    </row>
    <row r="200" spans="3:13" ht="13">
      <c r="C200" s="63"/>
      <c r="E200" s="41"/>
      <c r="F200" s="41"/>
      <c r="G200" s="41"/>
      <c r="H200" s="41"/>
      <c r="I200" s="41"/>
      <c r="K200" s="41"/>
      <c r="L200" s="64"/>
      <c r="M200" s="79"/>
    </row>
    <row r="201" spans="3:13" ht="13">
      <c r="C201" s="63"/>
      <c r="E201" s="41"/>
      <c r="F201" s="41"/>
      <c r="G201" s="41"/>
      <c r="H201" s="41"/>
      <c r="I201" s="41"/>
      <c r="K201" s="41"/>
      <c r="L201" s="64"/>
      <c r="M201" s="79"/>
    </row>
    <row r="202" spans="3:13" ht="13">
      <c r="C202" s="63"/>
      <c r="E202" s="41"/>
      <c r="F202" s="41"/>
      <c r="G202" s="41"/>
      <c r="H202" s="41"/>
      <c r="I202" s="41"/>
      <c r="K202" s="41"/>
      <c r="L202" s="64"/>
      <c r="M202" s="79"/>
    </row>
    <row r="203" spans="3:13" ht="13">
      <c r="C203" s="63"/>
      <c r="E203" s="41"/>
      <c r="F203" s="41"/>
      <c r="G203" s="41"/>
      <c r="H203" s="41"/>
      <c r="I203" s="41"/>
      <c r="K203" s="41"/>
      <c r="L203" s="64"/>
      <c r="M203" s="79"/>
    </row>
    <row r="204" spans="3:13" ht="13">
      <c r="C204" s="63"/>
      <c r="E204" s="41"/>
      <c r="F204" s="41"/>
      <c r="G204" s="41"/>
      <c r="H204" s="41"/>
      <c r="I204" s="41"/>
      <c r="K204" s="41"/>
      <c r="L204" s="64"/>
      <c r="M204" s="79"/>
    </row>
    <row r="205" spans="3:13" ht="13">
      <c r="C205" s="63"/>
      <c r="E205" s="41"/>
      <c r="F205" s="41"/>
      <c r="G205" s="41"/>
      <c r="H205" s="41"/>
      <c r="I205" s="41"/>
      <c r="K205" s="41"/>
      <c r="L205" s="64"/>
      <c r="M205" s="79"/>
    </row>
    <row r="206" spans="3:13" ht="13">
      <c r="C206" s="63"/>
      <c r="E206" s="41"/>
      <c r="F206" s="41"/>
      <c r="G206" s="41"/>
      <c r="H206" s="41"/>
      <c r="I206" s="41"/>
      <c r="K206" s="41"/>
      <c r="L206" s="64"/>
      <c r="M206" s="79"/>
    </row>
    <row r="207" spans="3:13" ht="13">
      <c r="C207" s="63"/>
      <c r="E207" s="41"/>
      <c r="F207" s="41"/>
      <c r="G207" s="41"/>
      <c r="H207" s="41"/>
      <c r="I207" s="41"/>
      <c r="K207" s="41"/>
      <c r="L207" s="64"/>
      <c r="M207" s="79"/>
    </row>
    <row r="208" spans="3:13" ht="13">
      <c r="C208" s="63"/>
      <c r="E208" s="41"/>
      <c r="F208" s="41"/>
      <c r="G208" s="41"/>
      <c r="H208" s="41"/>
      <c r="I208" s="41"/>
      <c r="K208" s="41"/>
      <c r="L208" s="64"/>
      <c r="M208" s="79"/>
    </row>
    <row r="209" spans="3:13" ht="13">
      <c r="C209" s="63"/>
      <c r="E209" s="41"/>
      <c r="F209" s="41"/>
      <c r="G209" s="41"/>
      <c r="H209" s="41"/>
      <c r="I209" s="41"/>
      <c r="K209" s="41"/>
      <c r="L209" s="64"/>
      <c r="M209" s="79"/>
    </row>
    <row r="210" spans="3:13" ht="13">
      <c r="C210" s="63"/>
      <c r="E210" s="41"/>
      <c r="F210" s="41"/>
      <c r="G210" s="41"/>
      <c r="H210" s="41"/>
      <c r="I210" s="41"/>
      <c r="K210" s="41"/>
      <c r="L210" s="64"/>
      <c r="M210" s="79"/>
    </row>
    <row r="211" spans="3:13" ht="13">
      <c r="C211" s="63"/>
      <c r="E211" s="41"/>
      <c r="F211" s="41"/>
      <c r="G211" s="41"/>
      <c r="H211" s="41"/>
      <c r="I211" s="41"/>
      <c r="K211" s="41"/>
      <c r="L211" s="64"/>
      <c r="M211" s="79"/>
    </row>
    <row r="212" spans="3:13" ht="13">
      <c r="C212" s="63"/>
      <c r="E212" s="41"/>
      <c r="F212" s="41"/>
      <c r="G212" s="41"/>
      <c r="H212" s="41"/>
      <c r="I212" s="41"/>
      <c r="K212" s="41"/>
      <c r="L212" s="64"/>
      <c r="M212" s="79"/>
    </row>
    <row r="213" spans="3:13" ht="13">
      <c r="C213" s="63"/>
      <c r="E213" s="41"/>
      <c r="F213" s="41"/>
      <c r="G213" s="41"/>
      <c r="H213" s="41"/>
      <c r="I213" s="41"/>
      <c r="K213" s="41"/>
      <c r="L213" s="64"/>
      <c r="M213" s="79"/>
    </row>
    <row r="214" spans="3:13" ht="13">
      <c r="C214" s="63"/>
      <c r="E214" s="41"/>
      <c r="F214" s="41"/>
      <c r="G214" s="41"/>
      <c r="H214" s="41"/>
      <c r="I214" s="41"/>
      <c r="K214" s="41"/>
      <c r="L214" s="64"/>
      <c r="M214" s="79"/>
    </row>
    <row r="215" spans="3:13" ht="13">
      <c r="C215" s="63"/>
      <c r="E215" s="41"/>
      <c r="F215" s="41"/>
      <c r="G215" s="41"/>
      <c r="H215" s="41"/>
      <c r="I215" s="41"/>
      <c r="K215" s="41"/>
      <c r="L215" s="64"/>
      <c r="M215" s="79"/>
    </row>
    <row r="216" spans="3:13" ht="13">
      <c r="C216" s="63"/>
      <c r="E216" s="41"/>
      <c r="F216" s="41"/>
      <c r="G216" s="41"/>
      <c r="H216" s="41"/>
      <c r="I216" s="41"/>
      <c r="K216" s="41"/>
      <c r="L216" s="64"/>
      <c r="M216" s="79"/>
    </row>
    <row r="217" spans="3:13" ht="13">
      <c r="C217" s="63"/>
      <c r="E217" s="41"/>
      <c r="F217" s="41"/>
      <c r="G217" s="41"/>
      <c r="H217" s="41"/>
      <c r="I217" s="41"/>
      <c r="K217" s="41"/>
      <c r="L217" s="64"/>
      <c r="M217" s="79"/>
    </row>
    <row r="218" spans="3:13" ht="13">
      <c r="C218" s="63"/>
      <c r="E218" s="41"/>
      <c r="F218" s="41"/>
      <c r="G218" s="41"/>
      <c r="H218" s="41"/>
      <c r="I218" s="41"/>
      <c r="K218" s="41"/>
      <c r="L218" s="64"/>
      <c r="M218" s="79"/>
    </row>
    <row r="219" spans="3:13" ht="13">
      <c r="C219" s="63"/>
      <c r="E219" s="41"/>
      <c r="F219" s="41"/>
      <c r="G219" s="41"/>
      <c r="H219" s="41"/>
      <c r="I219" s="41"/>
      <c r="K219" s="41"/>
      <c r="L219" s="64"/>
      <c r="M219" s="79"/>
    </row>
    <row r="220" spans="3:13" ht="13">
      <c r="C220" s="63"/>
      <c r="E220" s="41"/>
      <c r="F220" s="41"/>
      <c r="G220" s="41"/>
      <c r="H220" s="41"/>
      <c r="I220" s="41"/>
      <c r="K220" s="41"/>
      <c r="L220" s="64"/>
      <c r="M220" s="79"/>
    </row>
    <row r="221" spans="3:13" ht="13">
      <c r="C221" s="63"/>
      <c r="E221" s="41"/>
      <c r="F221" s="41"/>
      <c r="G221" s="41"/>
      <c r="H221" s="41"/>
      <c r="I221" s="41"/>
      <c r="K221" s="41"/>
      <c r="L221" s="64"/>
      <c r="M221" s="79"/>
    </row>
    <row r="222" spans="3:13" ht="13">
      <c r="C222" s="63"/>
      <c r="E222" s="41"/>
      <c r="F222" s="41"/>
      <c r="G222" s="41"/>
      <c r="H222" s="41"/>
      <c r="I222" s="41"/>
      <c r="K222" s="41"/>
      <c r="L222" s="64"/>
      <c r="M222" s="79"/>
    </row>
    <row r="223" spans="3:13" ht="13">
      <c r="C223" s="63"/>
      <c r="E223" s="41"/>
      <c r="F223" s="41"/>
      <c r="G223" s="41"/>
      <c r="H223" s="41"/>
      <c r="I223" s="41"/>
      <c r="K223" s="41"/>
      <c r="L223" s="64"/>
      <c r="M223" s="79"/>
    </row>
    <row r="224" spans="3:13" ht="13">
      <c r="C224" s="63"/>
      <c r="E224" s="41"/>
      <c r="F224" s="41"/>
      <c r="G224" s="41"/>
      <c r="H224" s="41"/>
      <c r="I224" s="41"/>
      <c r="K224" s="41"/>
      <c r="L224" s="64"/>
      <c r="M224" s="79"/>
    </row>
    <row r="225" spans="3:13" ht="13">
      <c r="C225" s="63"/>
      <c r="E225" s="41"/>
      <c r="F225" s="41"/>
      <c r="G225" s="41"/>
      <c r="H225" s="41"/>
      <c r="I225" s="41"/>
      <c r="K225" s="41"/>
      <c r="L225" s="64"/>
      <c r="M225" s="79"/>
    </row>
    <row r="226" spans="3:13" ht="13">
      <c r="C226" s="63"/>
      <c r="E226" s="41"/>
      <c r="F226" s="41"/>
      <c r="G226" s="41"/>
      <c r="H226" s="41"/>
      <c r="I226" s="41"/>
      <c r="K226" s="41"/>
      <c r="L226" s="64"/>
      <c r="M226" s="79"/>
    </row>
    <row r="227" spans="3:13" ht="13">
      <c r="C227" s="63"/>
      <c r="E227" s="41"/>
      <c r="F227" s="41"/>
      <c r="G227" s="41"/>
      <c r="H227" s="41"/>
      <c r="I227" s="41"/>
      <c r="K227" s="41"/>
      <c r="L227" s="64"/>
      <c r="M227" s="79"/>
    </row>
    <row r="228" spans="3:13" ht="13">
      <c r="C228" s="63"/>
      <c r="E228" s="41"/>
      <c r="F228" s="41"/>
      <c r="G228" s="41"/>
      <c r="H228" s="41"/>
      <c r="I228" s="41"/>
      <c r="K228" s="41"/>
      <c r="L228" s="64"/>
      <c r="M228" s="79"/>
    </row>
    <row r="229" spans="3:13" ht="13">
      <c r="C229" s="63"/>
      <c r="E229" s="41"/>
      <c r="F229" s="41"/>
      <c r="G229" s="41"/>
      <c r="H229" s="41"/>
      <c r="I229" s="41"/>
      <c r="K229" s="41"/>
      <c r="L229" s="64"/>
      <c r="M229" s="79"/>
    </row>
    <row r="230" spans="3:13" ht="13">
      <c r="C230" s="63"/>
      <c r="E230" s="41"/>
      <c r="F230" s="41"/>
      <c r="G230" s="41"/>
      <c r="H230" s="41"/>
      <c r="I230" s="41"/>
      <c r="K230" s="41"/>
      <c r="L230" s="64"/>
      <c r="M230" s="79"/>
    </row>
    <row r="231" spans="3:13" ht="13">
      <c r="C231" s="63"/>
      <c r="E231" s="41"/>
      <c r="F231" s="41"/>
      <c r="G231" s="41"/>
      <c r="H231" s="41"/>
      <c r="I231" s="41"/>
      <c r="K231" s="41"/>
      <c r="L231" s="64"/>
      <c r="M231" s="79"/>
    </row>
    <row r="232" spans="3:13" ht="13">
      <c r="C232" s="63"/>
      <c r="E232" s="41"/>
      <c r="F232" s="41"/>
      <c r="G232" s="41"/>
      <c r="H232" s="41"/>
      <c r="I232" s="41"/>
      <c r="K232" s="41"/>
      <c r="L232" s="64"/>
      <c r="M232" s="79"/>
    </row>
    <row r="233" spans="3:13" ht="13">
      <c r="C233" s="63"/>
      <c r="E233" s="41"/>
      <c r="F233" s="41"/>
      <c r="G233" s="41"/>
      <c r="H233" s="41"/>
      <c r="I233" s="41"/>
      <c r="K233" s="41"/>
      <c r="L233" s="64"/>
      <c r="M233" s="79"/>
    </row>
    <row r="234" spans="3:13" ht="13">
      <c r="C234" s="63"/>
      <c r="E234" s="41"/>
      <c r="F234" s="41"/>
      <c r="G234" s="41"/>
      <c r="H234" s="41"/>
      <c r="I234" s="41"/>
      <c r="K234" s="41"/>
      <c r="L234" s="64"/>
      <c r="M234" s="79"/>
    </row>
    <row r="235" spans="3:13" ht="13">
      <c r="C235" s="63"/>
      <c r="E235" s="41"/>
      <c r="F235" s="41"/>
      <c r="G235" s="41"/>
      <c r="H235" s="41"/>
      <c r="I235" s="41"/>
      <c r="K235" s="41"/>
      <c r="L235" s="64"/>
      <c r="M235" s="79"/>
    </row>
    <row r="236" spans="3:13" ht="13">
      <c r="C236" s="63"/>
      <c r="E236" s="41"/>
      <c r="F236" s="41"/>
      <c r="G236" s="41"/>
      <c r="H236" s="41"/>
      <c r="I236" s="41"/>
      <c r="K236" s="41"/>
      <c r="L236" s="64"/>
      <c r="M236" s="79"/>
    </row>
    <row r="237" spans="3:13" ht="13">
      <c r="C237" s="63"/>
      <c r="E237" s="41"/>
      <c r="F237" s="41"/>
      <c r="G237" s="41"/>
      <c r="H237" s="41"/>
      <c r="I237" s="41"/>
      <c r="K237" s="41"/>
      <c r="L237" s="64"/>
      <c r="M237" s="79"/>
    </row>
    <row r="238" spans="3:13" ht="13">
      <c r="C238" s="63"/>
      <c r="E238" s="41"/>
      <c r="F238" s="41"/>
      <c r="G238" s="41"/>
      <c r="H238" s="41"/>
      <c r="I238" s="41"/>
      <c r="K238" s="41"/>
      <c r="L238" s="64"/>
      <c r="M238" s="79"/>
    </row>
    <row r="239" spans="3:13" ht="13">
      <c r="C239" s="63"/>
      <c r="E239" s="41"/>
      <c r="F239" s="41"/>
      <c r="G239" s="41"/>
      <c r="H239" s="41"/>
      <c r="I239" s="41"/>
      <c r="K239" s="41"/>
      <c r="L239" s="64"/>
      <c r="M239" s="79"/>
    </row>
    <row r="240" spans="3:13" ht="13">
      <c r="C240" s="63"/>
      <c r="E240" s="41"/>
      <c r="F240" s="41"/>
      <c r="G240" s="41"/>
      <c r="H240" s="41"/>
      <c r="I240" s="41"/>
      <c r="K240" s="41"/>
      <c r="L240" s="64"/>
      <c r="M240" s="79"/>
    </row>
    <row r="241" spans="3:13" ht="13">
      <c r="C241" s="63"/>
      <c r="E241" s="41"/>
      <c r="F241" s="41"/>
      <c r="G241" s="41"/>
      <c r="H241" s="41"/>
      <c r="I241" s="41"/>
      <c r="K241" s="41"/>
      <c r="L241" s="64"/>
      <c r="M241" s="79"/>
    </row>
    <row r="242" spans="3:13" ht="13">
      <c r="C242" s="63"/>
      <c r="E242" s="41"/>
      <c r="F242" s="41"/>
      <c r="G242" s="41"/>
      <c r="H242" s="41"/>
      <c r="I242" s="41"/>
      <c r="K242" s="41"/>
      <c r="L242" s="64"/>
      <c r="M242" s="79"/>
    </row>
    <row r="243" spans="3:13" ht="13">
      <c r="C243" s="63"/>
      <c r="E243" s="41"/>
      <c r="F243" s="41"/>
      <c r="G243" s="41"/>
      <c r="H243" s="41"/>
      <c r="I243" s="41"/>
      <c r="K243" s="41"/>
      <c r="L243" s="64"/>
      <c r="M243" s="79"/>
    </row>
    <row r="244" spans="3:13" ht="13">
      <c r="C244" s="63"/>
      <c r="E244" s="41"/>
      <c r="F244" s="41"/>
      <c r="G244" s="41"/>
      <c r="H244" s="41"/>
      <c r="I244" s="41"/>
      <c r="K244" s="41"/>
      <c r="L244" s="64"/>
      <c r="M244" s="79"/>
    </row>
    <row r="245" spans="3:13" ht="13">
      <c r="C245" s="63"/>
      <c r="E245" s="41"/>
      <c r="F245" s="41"/>
      <c r="G245" s="41"/>
      <c r="H245" s="41"/>
      <c r="I245" s="41"/>
      <c r="K245" s="41"/>
      <c r="L245" s="64"/>
      <c r="M245" s="79"/>
    </row>
    <row r="246" spans="3:13" ht="13">
      <c r="C246" s="63"/>
      <c r="E246" s="41"/>
      <c r="F246" s="41"/>
      <c r="G246" s="41"/>
      <c r="H246" s="41"/>
      <c r="I246" s="41"/>
      <c r="K246" s="41"/>
      <c r="L246" s="64"/>
      <c r="M246" s="79"/>
    </row>
    <row r="247" spans="3:13" ht="13">
      <c r="C247" s="63"/>
      <c r="E247" s="41"/>
      <c r="F247" s="41"/>
      <c r="G247" s="41"/>
      <c r="H247" s="41"/>
      <c r="I247" s="41"/>
      <c r="K247" s="41"/>
      <c r="L247" s="64"/>
      <c r="M247" s="79"/>
    </row>
    <row r="248" spans="3:13" ht="13">
      <c r="C248" s="63"/>
      <c r="E248" s="41"/>
      <c r="F248" s="41"/>
      <c r="G248" s="41"/>
      <c r="H248" s="41"/>
      <c r="I248" s="41"/>
      <c r="K248" s="41"/>
      <c r="L248" s="64"/>
      <c r="M248" s="79"/>
    </row>
    <row r="249" spans="3:13" ht="13">
      <c r="C249" s="63"/>
      <c r="E249" s="41"/>
      <c r="F249" s="41"/>
      <c r="G249" s="41"/>
      <c r="H249" s="41"/>
      <c r="I249" s="41"/>
      <c r="K249" s="41"/>
      <c r="L249" s="64"/>
      <c r="M249" s="79"/>
    </row>
    <row r="250" spans="3:13" ht="13">
      <c r="C250" s="63"/>
      <c r="E250" s="41"/>
      <c r="F250" s="41"/>
      <c r="G250" s="41"/>
      <c r="H250" s="41"/>
      <c r="I250" s="41"/>
      <c r="K250" s="41"/>
      <c r="L250" s="64"/>
      <c r="M250" s="79"/>
    </row>
    <row r="251" spans="3:13" ht="13">
      <c r="C251" s="63"/>
      <c r="E251" s="41"/>
      <c r="F251" s="41"/>
      <c r="G251" s="41"/>
      <c r="H251" s="41"/>
      <c r="I251" s="41"/>
      <c r="K251" s="41"/>
      <c r="L251" s="64"/>
      <c r="M251" s="79"/>
    </row>
    <row r="252" spans="3:13" ht="13">
      <c r="C252" s="63"/>
      <c r="E252" s="41"/>
      <c r="F252" s="41"/>
      <c r="G252" s="41"/>
      <c r="H252" s="41"/>
      <c r="I252" s="41"/>
      <c r="K252" s="41"/>
      <c r="L252" s="64"/>
      <c r="M252" s="79"/>
    </row>
    <row r="253" spans="3:13" ht="13">
      <c r="C253" s="63"/>
      <c r="E253" s="41"/>
      <c r="F253" s="41"/>
      <c r="G253" s="41"/>
      <c r="H253" s="41"/>
      <c r="I253" s="41"/>
      <c r="K253" s="41"/>
      <c r="L253" s="64"/>
      <c r="M253" s="79"/>
    </row>
    <row r="254" spans="3:13" ht="13">
      <c r="C254" s="63"/>
      <c r="E254" s="41"/>
      <c r="F254" s="41"/>
      <c r="G254" s="41"/>
      <c r="H254" s="41"/>
      <c r="I254" s="41"/>
      <c r="K254" s="41"/>
      <c r="L254" s="64"/>
      <c r="M254" s="79"/>
    </row>
    <row r="255" spans="3:13" ht="13">
      <c r="C255" s="63"/>
      <c r="E255" s="41"/>
      <c r="F255" s="41"/>
      <c r="G255" s="41"/>
      <c r="H255" s="41"/>
      <c r="I255" s="41"/>
      <c r="K255" s="41"/>
      <c r="L255" s="64"/>
      <c r="M255" s="79"/>
    </row>
    <row r="256" spans="3:13" ht="13">
      <c r="C256" s="63"/>
      <c r="E256" s="41"/>
      <c r="F256" s="41"/>
      <c r="G256" s="41"/>
      <c r="H256" s="41"/>
      <c r="I256" s="41"/>
      <c r="K256" s="41"/>
      <c r="L256" s="64"/>
      <c r="M256" s="79"/>
    </row>
    <row r="257" spans="3:13" ht="13">
      <c r="C257" s="63"/>
      <c r="E257" s="41"/>
      <c r="F257" s="41"/>
      <c r="G257" s="41"/>
      <c r="H257" s="41"/>
      <c r="I257" s="41"/>
      <c r="K257" s="41"/>
      <c r="L257" s="64"/>
      <c r="M257" s="79"/>
    </row>
    <row r="258" spans="3:13" ht="13">
      <c r="C258" s="63"/>
      <c r="E258" s="41"/>
      <c r="F258" s="41"/>
      <c r="G258" s="41"/>
      <c r="H258" s="41"/>
      <c r="I258" s="41"/>
      <c r="K258" s="41"/>
      <c r="L258" s="64"/>
      <c r="M258" s="79"/>
    </row>
    <row r="259" spans="3:13" ht="13">
      <c r="C259" s="63"/>
      <c r="E259" s="41"/>
      <c r="F259" s="41"/>
      <c r="G259" s="41"/>
      <c r="H259" s="41"/>
      <c r="I259" s="41"/>
      <c r="K259" s="41"/>
      <c r="L259" s="64"/>
      <c r="M259" s="79"/>
    </row>
    <row r="260" spans="3:13" ht="13">
      <c r="C260" s="63"/>
      <c r="E260" s="41"/>
      <c r="F260" s="41"/>
      <c r="G260" s="41"/>
      <c r="H260" s="41"/>
      <c r="I260" s="41"/>
      <c r="K260" s="41"/>
      <c r="L260" s="64"/>
      <c r="M260" s="79"/>
    </row>
    <row r="261" spans="3:13" ht="13">
      <c r="C261" s="63"/>
      <c r="E261" s="41"/>
      <c r="F261" s="41"/>
      <c r="G261" s="41"/>
      <c r="H261" s="41"/>
      <c r="I261" s="41"/>
      <c r="K261" s="41"/>
      <c r="L261" s="64"/>
      <c r="M261" s="79"/>
    </row>
    <row r="262" spans="3:13" ht="13">
      <c r="C262" s="63"/>
      <c r="E262" s="41"/>
      <c r="F262" s="41"/>
      <c r="G262" s="41"/>
      <c r="H262" s="41"/>
      <c r="I262" s="41"/>
      <c r="K262" s="41"/>
      <c r="L262" s="64"/>
      <c r="M262" s="79"/>
    </row>
    <row r="263" spans="3:13" ht="13">
      <c r="C263" s="63"/>
      <c r="E263" s="41"/>
      <c r="F263" s="41"/>
      <c r="G263" s="41"/>
      <c r="H263" s="41"/>
      <c r="I263" s="41"/>
      <c r="K263" s="41"/>
      <c r="L263" s="64"/>
      <c r="M263" s="79"/>
    </row>
    <row r="264" spans="3:13" ht="13">
      <c r="C264" s="63"/>
      <c r="E264" s="41"/>
      <c r="F264" s="41"/>
      <c r="G264" s="41"/>
      <c r="H264" s="41"/>
      <c r="I264" s="41"/>
      <c r="K264" s="41"/>
      <c r="L264" s="64"/>
      <c r="M264" s="79"/>
    </row>
    <row r="265" spans="3:13" ht="13">
      <c r="C265" s="63"/>
      <c r="E265" s="41"/>
      <c r="F265" s="41"/>
      <c r="G265" s="41"/>
      <c r="H265" s="41"/>
      <c r="I265" s="41"/>
      <c r="K265" s="41"/>
      <c r="L265" s="64"/>
      <c r="M265" s="79"/>
    </row>
    <row r="266" spans="3:13" ht="13">
      <c r="C266" s="63"/>
      <c r="E266" s="41"/>
      <c r="F266" s="41"/>
      <c r="G266" s="41"/>
      <c r="H266" s="41"/>
      <c r="I266" s="41"/>
      <c r="K266" s="41"/>
      <c r="L266" s="64"/>
      <c r="M266" s="79"/>
    </row>
    <row r="267" spans="3:13" ht="13">
      <c r="C267" s="63"/>
      <c r="E267" s="41"/>
      <c r="F267" s="41"/>
      <c r="G267" s="41"/>
      <c r="H267" s="41"/>
      <c r="I267" s="41"/>
      <c r="K267" s="41"/>
      <c r="L267" s="64"/>
      <c r="M267" s="79"/>
    </row>
    <row r="268" spans="3:13" ht="13">
      <c r="C268" s="63"/>
      <c r="E268" s="41"/>
      <c r="F268" s="41"/>
      <c r="G268" s="41"/>
      <c r="H268" s="41"/>
      <c r="I268" s="41"/>
      <c r="K268" s="41"/>
      <c r="L268" s="64"/>
      <c r="M268" s="79"/>
    </row>
    <row r="269" spans="3:13" ht="13">
      <c r="C269" s="63"/>
      <c r="E269" s="41"/>
      <c r="F269" s="41"/>
      <c r="G269" s="41"/>
      <c r="H269" s="41"/>
      <c r="I269" s="41"/>
      <c r="K269" s="41"/>
      <c r="L269" s="64"/>
      <c r="M269" s="79"/>
    </row>
    <row r="270" spans="3:13" ht="13">
      <c r="C270" s="63"/>
      <c r="E270" s="41"/>
      <c r="F270" s="41"/>
      <c r="G270" s="41"/>
      <c r="H270" s="41"/>
      <c r="I270" s="41"/>
      <c r="K270" s="41"/>
      <c r="L270" s="64"/>
      <c r="M270" s="79"/>
    </row>
    <row r="271" spans="3:13" ht="13">
      <c r="C271" s="63"/>
      <c r="E271" s="41"/>
      <c r="F271" s="41"/>
      <c r="G271" s="41"/>
      <c r="H271" s="41"/>
      <c r="I271" s="41"/>
      <c r="K271" s="41"/>
      <c r="L271" s="64"/>
      <c r="M271" s="79"/>
    </row>
    <row r="272" spans="3:13" ht="13">
      <c r="C272" s="63"/>
      <c r="E272" s="41"/>
      <c r="F272" s="41"/>
      <c r="G272" s="41"/>
      <c r="H272" s="41"/>
      <c r="I272" s="41"/>
      <c r="K272" s="41"/>
      <c r="L272" s="64"/>
      <c r="M272" s="79"/>
    </row>
    <row r="273" spans="3:13" ht="13">
      <c r="C273" s="63"/>
      <c r="E273" s="41"/>
      <c r="F273" s="41"/>
      <c r="G273" s="41"/>
      <c r="H273" s="41"/>
      <c r="I273" s="41"/>
      <c r="K273" s="41"/>
      <c r="L273" s="64"/>
      <c r="M273" s="79"/>
    </row>
    <row r="274" spans="3:13" ht="13">
      <c r="C274" s="63"/>
      <c r="E274" s="41"/>
      <c r="F274" s="41"/>
      <c r="G274" s="41"/>
      <c r="H274" s="41"/>
      <c r="I274" s="41"/>
      <c r="K274" s="41"/>
      <c r="L274" s="64"/>
      <c r="M274" s="79"/>
    </row>
    <row r="275" spans="3:13" ht="13">
      <c r="C275" s="63"/>
      <c r="E275" s="41"/>
      <c r="F275" s="41"/>
      <c r="G275" s="41"/>
      <c r="H275" s="41"/>
      <c r="I275" s="41"/>
      <c r="K275" s="41"/>
      <c r="L275" s="64"/>
      <c r="M275" s="79"/>
    </row>
    <row r="276" spans="3:13" ht="13">
      <c r="C276" s="63"/>
      <c r="E276" s="41"/>
      <c r="F276" s="41"/>
      <c r="G276" s="41"/>
      <c r="H276" s="41"/>
      <c r="I276" s="41"/>
      <c r="K276" s="41"/>
      <c r="L276" s="64"/>
      <c r="M276" s="79"/>
    </row>
    <row r="277" spans="3:13" ht="13">
      <c r="C277" s="63"/>
      <c r="E277" s="41"/>
      <c r="F277" s="41"/>
      <c r="G277" s="41"/>
      <c r="H277" s="41"/>
      <c r="I277" s="41"/>
      <c r="K277" s="41"/>
      <c r="L277" s="64"/>
      <c r="M277" s="79"/>
    </row>
    <row r="278" spans="3:13" ht="13">
      <c r="C278" s="63"/>
      <c r="E278" s="41"/>
      <c r="F278" s="41"/>
      <c r="G278" s="41"/>
      <c r="H278" s="41"/>
      <c r="I278" s="41"/>
      <c r="K278" s="41"/>
      <c r="L278" s="64"/>
      <c r="M278" s="79"/>
    </row>
    <row r="279" spans="3:13" ht="13">
      <c r="C279" s="63"/>
      <c r="E279" s="41"/>
      <c r="F279" s="41"/>
      <c r="G279" s="41"/>
      <c r="H279" s="41"/>
      <c r="I279" s="41"/>
      <c r="K279" s="41"/>
      <c r="L279" s="64"/>
      <c r="M279" s="79"/>
    </row>
    <row r="280" spans="3:13" ht="13">
      <c r="C280" s="63"/>
      <c r="E280" s="41"/>
      <c r="F280" s="41"/>
      <c r="G280" s="41"/>
      <c r="H280" s="41"/>
      <c r="I280" s="41"/>
      <c r="K280" s="41"/>
      <c r="L280" s="64"/>
      <c r="M280" s="79"/>
    </row>
    <row r="281" spans="3:13" ht="13">
      <c r="C281" s="63"/>
      <c r="E281" s="41"/>
      <c r="F281" s="41"/>
      <c r="G281" s="41"/>
      <c r="H281" s="41"/>
      <c r="I281" s="41"/>
      <c r="K281" s="41"/>
      <c r="L281" s="64"/>
      <c r="M281" s="79"/>
    </row>
    <row r="282" spans="3:13" ht="13">
      <c r="C282" s="63"/>
      <c r="E282" s="41"/>
      <c r="F282" s="41"/>
      <c r="G282" s="41"/>
      <c r="H282" s="41"/>
      <c r="I282" s="41"/>
      <c r="K282" s="41"/>
      <c r="L282" s="64"/>
      <c r="M282" s="79"/>
    </row>
    <row r="283" spans="3:13" ht="13">
      <c r="C283" s="63"/>
      <c r="E283" s="41"/>
      <c r="F283" s="41"/>
      <c r="G283" s="41"/>
      <c r="H283" s="41"/>
      <c r="I283" s="41"/>
      <c r="K283" s="41"/>
      <c r="L283" s="64"/>
      <c r="M283" s="79"/>
    </row>
    <row r="284" spans="3:13" ht="13">
      <c r="C284" s="63"/>
      <c r="E284" s="41"/>
      <c r="F284" s="41"/>
      <c r="G284" s="41"/>
      <c r="H284" s="41"/>
      <c r="I284" s="41"/>
      <c r="K284" s="41"/>
      <c r="L284" s="64"/>
      <c r="M284" s="79"/>
    </row>
    <row r="285" spans="3:13" ht="13">
      <c r="C285" s="63"/>
      <c r="E285" s="41"/>
      <c r="F285" s="41"/>
      <c r="G285" s="41"/>
      <c r="H285" s="41"/>
      <c r="I285" s="41"/>
      <c r="K285" s="41"/>
      <c r="L285" s="64"/>
      <c r="M285" s="79"/>
    </row>
    <row r="286" spans="3:13" ht="13">
      <c r="C286" s="63"/>
      <c r="E286" s="41"/>
      <c r="F286" s="41"/>
      <c r="G286" s="41"/>
      <c r="H286" s="41"/>
      <c r="I286" s="41"/>
      <c r="K286" s="41"/>
      <c r="L286" s="64"/>
      <c r="M286" s="79"/>
    </row>
    <row r="287" spans="3:13" ht="13">
      <c r="C287" s="63"/>
      <c r="E287" s="41"/>
      <c r="F287" s="41"/>
      <c r="G287" s="41"/>
      <c r="H287" s="41"/>
      <c r="I287" s="41"/>
      <c r="K287" s="41"/>
      <c r="L287" s="64"/>
      <c r="M287" s="79"/>
    </row>
    <row r="288" spans="3:13" ht="13">
      <c r="C288" s="63"/>
      <c r="E288" s="41"/>
      <c r="F288" s="41"/>
      <c r="G288" s="41"/>
      <c r="H288" s="41"/>
      <c r="I288" s="41"/>
      <c r="K288" s="41"/>
      <c r="L288" s="64"/>
      <c r="M288" s="79"/>
    </row>
    <row r="289" spans="3:13" ht="13">
      <c r="C289" s="63"/>
      <c r="E289" s="41"/>
      <c r="F289" s="41"/>
      <c r="G289" s="41"/>
      <c r="H289" s="41"/>
      <c r="I289" s="41"/>
      <c r="K289" s="41"/>
      <c r="L289" s="64"/>
      <c r="M289" s="79"/>
    </row>
    <row r="290" spans="3:13" ht="13">
      <c r="C290" s="63"/>
      <c r="E290" s="41"/>
      <c r="F290" s="41"/>
      <c r="G290" s="41"/>
      <c r="H290" s="41"/>
      <c r="I290" s="41"/>
      <c r="K290" s="41"/>
      <c r="L290" s="64"/>
      <c r="M290" s="79"/>
    </row>
    <row r="291" spans="3:13" ht="13">
      <c r="C291" s="63"/>
      <c r="E291" s="41"/>
      <c r="F291" s="41"/>
      <c r="G291" s="41"/>
      <c r="H291" s="41"/>
      <c r="I291" s="41"/>
      <c r="K291" s="41"/>
      <c r="L291" s="64"/>
      <c r="M291" s="79"/>
    </row>
    <row r="292" spans="3:13" ht="13">
      <c r="C292" s="63"/>
      <c r="E292" s="41"/>
      <c r="F292" s="41"/>
      <c r="G292" s="41"/>
      <c r="H292" s="41"/>
      <c r="I292" s="41"/>
      <c r="K292" s="41"/>
      <c r="L292" s="64"/>
      <c r="M292" s="79"/>
    </row>
    <row r="293" spans="3:13" ht="13">
      <c r="C293" s="63"/>
      <c r="E293" s="41"/>
      <c r="F293" s="41"/>
      <c r="G293" s="41"/>
      <c r="H293" s="41"/>
      <c r="I293" s="41"/>
      <c r="K293" s="41"/>
      <c r="L293" s="64"/>
      <c r="M293" s="79"/>
    </row>
    <row r="294" spans="3:13" ht="13">
      <c r="C294" s="63"/>
      <c r="E294" s="41"/>
      <c r="F294" s="41"/>
      <c r="G294" s="41"/>
      <c r="H294" s="41"/>
      <c r="I294" s="41"/>
      <c r="K294" s="41"/>
      <c r="L294" s="64"/>
      <c r="M294" s="79"/>
    </row>
    <row r="295" spans="3:13" ht="13">
      <c r="C295" s="63"/>
      <c r="E295" s="41"/>
      <c r="F295" s="41"/>
      <c r="G295" s="41"/>
      <c r="H295" s="41"/>
      <c r="I295" s="41"/>
      <c r="K295" s="41"/>
      <c r="L295" s="64"/>
      <c r="M295" s="79"/>
    </row>
    <row r="296" spans="3:13" ht="13">
      <c r="C296" s="63"/>
      <c r="E296" s="41"/>
      <c r="F296" s="41"/>
      <c r="G296" s="41"/>
      <c r="H296" s="41"/>
      <c r="I296" s="41"/>
      <c r="K296" s="41"/>
      <c r="L296" s="64"/>
      <c r="M296" s="79"/>
    </row>
    <row r="297" spans="3:13" ht="13">
      <c r="C297" s="63"/>
      <c r="E297" s="41"/>
      <c r="F297" s="41"/>
      <c r="G297" s="41"/>
      <c r="H297" s="41"/>
      <c r="I297" s="41"/>
      <c r="K297" s="41"/>
      <c r="L297" s="64"/>
      <c r="M297" s="79"/>
    </row>
    <row r="298" spans="3:13" ht="13">
      <c r="C298" s="63"/>
      <c r="E298" s="41"/>
      <c r="F298" s="41"/>
      <c r="G298" s="41"/>
      <c r="H298" s="41"/>
      <c r="I298" s="41"/>
      <c r="K298" s="41"/>
      <c r="L298" s="64"/>
      <c r="M298" s="79"/>
    </row>
    <row r="299" spans="3:13" ht="13">
      <c r="C299" s="63"/>
      <c r="E299" s="41"/>
      <c r="F299" s="41"/>
      <c r="G299" s="41"/>
      <c r="H299" s="41"/>
      <c r="I299" s="41"/>
      <c r="K299" s="41"/>
      <c r="L299" s="64"/>
      <c r="M299" s="79"/>
    </row>
    <row r="300" spans="3:13" ht="13">
      <c r="C300" s="63"/>
      <c r="E300" s="41"/>
      <c r="F300" s="41"/>
      <c r="G300" s="41"/>
      <c r="H300" s="41"/>
      <c r="I300" s="41"/>
      <c r="K300" s="41"/>
      <c r="L300" s="64"/>
      <c r="M300" s="79"/>
    </row>
    <row r="301" spans="3:13" ht="13">
      <c r="C301" s="63"/>
      <c r="E301" s="41"/>
      <c r="F301" s="41"/>
      <c r="G301" s="41"/>
      <c r="H301" s="41"/>
      <c r="I301" s="41"/>
      <c r="K301" s="41"/>
      <c r="L301" s="64"/>
      <c r="M301" s="79"/>
    </row>
    <row r="302" spans="3:13" ht="13">
      <c r="C302" s="63"/>
      <c r="E302" s="41"/>
      <c r="F302" s="41"/>
      <c r="G302" s="41"/>
      <c r="H302" s="41"/>
      <c r="I302" s="41"/>
      <c r="K302" s="41"/>
      <c r="L302" s="64"/>
      <c r="M302" s="79"/>
    </row>
    <row r="303" spans="3:13" ht="13">
      <c r="C303" s="63"/>
      <c r="E303" s="41"/>
      <c r="F303" s="41"/>
      <c r="G303" s="41"/>
      <c r="H303" s="41"/>
      <c r="I303" s="41"/>
      <c r="K303" s="41"/>
      <c r="L303" s="64"/>
      <c r="M303" s="79"/>
    </row>
    <row r="304" spans="3:13" ht="13">
      <c r="C304" s="63"/>
      <c r="E304" s="41"/>
      <c r="F304" s="41"/>
      <c r="G304" s="41"/>
      <c r="H304" s="41"/>
      <c r="I304" s="41"/>
      <c r="K304" s="41"/>
      <c r="L304" s="64"/>
      <c r="M304" s="79"/>
    </row>
    <row r="305" spans="3:13" ht="13">
      <c r="C305" s="63"/>
      <c r="E305" s="41"/>
      <c r="F305" s="41"/>
      <c r="G305" s="41"/>
      <c r="H305" s="41"/>
      <c r="I305" s="41"/>
      <c r="K305" s="41"/>
      <c r="L305" s="64"/>
      <c r="M305" s="79"/>
    </row>
    <row r="306" spans="3:13" ht="13">
      <c r="C306" s="63"/>
      <c r="E306" s="41"/>
      <c r="F306" s="41"/>
      <c r="G306" s="41"/>
      <c r="H306" s="41"/>
      <c r="I306" s="41"/>
      <c r="K306" s="41"/>
      <c r="L306" s="64"/>
      <c r="M306" s="79"/>
    </row>
    <row r="307" spans="3:13" ht="13">
      <c r="C307" s="63"/>
      <c r="E307" s="41"/>
      <c r="F307" s="41"/>
      <c r="G307" s="41"/>
      <c r="H307" s="41"/>
      <c r="I307" s="41"/>
      <c r="K307" s="41"/>
      <c r="L307" s="64"/>
      <c r="M307" s="79"/>
    </row>
    <row r="308" spans="3:13" ht="13">
      <c r="C308" s="63"/>
      <c r="E308" s="41"/>
      <c r="F308" s="41"/>
      <c r="G308" s="41"/>
      <c r="H308" s="41"/>
      <c r="I308" s="41"/>
      <c r="K308" s="41"/>
      <c r="L308" s="64"/>
      <c r="M308" s="79"/>
    </row>
    <row r="309" spans="3:13" ht="13">
      <c r="C309" s="63"/>
      <c r="E309" s="41"/>
      <c r="F309" s="41"/>
      <c r="G309" s="41"/>
      <c r="H309" s="41"/>
      <c r="I309" s="41"/>
      <c r="K309" s="41"/>
      <c r="L309" s="64"/>
      <c r="M309" s="79"/>
    </row>
    <row r="310" spans="3:13" ht="13">
      <c r="C310" s="63"/>
      <c r="E310" s="41"/>
      <c r="F310" s="41"/>
      <c r="G310" s="41"/>
      <c r="H310" s="41"/>
      <c r="I310" s="41"/>
      <c r="K310" s="41"/>
      <c r="L310" s="64"/>
      <c r="M310" s="79"/>
    </row>
    <row r="311" spans="3:13" ht="13">
      <c r="C311" s="63"/>
      <c r="E311" s="41"/>
      <c r="F311" s="41"/>
      <c r="G311" s="41"/>
      <c r="H311" s="41"/>
      <c r="I311" s="41"/>
      <c r="K311" s="41"/>
      <c r="L311" s="64"/>
      <c r="M311" s="79"/>
    </row>
    <row r="312" spans="3:13" ht="13">
      <c r="C312" s="63"/>
      <c r="E312" s="41"/>
      <c r="F312" s="41"/>
      <c r="G312" s="41"/>
      <c r="H312" s="41"/>
      <c r="I312" s="41"/>
      <c r="K312" s="41"/>
      <c r="L312" s="64"/>
      <c r="M312" s="79"/>
    </row>
    <row r="313" spans="3:13" ht="13">
      <c r="C313" s="63"/>
      <c r="E313" s="41"/>
      <c r="F313" s="41"/>
      <c r="G313" s="41"/>
      <c r="H313" s="41"/>
      <c r="I313" s="41"/>
      <c r="K313" s="41"/>
      <c r="L313" s="64"/>
      <c r="M313" s="79"/>
    </row>
    <row r="314" spans="3:13" ht="13">
      <c r="C314" s="63"/>
      <c r="E314" s="41"/>
      <c r="F314" s="41"/>
      <c r="G314" s="41"/>
      <c r="H314" s="41"/>
      <c r="I314" s="41"/>
      <c r="K314" s="41"/>
      <c r="L314" s="64"/>
      <c r="M314" s="79"/>
    </row>
    <row r="315" spans="3:13" ht="13">
      <c r="C315" s="63"/>
      <c r="E315" s="41"/>
      <c r="F315" s="41"/>
      <c r="G315" s="41"/>
      <c r="H315" s="41"/>
      <c r="I315" s="41"/>
      <c r="K315" s="41"/>
      <c r="L315" s="64"/>
      <c r="M315" s="79"/>
    </row>
    <row r="316" spans="3:13" ht="13">
      <c r="C316" s="63"/>
      <c r="E316" s="41"/>
      <c r="F316" s="41"/>
      <c r="G316" s="41"/>
      <c r="H316" s="41"/>
      <c r="I316" s="41"/>
      <c r="K316" s="41"/>
      <c r="L316" s="64"/>
      <c r="M316" s="79"/>
    </row>
    <row r="317" spans="3:13" ht="13">
      <c r="C317" s="63"/>
      <c r="E317" s="41"/>
      <c r="F317" s="41"/>
      <c r="G317" s="41"/>
      <c r="H317" s="41"/>
      <c r="I317" s="41"/>
      <c r="K317" s="41"/>
      <c r="L317" s="64"/>
      <c r="M317" s="79"/>
    </row>
    <row r="318" spans="3:13" ht="13">
      <c r="C318" s="63"/>
      <c r="E318" s="41"/>
      <c r="F318" s="41"/>
      <c r="G318" s="41"/>
      <c r="H318" s="41"/>
      <c r="I318" s="41"/>
      <c r="K318" s="41"/>
      <c r="L318" s="64"/>
      <c r="M318" s="79"/>
    </row>
    <row r="319" spans="3:13" ht="13">
      <c r="C319" s="63"/>
      <c r="E319" s="41"/>
      <c r="F319" s="41"/>
      <c r="G319" s="41"/>
      <c r="H319" s="41"/>
      <c r="I319" s="41"/>
      <c r="K319" s="41"/>
      <c r="L319" s="64"/>
      <c r="M319" s="79"/>
    </row>
    <row r="320" spans="3:13" ht="13">
      <c r="C320" s="63"/>
      <c r="E320" s="41"/>
      <c r="F320" s="41"/>
      <c r="G320" s="41"/>
      <c r="H320" s="41"/>
      <c r="I320" s="41"/>
      <c r="K320" s="41"/>
      <c r="L320" s="64"/>
      <c r="M320" s="79"/>
    </row>
    <row r="321" spans="3:13" ht="13">
      <c r="C321" s="63"/>
      <c r="E321" s="41"/>
      <c r="F321" s="41"/>
      <c r="G321" s="41"/>
      <c r="H321" s="41"/>
      <c r="I321" s="41"/>
      <c r="K321" s="41"/>
      <c r="L321" s="64"/>
      <c r="M321" s="79"/>
    </row>
    <row r="322" spans="3:13" ht="13">
      <c r="C322" s="63"/>
      <c r="E322" s="41"/>
      <c r="F322" s="41"/>
      <c r="G322" s="41"/>
      <c r="H322" s="41"/>
      <c r="I322" s="41"/>
      <c r="K322" s="41"/>
      <c r="L322" s="64"/>
      <c r="M322" s="79"/>
    </row>
    <row r="323" spans="3:13" ht="13">
      <c r="C323" s="63"/>
      <c r="E323" s="41"/>
      <c r="F323" s="41"/>
      <c r="G323" s="41"/>
      <c r="H323" s="41"/>
      <c r="I323" s="41"/>
      <c r="K323" s="41"/>
      <c r="L323" s="64"/>
      <c r="M323" s="79"/>
    </row>
    <row r="324" spans="3:13" ht="13">
      <c r="C324" s="63"/>
      <c r="E324" s="41"/>
      <c r="F324" s="41"/>
      <c r="G324" s="41"/>
      <c r="H324" s="41"/>
      <c r="I324" s="41"/>
      <c r="K324" s="41"/>
      <c r="L324" s="64"/>
      <c r="M324" s="79"/>
    </row>
    <row r="325" spans="3:13" ht="13">
      <c r="C325" s="63"/>
      <c r="E325" s="41"/>
      <c r="F325" s="41"/>
      <c r="G325" s="41"/>
      <c r="H325" s="41"/>
      <c r="I325" s="41"/>
      <c r="K325" s="41"/>
      <c r="L325" s="64"/>
      <c r="M325" s="79"/>
    </row>
    <row r="326" spans="3:13" ht="13">
      <c r="C326" s="63"/>
      <c r="E326" s="41"/>
      <c r="F326" s="41"/>
      <c r="G326" s="41"/>
      <c r="H326" s="41"/>
      <c r="I326" s="41"/>
      <c r="K326" s="41"/>
      <c r="L326" s="64"/>
      <c r="M326" s="79"/>
    </row>
    <row r="327" spans="3:13" ht="13">
      <c r="C327" s="63"/>
      <c r="E327" s="41"/>
      <c r="F327" s="41"/>
      <c r="G327" s="41"/>
      <c r="H327" s="41"/>
      <c r="I327" s="41"/>
      <c r="K327" s="41"/>
      <c r="L327" s="64"/>
      <c r="M327" s="79"/>
    </row>
    <row r="328" spans="3:13" ht="13">
      <c r="C328" s="63"/>
      <c r="E328" s="41"/>
      <c r="F328" s="41"/>
      <c r="G328" s="41"/>
      <c r="H328" s="41"/>
      <c r="I328" s="41"/>
      <c r="K328" s="41"/>
      <c r="L328" s="64"/>
      <c r="M328" s="79"/>
    </row>
    <row r="329" spans="3:13" ht="13">
      <c r="C329" s="63"/>
      <c r="E329" s="41"/>
      <c r="F329" s="41"/>
      <c r="G329" s="41"/>
      <c r="H329" s="41"/>
      <c r="I329" s="41"/>
      <c r="K329" s="41"/>
      <c r="L329" s="64"/>
      <c r="M329" s="79"/>
    </row>
    <row r="330" spans="3:13" ht="13">
      <c r="C330" s="63"/>
      <c r="E330" s="41"/>
      <c r="F330" s="41"/>
      <c r="G330" s="41"/>
      <c r="H330" s="41"/>
      <c r="I330" s="41"/>
      <c r="K330" s="41"/>
      <c r="L330" s="64"/>
      <c r="M330" s="79"/>
    </row>
    <row r="331" spans="3:13" ht="13">
      <c r="C331" s="63"/>
      <c r="E331" s="41"/>
      <c r="F331" s="41"/>
      <c r="G331" s="41"/>
      <c r="H331" s="41"/>
      <c r="I331" s="41"/>
      <c r="K331" s="41"/>
      <c r="L331" s="64"/>
      <c r="M331" s="79"/>
    </row>
    <row r="332" spans="3:13" ht="13">
      <c r="C332" s="63"/>
      <c r="E332" s="41"/>
      <c r="F332" s="41"/>
      <c r="G332" s="41"/>
      <c r="H332" s="41"/>
      <c r="I332" s="41"/>
      <c r="K332" s="41"/>
      <c r="L332" s="64"/>
      <c r="M332" s="79"/>
    </row>
    <row r="333" spans="3:13" ht="13">
      <c r="C333" s="63"/>
      <c r="E333" s="41"/>
      <c r="F333" s="41"/>
      <c r="G333" s="41"/>
      <c r="H333" s="41"/>
      <c r="I333" s="41"/>
      <c r="K333" s="41"/>
      <c r="L333" s="64"/>
      <c r="M333" s="79"/>
    </row>
    <row r="334" spans="3:13" ht="13">
      <c r="C334" s="63"/>
      <c r="E334" s="41"/>
      <c r="F334" s="41"/>
      <c r="G334" s="41"/>
      <c r="H334" s="41"/>
      <c r="I334" s="41"/>
      <c r="K334" s="41"/>
      <c r="L334" s="64"/>
      <c r="M334" s="79"/>
    </row>
    <row r="335" spans="3:13" ht="13">
      <c r="C335" s="63"/>
      <c r="E335" s="41"/>
      <c r="F335" s="41"/>
      <c r="G335" s="41"/>
      <c r="H335" s="41"/>
      <c r="I335" s="41"/>
      <c r="K335" s="41"/>
      <c r="L335" s="64"/>
      <c r="M335" s="79"/>
    </row>
    <row r="336" spans="3:13" ht="13">
      <c r="C336" s="63"/>
      <c r="E336" s="41"/>
      <c r="F336" s="41"/>
      <c r="G336" s="41"/>
      <c r="H336" s="41"/>
      <c r="I336" s="41"/>
      <c r="K336" s="41"/>
      <c r="L336" s="64"/>
      <c r="M336" s="79"/>
    </row>
    <row r="337" spans="3:13" ht="13">
      <c r="C337" s="63"/>
      <c r="E337" s="41"/>
      <c r="F337" s="41"/>
      <c r="G337" s="41"/>
      <c r="H337" s="41"/>
      <c r="I337" s="41"/>
      <c r="K337" s="41"/>
      <c r="L337" s="64"/>
      <c r="M337" s="79"/>
    </row>
    <row r="338" spans="3:13" ht="13">
      <c r="C338" s="63"/>
      <c r="E338" s="41"/>
      <c r="F338" s="41"/>
      <c r="G338" s="41"/>
      <c r="H338" s="41"/>
      <c r="I338" s="41"/>
      <c r="K338" s="41"/>
      <c r="L338" s="64"/>
      <c r="M338" s="79"/>
    </row>
    <row r="339" spans="3:13" ht="13">
      <c r="C339" s="63"/>
      <c r="E339" s="41"/>
      <c r="F339" s="41"/>
      <c r="G339" s="41"/>
      <c r="H339" s="41"/>
      <c r="I339" s="41"/>
      <c r="K339" s="41"/>
      <c r="L339" s="64"/>
      <c r="M339" s="79"/>
    </row>
    <row r="340" spans="3:13" ht="13">
      <c r="C340" s="63"/>
      <c r="E340" s="41"/>
      <c r="F340" s="41"/>
      <c r="G340" s="41"/>
      <c r="H340" s="41"/>
      <c r="I340" s="41"/>
      <c r="K340" s="41"/>
      <c r="L340" s="64"/>
      <c r="M340" s="79"/>
    </row>
    <row r="341" spans="3:13" ht="13">
      <c r="C341" s="63"/>
      <c r="E341" s="41"/>
      <c r="F341" s="41"/>
      <c r="G341" s="41"/>
      <c r="H341" s="41"/>
      <c r="I341" s="41"/>
      <c r="K341" s="41"/>
      <c r="L341" s="64"/>
      <c r="M341" s="79"/>
    </row>
    <row r="342" spans="3:13" ht="13">
      <c r="C342" s="63"/>
      <c r="E342" s="41"/>
      <c r="F342" s="41"/>
      <c r="G342" s="41"/>
      <c r="H342" s="41"/>
      <c r="I342" s="41"/>
      <c r="K342" s="41"/>
      <c r="L342" s="64"/>
      <c r="M342" s="79"/>
    </row>
    <row r="343" spans="3:13" ht="13">
      <c r="C343" s="63"/>
      <c r="E343" s="41"/>
      <c r="F343" s="41"/>
      <c r="G343" s="41"/>
      <c r="H343" s="41"/>
      <c r="I343" s="41"/>
      <c r="K343" s="41"/>
      <c r="L343" s="64"/>
      <c r="M343" s="79"/>
    </row>
    <row r="344" spans="3:13" ht="13">
      <c r="C344" s="63"/>
      <c r="E344" s="41"/>
      <c r="F344" s="41"/>
      <c r="G344" s="41"/>
      <c r="H344" s="41"/>
      <c r="I344" s="41"/>
      <c r="K344" s="41"/>
      <c r="L344" s="64"/>
      <c r="M344" s="79"/>
    </row>
    <row r="345" spans="3:13" ht="13">
      <c r="C345" s="63"/>
      <c r="E345" s="41"/>
      <c r="F345" s="41"/>
      <c r="G345" s="41"/>
      <c r="H345" s="41"/>
      <c r="I345" s="41"/>
      <c r="K345" s="41"/>
      <c r="L345" s="64"/>
      <c r="M345" s="79"/>
    </row>
    <row r="346" spans="3:13" ht="13">
      <c r="C346" s="63"/>
      <c r="E346" s="41"/>
      <c r="F346" s="41"/>
      <c r="G346" s="41"/>
      <c r="H346" s="41"/>
      <c r="I346" s="41"/>
      <c r="K346" s="41"/>
      <c r="L346" s="64"/>
      <c r="M346" s="79"/>
    </row>
    <row r="347" spans="3:13" ht="13">
      <c r="C347" s="63"/>
      <c r="E347" s="41"/>
      <c r="F347" s="41"/>
      <c r="G347" s="41"/>
      <c r="H347" s="41"/>
      <c r="I347" s="41"/>
      <c r="K347" s="41"/>
      <c r="L347" s="64"/>
      <c r="M347" s="79"/>
    </row>
    <row r="348" spans="3:13" ht="13">
      <c r="C348" s="63"/>
      <c r="E348" s="41"/>
      <c r="F348" s="41"/>
      <c r="G348" s="41"/>
      <c r="H348" s="41"/>
      <c r="I348" s="41"/>
      <c r="K348" s="41"/>
      <c r="L348" s="64"/>
      <c r="M348" s="79"/>
    </row>
    <row r="349" spans="3:13" ht="13">
      <c r="C349" s="63"/>
      <c r="E349" s="41"/>
      <c r="F349" s="41"/>
      <c r="G349" s="41"/>
      <c r="H349" s="41"/>
      <c r="I349" s="41"/>
      <c r="K349" s="41"/>
      <c r="L349" s="64"/>
      <c r="M349" s="79"/>
    </row>
    <row r="350" spans="3:13" ht="13">
      <c r="C350" s="63"/>
      <c r="E350" s="41"/>
      <c r="F350" s="41"/>
      <c r="G350" s="41"/>
      <c r="H350" s="41"/>
      <c r="I350" s="41"/>
      <c r="K350" s="41"/>
      <c r="L350" s="64"/>
      <c r="M350" s="79"/>
    </row>
    <row r="351" spans="3:13" ht="13">
      <c r="C351" s="63"/>
      <c r="E351" s="41"/>
      <c r="F351" s="41"/>
      <c r="G351" s="41"/>
      <c r="H351" s="41"/>
      <c r="I351" s="41"/>
      <c r="K351" s="41"/>
      <c r="L351" s="64"/>
      <c r="M351" s="79"/>
    </row>
    <row r="352" spans="3:13" ht="13">
      <c r="C352" s="63"/>
      <c r="E352" s="41"/>
      <c r="F352" s="41"/>
      <c r="G352" s="41"/>
      <c r="H352" s="41"/>
      <c r="I352" s="41"/>
      <c r="K352" s="41"/>
      <c r="L352" s="64"/>
      <c r="M352" s="79"/>
    </row>
    <row r="353" spans="3:13" ht="13">
      <c r="C353" s="63"/>
      <c r="E353" s="41"/>
      <c r="F353" s="41"/>
      <c r="G353" s="41"/>
      <c r="H353" s="41"/>
      <c r="I353" s="41"/>
      <c r="K353" s="41"/>
      <c r="L353" s="64"/>
      <c r="M353" s="79"/>
    </row>
    <row r="354" spans="3:13" ht="13">
      <c r="C354" s="63"/>
      <c r="E354" s="41"/>
      <c r="F354" s="41"/>
      <c r="G354" s="41"/>
      <c r="H354" s="41"/>
      <c r="I354" s="41"/>
      <c r="K354" s="41"/>
      <c r="L354" s="64"/>
      <c r="M354" s="79"/>
    </row>
    <row r="355" spans="3:13" ht="13">
      <c r="C355" s="63"/>
      <c r="E355" s="41"/>
      <c r="F355" s="41"/>
      <c r="G355" s="41"/>
      <c r="H355" s="41"/>
      <c r="I355" s="41"/>
      <c r="K355" s="41"/>
      <c r="L355" s="64"/>
      <c r="M355" s="79"/>
    </row>
    <row r="356" spans="3:13" ht="13">
      <c r="C356" s="63"/>
      <c r="E356" s="41"/>
      <c r="F356" s="41"/>
      <c r="G356" s="41"/>
      <c r="H356" s="41"/>
      <c r="I356" s="41"/>
      <c r="K356" s="41"/>
      <c r="L356" s="64"/>
      <c r="M356" s="79"/>
    </row>
    <row r="357" spans="3:13" ht="13">
      <c r="C357" s="63"/>
      <c r="E357" s="41"/>
      <c r="F357" s="41"/>
      <c r="G357" s="41"/>
      <c r="H357" s="41"/>
      <c r="I357" s="41"/>
      <c r="K357" s="41"/>
      <c r="L357" s="64"/>
      <c r="M357" s="79"/>
    </row>
    <row r="358" spans="3:13" ht="13">
      <c r="C358" s="63"/>
      <c r="E358" s="41"/>
      <c r="F358" s="41"/>
      <c r="G358" s="41"/>
      <c r="H358" s="41"/>
      <c r="I358" s="41"/>
      <c r="K358" s="41"/>
      <c r="L358" s="64"/>
      <c r="M358" s="79"/>
    </row>
    <row r="359" spans="3:13" ht="13">
      <c r="C359" s="63"/>
      <c r="E359" s="41"/>
      <c r="F359" s="41"/>
      <c r="G359" s="41"/>
      <c r="H359" s="41"/>
      <c r="I359" s="41"/>
      <c r="K359" s="41"/>
      <c r="L359" s="64"/>
      <c r="M359" s="79"/>
    </row>
    <row r="360" spans="3:13" ht="13">
      <c r="C360" s="63"/>
      <c r="E360" s="41"/>
      <c r="F360" s="41"/>
      <c r="G360" s="41"/>
      <c r="H360" s="41"/>
      <c r="I360" s="41"/>
      <c r="K360" s="41"/>
      <c r="L360" s="64"/>
      <c r="M360" s="79"/>
    </row>
    <row r="361" spans="3:13" ht="13">
      <c r="C361" s="63"/>
      <c r="E361" s="41"/>
      <c r="F361" s="41"/>
      <c r="G361" s="41"/>
      <c r="H361" s="41"/>
      <c r="I361" s="41"/>
      <c r="K361" s="41"/>
      <c r="L361" s="64"/>
      <c r="M361" s="79"/>
    </row>
    <row r="362" spans="3:13" ht="13">
      <c r="C362" s="63"/>
      <c r="E362" s="41"/>
      <c r="F362" s="41"/>
      <c r="G362" s="41"/>
      <c r="H362" s="41"/>
      <c r="I362" s="41"/>
      <c r="K362" s="41"/>
      <c r="L362" s="64"/>
      <c r="M362" s="79"/>
    </row>
    <row r="363" spans="3:13" ht="13">
      <c r="C363" s="63"/>
      <c r="E363" s="41"/>
      <c r="F363" s="41"/>
      <c r="G363" s="41"/>
      <c r="H363" s="41"/>
      <c r="I363" s="41"/>
      <c r="K363" s="41"/>
      <c r="L363" s="64"/>
      <c r="M363" s="79"/>
    </row>
    <row r="364" spans="3:13" ht="13">
      <c r="C364" s="63"/>
      <c r="E364" s="41"/>
      <c r="F364" s="41"/>
      <c r="G364" s="41"/>
      <c r="H364" s="41"/>
      <c r="I364" s="41"/>
      <c r="K364" s="41"/>
      <c r="L364" s="64"/>
      <c r="M364" s="79"/>
    </row>
    <row r="365" spans="3:13" ht="13">
      <c r="C365" s="63"/>
      <c r="E365" s="41"/>
      <c r="F365" s="41"/>
      <c r="G365" s="41"/>
      <c r="H365" s="41"/>
      <c r="I365" s="41"/>
      <c r="K365" s="41"/>
      <c r="L365" s="64"/>
      <c r="M365" s="79"/>
    </row>
    <row r="366" spans="3:13" ht="13">
      <c r="C366" s="63"/>
      <c r="E366" s="41"/>
      <c r="F366" s="41"/>
      <c r="G366" s="41"/>
      <c r="H366" s="41"/>
      <c r="I366" s="41"/>
      <c r="K366" s="41"/>
      <c r="L366" s="64"/>
      <c r="M366" s="79"/>
    </row>
    <row r="367" spans="3:13" ht="13">
      <c r="C367" s="63"/>
      <c r="E367" s="41"/>
      <c r="F367" s="41"/>
      <c r="G367" s="41"/>
      <c r="H367" s="41"/>
      <c r="I367" s="41"/>
      <c r="K367" s="41"/>
      <c r="L367" s="64"/>
      <c r="M367" s="79"/>
    </row>
    <row r="368" spans="3:13" ht="13">
      <c r="C368" s="63"/>
      <c r="E368" s="41"/>
      <c r="F368" s="41"/>
      <c r="G368" s="41"/>
      <c r="H368" s="41"/>
      <c r="I368" s="41"/>
      <c r="K368" s="41"/>
      <c r="L368" s="64"/>
      <c r="M368" s="79"/>
    </row>
    <row r="369" spans="3:13" ht="13">
      <c r="C369" s="63"/>
      <c r="E369" s="41"/>
      <c r="F369" s="41"/>
      <c r="G369" s="41"/>
      <c r="H369" s="41"/>
      <c r="I369" s="41"/>
      <c r="K369" s="41"/>
      <c r="L369" s="64"/>
      <c r="M369" s="79"/>
    </row>
    <row r="370" spans="3:13" ht="13">
      <c r="C370" s="63"/>
      <c r="E370" s="41"/>
      <c r="F370" s="41"/>
      <c r="G370" s="41"/>
      <c r="H370" s="41"/>
      <c r="I370" s="41"/>
      <c r="K370" s="41"/>
      <c r="L370" s="64"/>
      <c r="M370" s="79"/>
    </row>
    <row r="371" spans="3:13" ht="13">
      <c r="C371" s="63"/>
      <c r="E371" s="41"/>
      <c r="F371" s="41"/>
      <c r="G371" s="41"/>
      <c r="H371" s="41"/>
      <c r="I371" s="41"/>
      <c r="K371" s="41"/>
      <c r="L371" s="64"/>
      <c r="M371" s="79"/>
    </row>
    <row r="372" spans="3:13" ht="13">
      <c r="C372" s="63"/>
      <c r="E372" s="41"/>
      <c r="F372" s="41"/>
      <c r="G372" s="41"/>
      <c r="H372" s="41"/>
      <c r="I372" s="41"/>
      <c r="K372" s="41"/>
      <c r="L372" s="64"/>
      <c r="M372" s="79"/>
    </row>
    <row r="373" spans="3:13" ht="13">
      <c r="C373" s="63"/>
      <c r="E373" s="41"/>
      <c r="F373" s="41"/>
      <c r="G373" s="41"/>
      <c r="H373" s="41"/>
      <c r="I373" s="41"/>
      <c r="K373" s="41"/>
      <c r="L373" s="64"/>
      <c r="M373" s="79"/>
    </row>
    <row r="374" spans="3:13" ht="13">
      <c r="C374" s="63"/>
      <c r="E374" s="41"/>
      <c r="F374" s="41"/>
      <c r="G374" s="41"/>
      <c r="H374" s="41"/>
      <c r="I374" s="41"/>
      <c r="K374" s="41"/>
      <c r="L374" s="64"/>
      <c r="M374" s="79"/>
    </row>
    <row r="375" spans="3:13" ht="13">
      <c r="C375" s="63"/>
      <c r="E375" s="41"/>
      <c r="F375" s="41"/>
      <c r="G375" s="41"/>
      <c r="H375" s="41"/>
      <c r="I375" s="41"/>
      <c r="K375" s="41"/>
      <c r="L375" s="64"/>
      <c r="M375" s="79"/>
    </row>
    <row r="376" spans="3:13" ht="13">
      <c r="C376" s="63"/>
      <c r="E376" s="41"/>
      <c r="F376" s="41"/>
      <c r="G376" s="41"/>
      <c r="H376" s="41"/>
      <c r="I376" s="41"/>
      <c r="K376" s="41"/>
      <c r="L376" s="64"/>
      <c r="M376" s="79"/>
    </row>
    <row r="377" spans="3:13" ht="13">
      <c r="C377" s="63"/>
      <c r="E377" s="41"/>
      <c r="F377" s="41"/>
      <c r="G377" s="41"/>
      <c r="H377" s="41"/>
      <c r="I377" s="41"/>
      <c r="K377" s="41"/>
      <c r="L377" s="64"/>
      <c r="M377" s="79"/>
    </row>
    <row r="378" spans="3:13" ht="13">
      <c r="C378" s="63"/>
      <c r="E378" s="41"/>
      <c r="F378" s="41"/>
      <c r="G378" s="41"/>
      <c r="H378" s="41"/>
      <c r="I378" s="41"/>
      <c r="K378" s="41"/>
      <c r="L378" s="64"/>
      <c r="M378" s="79"/>
    </row>
    <row r="379" spans="3:13" ht="13">
      <c r="C379" s="63"/>
      <c r="E379" s="41"/>
      <c r="F379" s="41"/>
      <c r="G379" s="41"/>
      <c r="H379" s="41"/>
      <c r="I379" s="41"/>
      <c r="K379" s="41"/>
      <c r="L379" s="64"/>
      <c r="M379" s="79"/>
    </row>
    <row r="380" spans="3:13" ht="13">
      <c r="C380" s="63"/>
      <c r="E380" s="41"/>
      <c r="F380" s="41"/>
      <c r="G380" s="41"/>
      <c r="H380" s="41"/>
      <c r="I380" s="41"/>
      <c r="K380" s="41"/>
      <c r="L380" s="64"/>
      <c r="M380" s="79"/>
    </row>
    <row r="381" spans="3:13" ht="13">
      <c r="C381" s="63"/>
      <c r="E381" s="41"/>
      <c r="F381" s="41"/>
      <c r="G381" s="41"/>
      <c r="H381" s="41"/>
      <c r="I381" s="41"/>
      <c r="K381" s="41"/>
      <c r="L381" s="64"/>
      <c r="M381" s="79"/>
    </row>
    <row r="382" spans="3:13" ht="13">
      <c r="C382" s="63"/>
      <c r="E382" s="41"/>
      <c r="F382" s="41"/>
      <c r="G382" s="41"/>
      <c r="H382" s="41"/>
      <c r="I382" s="41"/>
      <c r="K382" s="41"/>
      <c r="L382" s="64"/>
      <c r="M382" s="79"/>
    </row>
    <row r="383" spans="3:13" ht="13">
      <c r="C383" s="63"/>
      <c r="E383" s="41"/>
      <c r="F383" s="41"/>
      <c r="G383" s="41"/>
      <c r="H383" s="41"/>
      <c r="I383" s="41"/>
      <c r="K383" s="41"/>
      <c r="L383" s="64"/>
      <c r="M383" s="79"/>
    </row>
    <row r="384" spans="3:13" ht="13">
      <c r="C384" s="63"/>
      <c r="E384" s="41"/>
      <c r="F384" s="41"/>
      <c r="G384" s="41"/>
      <c r="H384" s="41"/>
      <c r="I384" s="41"/>
      <c r="K384" s="41"/>
      <c r="L384" s="64"/>
      <c r="M384" s="79"/>
    </row>
    <row r="385" spans="3:13" ht="13">
      <c r="C385" s="63"/>
      <c r="E385" s="41"/>
      <c r="F385" s="41"/>
      <c r="G385" s="41"/>
      <c r="H385" s="41"/>
      <c r="I385" s="41"/>
      <c r="K385" s="41"/>
      <c r="L385" s="64"/>
      <c r="M385" s="79"/>
    </row>
    <row r="386" spans="3:13" ht="13">
      <c r="C386" s="63"/>
      <c r="E386" s="41"/>
      <c r="F386" s="41"/>
      <c r="G386" s="41"/>
      <c r="H386" s="41"/>
      <c r="I386" s="41"/>
      <c r="K386" s="41"/>
      <c r="L386" s="64"/>
      <c r="M386" s="79"/>
    </row>
    <row r="387" spans="3:13" ht="13">
      <c r="C387" s="63"/>
      <c r="E387" s="41"/>
      <c r="F387" s="41"/>
      <c r="G387" s="41"/>
      <c r="H387" s="41"/>
      <c r="I387" s="41"/>
      <c r="K387" s="41"/>
      <c r="L387" s="64"/>
      <c r="M387" s="79"/>
    </row>
    <row r="388" spans="3:13" ht="13">
      <c r="C388" s="63"/>
      <c r="E388" s="41"/>
      <c r="F388" s="41"/>
      <c r="G388" s="41"/>
      <c r="H388" s="41"/>
      <c r="I388" s="41"/>
      <c r="K388" s="41"/>
      <c r="L388" s="64"/>
      <c r="M388" s="79"/>
    </row>
    <row r="389" spans="3:13" ht="13">
      <c r="C389" s="63"/>
      <c r="E389" s="41"/>
      <c r="F389" s="41"/>
      <c r="G389" s="41"/>
      <c r="H389" s="41"/>
      <c r="I389" s="41"/>
      <c r="K389" s="41"/>
      <c r="L389" s="64"/>
      <c r="M389" s="79"/>
    </row>
    <row r="390" spans="3:13" ht="13">
      <c r="C390" s="63"/>
      <c r="E390" s="41"/>
      <c r="F390" s="41"/>
      <c r="G390" s="41"/>
      <c r="H390" s="41"/>
      <c r="I390" s="41"/>
      <c r="K390" s="41"/>
      <c r="L390" s="64"/>
      <c r="M390" s="79"/>
    </row>
    <row r="391" spans="3:13" ht="13">
      <c r="C391" s="63"/>
      <c r="E391" s="41"/>
      <c r="F391" s="41"/>
      <c r="G391" s="41"/>
      <c r="H391" s="41"/>
      <c r="I391" s="41"/>
      <c r="K391" s="41"/>
      <c r="L391" s="64"/>
      <c r="M391" s="79"/>
    </row>
    <row r="392" spans="3:13" ht="13">
      <c r="C392" s="63"/>
      <c r="E392" s="41"/>
      <c r="F392" s="41"/>
      <c r="G392" s="41"/>
      <c r="H392" s="41"/>
      <c r="I392" s="41"/>
      <c r="K392" s="41"/>
      <c r="L392" s="64"/>
      <c r="M392" s="79"/>
    </row>
    <row r="393" spans="3:13" ht="13">
      <c r="C393" s="63"/>
      <c r="E393" s="41"/>
      <c r="F393" s="41"/>
      <c r="G393" s="41"/>
      <c r="H393" s="41"/>
      <c r="I393" s="41"/>
      <c r="K393" s="41"/>
      <c r="L393" s="64"/>
      <c r="M393" s="79"/>
    </row>
    <row r="394" spans="3:13" ht="13">
      <c r="C394" s="63"/>
      <c r="E394" s="41"/>
      <c r="F394" s="41"/>
      <c r="G394" s="41"/>
      <c r="H394" s="41"/>
      <c r="I394" s="41"/>
      <c r="K394" s="41"/>
      <c r="L394" s="64"/>
      <c r="M394" s="79"/>
    </row>
    <row r="395" spans="3:13" ht="13">
      <c r="C395" s="63"/>
      <c r="E395" s="41"/>
      <c r="F395" s="41"/>
      <c r="G395" s="41"/>
      <c r="H395" s="41"/>
      <c r="I395" s="41"/>
      <c r="K395" s="41"/>
      <c r="L395" s="64"/>
      <c r="M395" s="79"/>
    </row>
    <row r="396" spans="3:13" ht="13">
      <c r="C396" s="63"/>
      <c r="E396" s="41"/>
      <c r="F396" s="41"/>
      <c r="G396" s="41"/>
      <c r="H396" s="41"/>
      <c r="I396" s="41"/>
      <c r="K396" s="41"/>
      <c r="L396" s="64"/>
      <c r="M396" s="79"/>
    </row>
    <row r="397" spans="3:13" ht="13">
      <c r="C397" s="63"/>
      <c r="E397" s="41"/>
      <c r="F397" s="41"/>
      <c r="G397" s="41"/>
      <c r="H397" s="41"/>
      <c r="I397" s="41"/>
      <c r="K397" s="41"/>
      <c r="L397" s="64"/>
      <c r="M397" s="79"/>
    </row>
    <row r="398" spans="3:13" ht="13">
      <c r="C398" s="63"/>
      <c r="E398" s="41"/>
      <c r="F398" s="41"/>
      <c r="G398" s="41"/>
      <c r="H398" s="41"/>
      <c r="I398" s="41"/>
      <c r="K398" s="41"/>
      <c r="L398" s="64"/>
      <c r="M398" s="79"/>
    </row>
    <row r="399" spans="3:13" ht="13">
      <c r="C399" s="63"/>
      <c r="E399" s="41"/>
      <c r="F399" s="41"/>
      <c r="G399" s="41"/>
      <c r="H399" s="41"/>
      <c r="I399" s="41"/>
      <c r="K399" s="41"/>
      <c r="L399" s="64"/>
      <c r="M399" s="79"/>
    </row>
    <row r="400" spans="3:13" ht="13">
      <c r="C400" s="63"/>
      <c r="E400" s="41"/>
      <c r="F400" s="41"/>
      <c r="G400" s="41"/>
      <c r="H400" s="41"/>
      <c r="I400" s="41"/>
      <c r="K400" s="41"/>
      <c r="L400" s="64"/>
      <c r="M400" s="79"/>
    </row>
    <row r="401" spans="3:13" ht="13">
      <c r="C401" s="63"/>
      <c r="E401" s="41"/>
      <c r="F401" s="41"/>
      <c r="G401" s="41"/>
      <c r="H401" s="41"/>
      <c r="I401" s="41"/>
      <c r="K401" s="41"/>
      <c r="L401" s="64"/>
      <c r="M401" s="79"/>
    </row>
    <row r="402" spans="3:13" ht="13">
      <c r="C402" s="63"/>
      <c r="E402" s="41"/>
      <c r="F402" s="41"/>
      <c r="G402" s="41"/>
      <c r="H402" s="41"/>
      <c r="I402" s="41"/>
      <c r="K402" s="41"/>
      <c r="L402" s="64"/>
      <c r="M402" s="79"/>
    </row>
    <row r="403" spans="3:13" ht="13">
      <c r="C403" s="63"/>
      <c r="E403" s="41"/>
      <c r="F403" s="41"/>
      <c r="G403" s="41"/>
      <c r="H403" s="41"/>
      <c r="I403" s="41"/>
      <c r="K403" s="41"/>
      <c r="L403" s="64"/>
      <c r="M403" s="79"/>
    </row>
    <row r="404" spans="3:13" ht="13">
      <c r="C404" s="63"/>
      <c r="E404" s="41"/>
      <c r="F404" s="41"/>
      <c r="G404" s="41"/>
      <c r="H404" s="41"/>
      <c r="I404" s="41"/>
      <c r="K404" s="41"/>
      <c r="L404" s="64"/>
      <c r="M404" s="79"/>
    </row>
    <row r="405" spans="3:13" ht="13">
      <c r="C405" s="63"/>
      <c r="E405" s="41"/>
      <c r="F405" s="41"/>
      <c r="G405" s="41"/>
      <c r="H405" s="41"/>
      <c r="I405" s="41"/>
      <c r="K405" s="41"/>
      <c r="L405" s="64"/>
      <c r="M405" s="79"/>
    </row>
    <row r="406" spans="3:13" ht="13">
      <c r="C406" s="63"/>
      <c r="E406" s="41"/>
      <c r="F406" s="41"/>
      <c r="G406" s="41"/>
      <c r="H406" s="41"/>
      <c r="I406" s="41"/>
      <c r="K406" s="41"/>
      <c r="L406" s="64"/>
      <c r="M406" s="79"/>
    </row>
    <row r="407" spans="3:13" ht="13">
      <c r="C407" s="63"/>
      <c r="E407" s="41"/>
      <c r="F407" s="41"/>
      <c r="G407" s="41"/>
      <c r="H407" s="41"/>
      <c r="I407" s="41"/>
      <c r="K407" s="41"/>
      <c r="L407" s="64"/>
      <c r="M407" s="79"/>
    </row>
    <row r="408" spans="3:13" ht="13">
      <c r="C408" s="63"/>
      <c r="E408" s="41"/>
      <c r="F408" s="41"/>
      <c r="G408" s="41"/>
      <c r="H408" s="41"/>
      <c r="I408" s="41"/>
      <c r="K408" s="41"/>
      <c r="L408" s="64"/>
      <c r="M408" s="79"/>
    </row>
    <row r="409" spans="3:13" ht="13">
      <c r="C409" s="63"/>
      <c r="E409" s="41"/>
      <c r="F409" s="41"/>
      <c r="G409" s="41"/>
      <c r="H409" s="41"/>
      <c r="I409" s="41"/>
      <c r="K409" s="41"/>
      <c r="L409" s="64"/>
      <c r="M409" s="79"/>
    </row>
    <row r="410" spans="3:13" ht="13">
      <c r="C410" s="63"/>
      <c r="E410" s="41"/>
      <c r="F410" s="41"/>
      <c r="G410" s="41"/>
      <c r="H410" s="41"/>
      <c r="I410" s="41"/>
      <c r="K410" s="41"/>
      <c r="L410" s="64"/>
      <c r="M410" s="79"/>
    </row>
    <row r="411" spans="3:13" ht="13">
      <c r="C411" s="63"/>
      <c r="E411" s="41"/>
      <c r="F411" s="41"/>
      <c r="G411" s="41"/>
      <c r="H411" s="41"/>
      <c r="I411" s="41"/>
      <c r="K411" s="41"/>
      <c r="L411" s="64"/>
      <c r="M411" s="79"/>
    </row>
    <row r="412" spans="3:13" ht="13">
      <c r="C412" s="63"/>
      <c r="E412" s="41"/>
      <c r="F412" s="41"/>
      <c r="G412" s="41"/>
      <c r="H412" s="41"/>
      <c r="I412" s="41"/>
      <c r="K412" s="41"/>
      <c r="L412" s="64"/>
      <c r="M412" s="79"/>
    </row>
    <row r="413" spans="3:13" ht="13">
      <c r="C413" s="63"/>
      <c r="E413" s="41"/>
      <c r="F413" s="41"/>
      <c r="G413" s="41"/>
      <c r="H413" s="41"/>
      <c r="I413" s="41"/>
      <c r="K413" s="41"/>
      <c r="L413" s="64"/>
      <c r="M413" s="79"/>
    </row>
    <row r="414" spans="3:13" ht="13">
      <c r="C414" s="63"/>
      <c r="E414" s="41"/>
      <c r="F414" s="41"/>
      <c r="G414" s="41"/>
      <c r="H414" s="41"/>
      <c r="I414" s="41"/>
      <c r="K414" s="41"/>
      <c r="L414" s="64"/>
      <c r="M414" s="79"/>
    </row>
    <row r="415" spans="3:13" ht="13">
      <c r="C415" s="63"/>
      <c r="E415" s="41"/>
      <c r="F415" s="41"/>
      <c r="G415" s="41"/>
      <c r="H415" s="41"/>
      <c r="I415" s="41"/>
      <c r="K415" s="41"/>
      <c r="L415" s="64"/>
      <c r="M415" s="79"/>
    </row>
    <row r="416" spans="3:13" ht="13">
      <c r="C416" s="63"/>
      <c r="E416" s="41"/>
      <c r="F416" s="41"/>
      <c r="G416" s="41"/>
      <c r="H416" s="41"/>
      <c r="I416" s="41"/>
      <c r="K416" s="41"/>
      <c r="L416" s="64"/>
      <c r="M416" s="79"/>
    </row>
    <row r="417" spans="3:13" ht="13">
      <c r="C417" s="63"/>
      <c r="E417" s="41"/>
      <c r="F417" s="41"/>
      <c r="G417" s="41"/>
      <c r="H417" s="41"/>
      <c r="I417" s="41"/>
      <c r="K417" s="41"/>
      <c r="L417" s="64"/>
      <c r="M417" s="79"/>
    </row>
    <row r="418" spans="3:13" ht="13">
      <c r="C418" s="63"/>
      <c r="E418" s="41"/>
      <c r="F418" s="41"/>
      <c r="G418" s="41"/>
      <c r="H418" s="41"/>
      <c r="I418" s="41"/>
      <c r="K418" s="41"/>
      <c r="L418" s="64"/>
      <c r="M418" s="79"/>
    </row>
    <row r="419" spans="3:13" ht="13">
      <c r="C419" s="63"/>
      <c r="E419" s="41"/>
      <c r="F419" s="41"/>
      <c r="G419" s="41"/>
      <c r="H419" s="41"/>
      <c r="I419" s="41"/>
      <c r="K419" s="41"/>
      <c r="L419" s="64"/>
      <c r="M419" s="79"/>
    </row>
    <row r="420" spans="3:13" ht="13">
      <c r="C420" s="63"/>
      <c r="E420" s="41"/>
      <c r="F420" s="41"/>
      <c r="G420" s="41"/>
      <c r="H420" s="41"/>
      <c r="I420" s="41"/>
      <c r="K420" s="41"/>
      <c r="L420" s="64"/>
      <c r="M420" s="79"/>
    </row>
    <row r="421" spans="3:13" ht="13">
      <c r="C421" s="63"/>
      <c r="E421" s="41"/>
      <c r="F421" s="41"/>
      <c r="G421" s="41"/>
      <c r="H421" s="41"/>
      <c r="I421" s="41"/>
      <c r="K421" s="41"/>
      <c r="L421" s="64"/>
      <c r="M421" s="79"/>
    </row>
    <row r="422" spans="3:13" ht="13">
      <c r="C422" s="63"/>
      <c r="E422" s="41"/>
      <c r="F422" s="41"/>
      <c r="G422" s="41"/>
      <c r="H422" s="41"/>
      <c r="I422" s="41"/>
      <c r="K422" s="41"/>
      <c r="L422" s="64"/>
      <c r="M422" s="79"/>
    </row>
    <row r="423" spans="3:13" ht="13">
      <c r="C423" s="63"/>
      <c r="E423" s="41"/>
      <c r="F423" s="41"/>
      <c r="G423" s="41"/>
      <c r="H423" s="41"/>
      <c r="I423" s="41"/>
      <c r="K423" s="41"/>
      <c r="L423" s="64"/>
      <c r="M423" s="79"/>
    </row>
    <row r="424" spans="3:13" ht="13">
      <c r="C424" s="63"/>
      <c r="E424" s="41"/>
      <c r="F424" s="41"/>
      <c r="G424" s="41"/>
      <c r="H424" s="41"/>
      <c r="I424" s="41"/>
      <c r="K424" s="41"/>
      <c r="L424" s="64"/>
      <c r="M424" s="79"/>
    </row>
    <row r="425" spans="3:13" ht="13">
      <c r="C425" s="63"/>
      <c r="E425" s="41"/>
      <c r="F425" s="41"/>
      <c r="G425" s="41"/>
      <c r="H425" s="41"/>
      <c r="I425" s="41"/>
      <c r="K425" s="41"/>
      <c r="L425" s="64"/>
      <c r="M425" s="79"/>
    </row>
    <row r="426" spans="3:13" ht="13">
      <c r="C426" s="63"/>
      <c r="E426" s="41"/>
      <c r="F426" s="41"/>
      <c r="G426" s="41"/>
      <c r="H426" s="41"/>
      <c r="I426" s="41"/>
      <c r="K426" s="41"/>
      <c r="L426" s="64"/>
      <c r="M426" s="79"/>
    </row>
    <row r="427" spans="3:13" ht="13">
      <c r="C427" s="63"/>
      <c r="E427" s="41"/>
      <c r="F427" s="41"/>
      <c r="G427" s="41"/>
      <c r="H427" s="41"/>
      <c r="I427" s="41"/>
      <c r="K427" s="41"/>
      <c r="L427" s="64"/>
      <c r="M427" s="79"/>
    </row>
    <row r="428" spans="3:13" ht="13">
      <c r="C428" s="63"/>
      <c r="E428" s="41"/>
      <c r="F428" s="41"/>
      <c r="G428" s="41"/>
      <c r="H428" s="41"/>
      <c r="I428" s="41"/>
      <c r="K428" s="41"/>
      <c r="L428" s="64"/>
      <c r="M428" s="79"/>
    </row>
    <row r="429" spans="3:13" ht="13">
      <c r="C429" s="63"/>
      <c r="E429" s="41"/>
      <c r="F429" s="41"/>
      <c r="G429" s="41"/>
      <c r="H429" s="41"/>
      <c r="I429" s="41"/>
      <c r="K429" s="41"/>
      <c r="L429" s="64"/>
      <c r="M429" s="79"/>
    </row>
    <row r="430" spans="3:13" ht="13">
      <c r="C430" s="63"/>
      <c r="E430" s="41"/>
      <c r="F430" s="41"/>
      <c r="G430" s="41"/>
      <c r="H430" s="41"/>
      <c r="I430" s="41"/>
      <c r="K430" s="41"/>
      <c r="L430" s="64"/>
      <c r="M430" s="79"/>
    </row>
    <row r="431" spans="3:13" ht="13">
      <c r="C431" s="63"/>
      <c r="E431" s="41"/>
      <c r="F431" s="41"/>
      <c r="G431" s="41"/>
      <c r="H431" s="41"/>
      <c r="I431" s="41"/>
      <c r="K431" s="41"/>
      <c r="L431" s="64"/>
      <c r="M431" s="79"/>
    </row>
    <row r="432" spans="3:13" ht="13">
      <c r="C432" s="63"/>
      <c r="E432" s="41"/>
      <c r="F432" s="41"/>
      <c r="G432" s="41"/>
      <c r="H432" s="41"/>
      <c r="I432" s="41"/>
      <c r="K432" s="41"/>
      <c r="L432" s="64"/>
      <c r="M432" s="79"/>
    </row>
    <row r="433" spans="3:13" ht="13">
      <c r="C433" s="63"/>
      <c r="E433" s="41"/>
      <c r="F433" s="41"/>
      <c r="G433" s="41"/>
      <c r="H433" s="41"/>
      <c r="I433" s="41"/>
      <c r="K433" s="41"/>
      <c r="L433" s="64"/>
      <c r="M433" s="79"/>
    </row>
    <row r="434" spans="3:13" ht="13">
      <c r="C434" s="63"/>
      <c r="E434" s="41"/>
      <c r="F434" s="41"/>
      <c r="G434" s="41"/>
      <c r="H434" s="41"/>
      <c r="I434" s="41"/>
      <c r="K434" s="41"/>
      <c r="L434" s="64"/>
      <c r="M434" s="79"/>
    </row>
    <row r="435" spans="3:13" ht="13">
      <c r="C435" s="63"/>
      <c r="E435" s="41"/>
      <c r="F435" s="41"/>
      <c r="G435" s="41"/>
      <c r="H435" s="41"/>
      <c r="I435" s="41"/>
      <c r="K435" s="41"/>
      <c r="L435" s="64"/>
      <c r="M435" s="79"/>
    </row>
    <row r="436" spans="3:13" ht="13">
      <c r="C436" s="63"/>
      <c r="E436" s="41"/>
      <c r="F436" s="41"/>
      <c r="G436" s="41"/>
      <c r="H436" s="41"/>
      <c r="I436" s="41"/>
      <c r="K436" s="41"/>
      <c r="L436" s="64"/>
      <c r="M436" s="79"/>
    </row>
    <row r="437" spans="3:13" ht="13">
      <c r="C437" s="63"/>
      <c r="E437" s="41"/>
      <c r="F437" s="41"/>
      <c r="G437" s="41"/>
      <c r="H437" s="41"/>
      <c r="I437" s="41"/>
      <c r="K437" s="41"/>
      <c r="L437" s="64"/>
      <c r="M437" s="79"/>
    </row>
    <row r="438" spans="3:13" ht="13">
      <c r="C438" s="63"/>
      <c r="E438" s="41"/>
      <c r="F438" s="41"/>
      <c r="G438" s="41"/>
      <c r="H438" s="41"/>
      <c r="I438" s="41"/>
      <c r="K438" s="41"/>
      <c r="L438" s="64"/>
      <c r="M438" s="79"/>
    </row>
    <row r="439" spans="3:13" ht="13">
      <c r="C439" s="63"/>
      <c r="E439" s="41"/>
      <c r="F439" s="41"/>
      <c r="G439" s="41"/>
      <c r="H439" s="41"/>
      <c r="I439" s="41"/>
      <c r="K439" s="41"/>
      <c r="L439" s="64"/>
      <c r="M439" s="79"/>
    </row>
    <row r="440" spans="3:13" ht="13">
      <c r="C440" s="63"/>
      <c r="E440" s="41"/>
      <c r="F440" s="41"/>
      <c r="G440" s="41"/>
      <c r="H440" s="41"/>
      <c r="I440" s="41"/>
      <c r="K440" s="41"/>
      <c r="L440" s="64"/>
      <c r="M440" s="79"/>
    </row>
    <row r="441" spans="3:13" ht="13">
      <c r="C441" s="63"/>
      <c r="E441" s="41"/>
      <c r="F441" s="41"/>
      <c r="G441" s="41"/>
      <c r="H441" s="41"/>
      <c r="I441" s="41"/>
      <c r="K441" s="41"/>
      <c r="L441" s="64"/>
      <c r="M441" s="79"/>
    </row>
    <row r="442" spans="3:13" ht="13">
      <c r="C442" s="63"/>
      <c r="E442" s="41"/>
      <c r="F442" s="41"/>
      <c r="G442" s="41"/>
      <c r="H442" s="41"/>
      <c r="I442" s="41"/>
      <c r="K442" s="41"/>
      <c r="L442" s="64"/>
      <c r="M442" s="79"/>
    </row>
    <row r="443" spans="3:13" ht="13">
      <c r="C443" s="63"/>
      <c r="E443" s="41"/>
      <c r="F443" s="41"/>
      <c r="G443" s="41"/>
      <c r="H443" s="41"/>
      <c r="I443" s="41"/>
      <c r="K443" s="41"/>
      <c r="L443" s="64"/>
      <c r="M443" s="79"/>
    </row>
    <row r="444" spans="3:13" ht="13">
      <c r="C444" s="63"/>
      <c r="E444" s="41"/>
      <c r="F444" s="41"/>
      <c r="G444" s="41"/>
      <c r="H444" s="41"/>
      <c r="I444" s="41"/>
      <c r="K444" s="41"/>
      <c r="L444" s="64"/>
      <c r="M444" s="79"/>
    </row>
    <row r="445" spans="3:13" ht="13">
      <c r="C445" s="63"/>
      <c r="E445" s="41"/>
      <c r="F445" s="41"/>
      <c r="G445" s="41"/>
      <c r="H445" s="41"/>
      <c r="I445" s="41"/>
      <c r="K445" s="41"/>
      <c r="L445" s="64"/>
      <c r="M445" s="79"/>
    </row>
    <row r="446" spans="3:13" ht="13">
      <c r="C446" s="63"/>
      <c r="E446" s="41"/>
      <c r="F446" s="41"/>
      <c r="G446" s="41"/>
      <c r="H446" s="41"/>
      <c r="I446" s="41"/>
      <c r="K446" s="41"/>
      <c r="L446" s="64"/>
      <c r="M446" s="79"/>
    </row>
    <row r="447" spans="3:13" ht="13">
      <c r="C447" s="63"/>
      <c r="E447" s="41"/>
      <c r="F447" s="41"/>
      <c r="G447" s="41"/>
      <c r="H447" s="41"/>
      <c r="I447" s="41"/>
      <c r="K447" s="41"/>
      <c r="L447" s="64"/>
      <c r="M447" s="79"/>
    </row>
    <row r="448" spans="3:13" ht="13">
      <c r="C448" s="63"/>
      <c r="E448" s="41"/>
      <c r="F448" s="41"/>
      <c r="G448" s="41"/>
      <c r="H448" s="41"/>
      <c r="I448" s="41"/>
      <c r="K448" s="41"/>
      <c r="L448" s="64"/>
      <c r="M448" s="79"/>
    </row>
    <row r="449" spans="3:13" ht="13">
      <c r="C449" s="63"/>
      <c r="E449" s="41"/>
      <c r="F449" s="41"/>
      <c r="G449" s="41"/>
      <c r="H449" s="41"/>
      <c r="I449" s="41"/>
      <c r="K449" s="41"/>
      <c r="L449" s="64"/>
      <c r="M449" s="79"/>
    </row>
    <row r="450" spans="3:13" ht="13">
      <c r="C450" s="63"/>
      <c r="E450" s="41"/>
      <c r="F450" s="41"/>
      <c r="G450" s="41"/>
      <c r="H450" s="41"/>
      <c r="I450" s="41"/>
      <c r="K450" s="41"/>
      <c r="L450" s="64"/>
      <c r="M450" s="79"/>
    </row>
    <row r="451" spans="3:13" ht="13">
      <c r="C451" s="63"/>
      <c r="E451" s="41"/>
      <c r="F451" s="41"/>
      <c r="G451" s="41"/>
      <c r="H451" s="41"/>
      <c r="I451" s="41"/>
      <c r="K451" s="41"/>
      <c r="L451" s="64"/>
      <c r="M451" s="79"/>
    </row>
    <row r="452" spans="3:13" ht="13">
      <c r="C452" s="63"/>
      <c r="E452" s="41"/>
      <c r="F452" s="41"/>
      <c r="G452" s="41"/>
      <c r="H452" s="41"/>
      <c r="I452" s="41"/>
      <c r="K452" s="41"/>
      <c r="L452" s="64"/>
      <c r="M452" s="79"/>
    </row>
    <row r="453" spans="3:13" ht="13">
      <c r="C453" s="63"/>
      <c r="E453" s="41"/>
      <c r="F453" s="41"/>
      <c r="G453" s="41"/>
      <c r="H453" s="41"/>
      <c r="I453" s="41"/>
      <c r="K453" s="41"/>
      <c r="L453" s="64"/>
      <c r="M453" s="79"/>
    </row>
    <row r="454" spans="3:13" ht="13">
      <c r="C454" s="63"/>
      <c r="E454" s="41"/>
      <c r="F454" s="41"/>
      <c r="G454" s="41"/>
      <c r="H454" s="41"/>
      <c r="I454" s="41"/>
      <c r="K454" s="41"/>
      <c r="L454" s="64"/>
      <c r="M454" s="79"/>
    </row>
    <row r="455" spans="3:13" ht="13">
      <c r="C455" s="63"/>
      <c r="E455" s="41"/>
      <c r="F455" s="41"/>
      <c r="G455" s="41"/>
      <c r="H455" s="41"/>
      <c r="I455" s="41"/>
      <c r="K455" s="41"/>
      <c r="L455" s="64"/>
      <c r="M455" s="79"/>
    </row>
    <row r="456" spans="3:13" ht="13">
      <c r="C456" s="63"/>
      <c r="E456" s="41"/>
      <c r="F456" s="41"/>
      <c r="G456" s="41"/>
      <c r="H456" s="41"/>
      <c r="I456" s="41"/>
      <c r="K456" s="41"/>
      <c r="L456" s="64"/>
      <c r="M456" s="79"/>
    </row>
    <row r="457" spans="3:13" ht="13">
      <c r="C457" s="63"/>
      <c r="E457" s="41"/>
      <c r="F457" s="41"/>
      <c r="G457" s="41"/>
      <c r="H457" s="41"/>
      <c r="I457" s="41"/>
      <c r="K457" s="41"/>
      <c r="L457" s="64"/>
      <c r="M457" s="79"/>
    </row>
    <row r="458" spans="3:13" ht="13">
      <c r="C458" s="63"/>
      <c r="E458" s="41"/>
      <c r="F458" s="41"/>
      <c r="G458" s="41"/>
      <c r="H458" s="41"/>
      <c r="I458" s="41"/>
      <c r="K458" s="41"/>
      <c r="L458" s="64"/>
      <c r="M458" s="79"/>
    </row>
    <row r="459" spans="3:13" ht="13">
      <c r="C459" s="63"/>
      <c r="E459" s="41"/>
      <c r="F459" s="41"/>
      <c r="G459" s="41"/>
      <c r="H459" s="41"/>
      <c r="I459" s="41"/>
      <c r="K459" s="41"/>
      <c r="L459" s="64"/>
      <c r="M459" s="79"/>
    </row>
    <row r="460" spans="3:13" ht="13">
      <c r="C460" s="63"/>
      <c r="E460" s="41"/>
      <c r="F460" s="41"/>
      <c r="G460" s="41"/>
      <c r="H460" s="41"/>
      <c r="I460" s="41"/>
      <c r="K460" s="41"/>
      <c r="L460" s="64"/>
      <c r="M460" s="79"/>
    </row>
    <row r="461" spans="3:13" ht="13">
      <c r="C461" s="63"/>
      <c r="E461" s="41"/>
      <c r="F461" s="41"/>
      <c r="G461" s="41"/>
      <c r="H461" s="41"/>
      <c r="I461" s="41"/>
      <c r="K461" s="41"/>
      <c r="L461" s="64"/>
      <c r="M461" s="79"/>
    </row>
    <row r="462" spans="3:13" ht="13">
      <c r="C462" s="63"/>
      <c r="E462" s="41"/>
      <c r="F462" s="41"/>
      <c r="G462" s="41"/>
      <c r="H462" s="41"/>
      <c r="I462" s="41"/>
      <c r="K462" s="41"/>
      <c r="L462" s="64"/>
      <c r="M462" s="79"/>
    </row>
    <row r="463" spans="3:13" ht="13">
      <c r="C463" s="63"/>
      <c r="E463" s="41"/>
      <c r="F463" s="41"/>
      <c r="G463" s="41"/>
      <c r="H463" s="41"/>
      <c r="I463" s="41"/>
      <c r="K463" s="41"/>
      <c r="L463" s="64"/>
      <c r="M463" s="79"/>
    </row>
    <row r="464" spans="3:13" ht="13">
      <c r="C464" s="63"/>
      <c r="E464" s="41"/>
      <c r="F464" s="41"/>
      <c r="G464" s="41"/>
      <c r="H464" s="41"/>
      <c r="I464" s="41"/>
      <c r="K464" s="41"/>
      <c r="L464" s="64"/>
      <c r="M464" s="79"/>
    </row>
    <row r="465" spans="3:13" ht="13">
      <c r="C465" s="63"/>
      <c r="E465" s="41"/>
      <c r="F465" s="41"/>
      <c r="G465" s="41"/>
      <c r="H465" s="41"/>
      <c r="I465" s="41"/>
      <c r="K465" s="41"/>
      <c r="L465" s="64"/>
      <c r="M465" s="79"/>
    </row>
    <row r="466" spans="3:13" ht="13">
      <c r="C466" s="63"/>
      <c r="E466" s="41"/>
      <c r="F466" s="41"/>
      <c r="G466" s="41"/>
      <c r="H466" s="41"/>
      <c r="I466" s="41"/>
      <c r="K466" s="41"/>
      <c r="L466" s="64"/>
      <c r="M466" s="79"/>
    </row>
    <row r="467" spans="3:13" ht="13">
      <c r="C467" s="63"/>
      <c r="E467" s="41"/>
      <c r="F467" s="41"/>
      <c r="G467" s="41"/>
      <c r="H467" s="41"/>
      <c r="I467" s="41"/>
      <c r="K467" s="41"/>
      <c r="L467" s="64"/>
      <c r="M467" s="79"/>
    </row>
    <row r="468" spans="3:13" ht="13">
      <c r="C468" s="63"/>
      <c r="E468" s="41"/>
      <c r="F468" s="41"/>
      <c r="G468" s="41"/>
      <c r="H468" s="41"/>
      <c r="I468" s="41"/>
      <c r="K468" s="41"/>
      <c r="L468" s="64"/>
      <c r="M468" s="79"/>
    </row>
    <row r="469" spans="3:13" ht="13">
      <c r="C469" s="63"/>
      <c r="E469" s="41"/>
      <c r="F469" s="41"/>
      <c r="G469" s="41"/>
      <c r="H469" s="41"/>
      <c r="I469" s="41"/>
      <c r="K469" s="41"/>
      <c r="L469" s="64"/>
      <c r="M469" s="79"/>
    </row>
    <row r="470" spans="3:13" ht="13">
      <c r="C470" s="63"/>
      <c r="E470" s="41"/>
      <c r="F470" s="41"/>
      <c r="G470" s="41"/>
      <c r="H470" s="41"/>
      <c r="I470" s="41"/>
      <c r="K470" s="41"/>
      <c r="L470" s="64"/>
      <c r="M470" s="79"/>
    </row>
    <row r="471" spans="3:13" ht="13">
      <c r="C471" s="63"/>
      <c r="E471" s="41"/>
      <c r="F471" s="41"/>
      <c r="G471" s="41"/>
      <c r="H471" s="41"/>
      <c r="I471" s="41"/>
      <c r="K471" s="41"/>
      <c r="L471" s="64"/>
      <c r="M471" s="79"/>
    </row>
    <row r="472" spans="3:13" ht="13">
      <c r="C472" s="63"/>
      <c r="E472" s="41"/>
      <c r="F472" s="41"/>
      <c r="G472" s="41"/>
      <c r="H472" s="41"/>
      <c r="I472" s="41"/>
      <c r="K472" s="41"/>
      <c r="L472" s="64"/>
      <c r="M472" s="79"/>
    </row>
    <row r="473" spans="3:13" ht="13">
      <c r="C473" s="63"/>
      <c r="E473" s="41"/>
      <c r="F473" s="41"/>
      <c r="G473" s="41"/>
      <c r="H473" s="41"/>
      <c r="I473" s="41"/>
      <c r="K473" s="41"/>
      <c r="L473" s="64"/>
      <c r="M473" s="79"/>
    </row>
    <row r="474" spans="3:13" ht="13">
      <c r="C474" s="63"/>
      <c r="E474" s="41"/>
      <c r="F474" s="41"/>
      <c r="G474" s="41"/>
      <c r="H474" s="41"/>
      <c r="I474" s="41"/>
      <c r="K474" s="41"/>
      <c r="L474" s="64"/>
      <c r="M474" s="79"/>
    </row>
    <row r="475" spans="3:13" ht="13">
      <c r="C475" s="63"/>
      <c r="E475" s="41"/>
      <c r="F475" s="41"/>
      <c r="G475" s="41"/>
      <c r="H475" s="41"/>
      <c r="I475" s="41"/>
      <c r="K475" s="41"/>
      <c r="L475" s="64"/>
      <c r="M475" s="79"/>
    </row>
    <row r="476" spans="3:13" ht="13">
      <c r="C476" s="63"/>
      <c r="E476" s="41"/>
      <c r="F476" s="41"/>
      <c r="G476" s="41"/>
      <c r="H476" s="41"/>
      <c r="I476" s="41"/>
      <c r="K476" s="41"/>
      <c r="L476" s="64"/>
      <c r="M476" s="79"/>
    </row>
    <row r="477" spans="3:13" ht="13">
      <c r="C477" s="63"/>
      <c r="E477" s="41"/>
      <c r="F477" s="41"/>
      <c r="G477" s="41"/>
      <c r="H477" s="41"/>
      <c r="I477" s="41"/>
      <c r="K477" s="41"/>
      <c r="L477" s="64"/>
      <c r="M477" s="79"/>
    </row>
    <row r="478" spans="3:13" ht="13">
      <c r="C478" s="63"/>
      <c r="E478" s="41"/>
      <c r="F478" s="41"/>
      <c r="G478" s="41"/>
      <c r="H478" s="41"/>
      <c r="I478" s="41"/>
      <c r="K478" s="41"/>
      <c r="L478" s="64"/>
      <c r="M478" s="79"/>
    </row>
    <row r="479" spans="3:13" ht="13">
      <c r="C479" s="63"/>
      <c r="E479" s="41"/>
      <c r="F479" s="41"/>
      <c r="G479" s="41"/>
      <c r="H479" s="41"/>
      <c r="I479" s="41"/>
      <c r="K479" s="41"/>
      <c r="L479" s="64"/>
      <c r="M479" s="79"/>
    </row>
    <row r="480" spans="3:13" ht="13">
      <c r="C480" s="63"/>
      <c r="E480" s="41"/>
      <c r="F480" s="41"/>
      <c r="G480" s="41"/>
      <c r="H480" s="41"/>
      <c r="I480" s="41"/>
      <c r="K480" s="41"/>
      <c r="L480" s="64"/>
      <c r="M480" s="79"/>
    </row>
    <row r="481" spans="3:13" ht="13">
      <c r="C481" s="63"/>
      <c r="E481" s="41"/>
      <c r="F481" s="41"/>
      <c r="G481" s="41"/>
      <c r="H481" s="41"/>
      <c r="I481" s="41"/>
      <c r="K481" s="41"/>
      <c r="L481" s="64"/>
      <c r="M481" s="79"/>
    </row>
    <row r="482" spans="3:13" ht="13">
      <c r="C482" s="63"/>
      <c r="E482" s="41"/>
      <c r="F482" s="41"/>
      <c r="G482" s="41"/>
      <c r="H482" s="41"/>
      <c r="I482" s="41"/>
      <c r="K482" s="41"/>
      <c r="L482" s="64"/>
      <c r="M482" s="79"/>
    </row>
    <row r="483" spans="3:13" ht="13">
      <c r="C483" s="63"/>
      <c r="E483" s="41"/>
      <c r="F483" s="41"/>
      <c r="G483" s="41"/>
      <c r="H483" s="41"/>
      <c r="I483" s="41"/>
      <c r="K483" s="41"/>
      <c r="L483" s="64"/>
      <c r="M483" s="79"/>
    </row>
    <row r="484" spans="3:13" ht="13">
      <c r="C484" s="63"/>
      <c r="E484" s="41"/>
      <c r="F484" s="41"/>
      <c r="G484" s="41"/>
      <c r="H484" s="41"/>
      <c r="I484" s="41"/>
      <c r="K484" s="41"/>
      <c r="L484" s="64"/>
      <c r="M484" s="79"/>
    </row>
    <row r="485" spans="3:13" ht="13">
      <c r="C485" s="63"/>
      <c r="E485" s="41"/>
      <c r="F485" s="41"/>
      <c r="G485" s="41"/>
      <c r="H485" s="41"/>
      <c r="I485" s="41"/>
      <c r="K485" s="41"/>
      <c r="L485" s="64"/>
      <c r="M485" s="79"/>
    </row>
    <row r="486" spans="3:13" ht="13">
      <c r="C486" s="63"/>
      <c r="E486" s="41"/>
      <c r="F486" s="41"/>
      <c r="G486" s="41"/>
      <c r="H486" s="41"/>
      <c r="I486" s="41"/>
      <c r="K486" s="41"/>
      <c r="L486" s="64"/>
      <c r="M486" s="79"/>
    </row>
    <row r="487" spans="3:13" ht="13">
      <c r="C487" s="63"/>
      <c r="E487" s="41"/>
      <c r="F487" s="41"/>
      <c r="G487" s="41"/>
      <c r="H487" s="41"/>
      <c r="I487" s="41"/>
      <c r="K487" s="41"/>
      <c r="L487" s="64"/>
      <c r="M487" s="79"/>
    </row>
    <row r="488" spans="3:13" ht="13">
      <c r="C488" s="63"/>
      <c r="E488" s="41"/>
      <c r="F488" s="41"/>
      <c r="G488" s="41"/>
      <c r="H488" s="41"/>
      <c r="I488" s="41"/>
      <c r="K488" s="41"/>
      <c r="L488" s="64"/>
      <c r="M488" s="79"/>
    </row>
    <row r="489" spans="3:13" ht="13">
      <c r="C489" s="63"/>
      <c r="E489" s="41"/>
      <c r="F489" s="41"/>
      <c r="G489" s="41"/>
      <c r="H489" s="41"/>
      <c r="I489" s="41"/>
      <c r="K489" s="41"/>
      <c r="L489" s="64"/>
      <c r="M489" s="79"/>
    </row>
    <row r="490" spans="3:13" ht="13">
      <c r="C490" s="63"/>
      <c r="E490" s="41"/>
      <c r="F490" s="41"/>
      <c r="G490" s="41"/>
      <c r="H490" s="41"/>
      <c r="I490" s="41"/>
      <c r="K490" s="41"/>
      <c r="L490" s="64"/>
      <c r="M490" s="79"/>
    </row>
    <row r="491" spans="3:13" ht="13">
      <c r="C491" s="63"/>
      <c r="E491" s="41"/>
      <c r="F491" s="41"/>
      <c r="G491" s="41"/>
      <c r="H491" s="41"/>
      <c r="I491" s="41"/>
      <c r="K491" s="41"/>
      <c r="L491" s="64"/>
      <c r="M491" s="79"/>
    </row>
    <row r="492" spans="3:13" ht="13">
      <c r="C492" s="63"/>
      <c r="E492" s="41"/>
      <c r="F492" s="41"/>
      <c r="G492" s="41"/>
      <c r="H492" s="41"/>
      <c r="I492" s="41"/>
      <c r="K492" s="41"/>
      <c r="L492" s="64"/>
      <c r="M492" s="79"/>
    </row>
    <row r="493" spans="3:13" ht="13">
      <c r="C493" s="63"/>
      <c r="E493" s="41"/>
      <c r="F493" s="41"/>
      <c r="G493" s="41"/>
      <c r="H493" s="41"/>
      <c r="I493" s="41"/>
      <c r="K493" s="41"/>
      <c r="L493" s="64"/>
      <c r="M493" s="79"/>
    </row>
    <row r="494" spans="3:13" ht="13">
      <c r="C494" s="63"/>
      <c r="E494" s="41"/>
      <c r="F494" s="41"/>
      <c r="G494" s="41"/>
      <c r="H494" s="41"/>
      <c r="I494" s="41"/>
      <c r="K494" s="41"/>
      <c r="L494" s="64"/>
      <c r="M494" s="79"/>
    </row>
    <row r="495" spans="3:13" ht="13">
      <c r="C495" s="63"/>
      <c r="E495" s="41"/>
      <c r="F495" s="41"/>
      <c r="G495" s="41"/>
      <c r="H495" s="41"/>
      <c r="I495" s="41"/>
      <c r="K495" s="41"/>
      <c r="L495" s="64"/>
      <c r="M495" s="79"/>
    </row>
    <row r="496" spans="3:13" ht="13">
      <c r="C496" s="63"/>
      <c r="E496" s="41"/>
      <c r="F496" s="41"/>
      <c r="G496" s="41"/>
      <c r="H496" s="41"/>
      <c r="I496" s="41"/>
      <c r="K496" s="41"/>
      <c r="L496" s="64"/>
      <c r="M496" s="79"/>
    </row>
    <row r="497" spans="3:13" ht="13">
      <c r="C497" s="63"/>
      <c r="E497" s="41"/>
      <c r="F497" s="41"/>
      <c r="G497" s="41"/>
      <c r="H497" s="41"/>
      <c r="I497" s="41"/>
      <c r="K497" s="41"/>
      <c r="L497" s="64"/>
      <c r="M497" s="79"/>
    </row>
    <row r="498" spans="3:13" ht="13">
      <c r="C498" s="63"/>
      <c r="E498" s="41"/>
      <c r="F498" s="41"/>
      <c r="G498" s="41"/>
      <c r="H498" s="41"/>
      <c r="I498" s="41"/>
      <c r="K498" s="41"/>
      <c r="L498" s="64"/>
      <c r="M498" s="79"/>
    </row>
    <row r="499" spans="3:13" ht="13">
      <c r="C499" s="63"/>
      <c r="E499" s="41"/>
      <c r="F499" s="41"/>
      <c r="G499" s="41"/>
      <c r="H499" s="41"/>
      <c r="I499" s="41"/>
      <c r="K499" s="41"/>
      <c r="L499" s="64"/>
      <c r="M499" s="79"/>
    </row>
    <row r="500" spans="3:13" ht="13">
      <c r="C500" s="63"/>
      <c r="E500" s="41"/>
      <c r="F500" s="41"/>
      <c r="G500" s="41"/>
      <c r="H500" s="41"/>
      <c r="I500" s="41"/>
      <c r="K500" s="41"/>
      <c r="L500" s="64"/>
      <c r="M500" s="79"/>
    </row>
    <row r="501" spans="3:13" ht="13">
      <c r="C501" s="63"/>
      <c r="E501" s="41"/>
      <c r="F501" s="41"/>
      <c r="G501" s="41"/>
      <c r="H501" s="41"/>
      <c r="I501" s="41"/>
      <c r="K501" s="41"/>
      <c r="L501" s="64"/>
      <c r="M501" s="79"/>
    </row>
    <row r="502" spans="3:13" ht="13">
      <c r="C502" s="63"/>
      <c r="E502" s="41"/>
      <c r="F502" s="41"/>
      <c r="G502" s="41"/>
      <c r="H502" s="41"/>
      <c r="I502" s="41"/>
      <c r="K502" s="41"/>
      <c r="L502" s="64"/>
      <c r="M502" s="79"/>
    </row>
    <row r="503" spans="3:13" ht="13">
      <c r="C503" s="63"/>
      <c r="E503" s="41"/>
      <c r="F503" s="41"/>
      <c r="G503" s="41"/>
      <c r="H503" s="41"/>
      <c r="I503" s="41"/>
      <c r="K503" s="41"/>
      <c r="L503" s="64"/>
      <c r="M503" s="79"/>
    </row>
    <row r="504" spans="3:13" ht="13">
      <c r="C504" s="63"/>
      <c r="E504" s="41"/>
      <c r="F504" s="41"/>
      <c r="G504" s="41"/>
      <c r="H504" s="41"/>
      <c r="I504" s="41"/>
      <c r="K504" s="41"/>
      <c r="L504" s="64"/>
      <c r="M504" s="79"/>
    </row>
    <row r="505" spans="3:13" ht="13">
      <c r="C505" s="63"/>
      <c r="E505" s="41"/>
      <c r="F505" s="41"/>
      <c r="G505" s="41"/>
      <c r="H505" s="41"/>
      <c r="I505" s="41"/>
      <c r="K505" s="41"/>
      <c r="L505" s="64"/>
      <c r="M505" s="79"/>
    </row>
    <row r="506" spans="3:13" ht="13">
      <c r="C506" s="63"/>
      <c r="E506" s="41"/>
      <c r="F506" s="41"/>
      <c r="G506" s="41"/>
      <c r="H506" s="41"/>
      <c r="I506" s="41"/>
      <c r="K506" s="41"/>
      <c r="L506" s="64"/>
      <c r="M506" s="79"/>
    </row>
    <row r="507" spans="3:13" ht="13">
      <c r="C507" s="63"/>
      <c r="E507" s="41"/>
      <c r="F507" s="41"/>
      <c r="G507" s="41"/>
      <c r="H507" s="41"/>
      <c r="I507" s="41"/>
      <c r="K507" s="41"/>
      <c r="L507" s="64"/>
      <c r="M507" s="79"/>
    </row>
    <row r="508" spans="3:13" ht="13">
      <c r="C508" s="63"/>
      <c r="E508" s="41"/>
      <c r="F508" s="41"/>
      <c r="G508" s="41"/>
      <c r="H508" s="41"/>
      <c r="I508" s="41"/>
      <c r="K508" s="41"/>
      <c r="L508" s="64"/>
      <c r="M508" s="79"/>
    </row>
    <row r="509" spans="3:13" ht="13">
      <c r="C509" s="63"/>
      <c r="E509" s="41"/>
      <c r="F509" s="41"/>
      <c r="G509" s="41"/>
      <c r="H509" s="41"/>
      <c r="I509" s="41"/>
      <c r="K509" s="41"/>
      <c r="L509" s="64"/>
      <c r="M509" s="79"/>
    </row>
    <row r="510" spans="3:13" ht="13">
      <c r="C510" s="63"/>
      <c r="E510" s="41"/>
      <c r="F510" s="41"/>
      <c r="G510" s="41"/>
      <c r="H510" s="41"/>
      <c r="I510" s="41"/>
      <c r="K510" s="41"/>
      <c r="L510" s="64"/>
      <c r="M510" s="79"/>
    </row>
    <row r="511" spans="3:13" ht="13">
      <c r="C511" s="63"/>
      <c r="E511" s="41"/>
      <c r="F511" s="41"/>
      <c r="G511" s="41"/>
      <c r="H511" s="41"/>
      <c r="I511" s="41"/>
      <c r="K511" s="41"/>
      <c r="L511" s="64"/>
      <c r="M511" s="79"/>
    </row>
    <row r="512" spans="3:13" ht="13">
      <c r="C512" s="63"/>
      <c r="E512" s="41"/>
      <c r="F512" s="41"/>
      <c r="G512" s="41"/>
      <c r="H512" s="41"/>
      <c r="I512" s="41"/>
      <c r="K512" s="41"/>
      <c r="L512" s="64"/>
      <c r="M512" s="79"/>
    </row>
    <row r="513" spans="3:13" ht="13">
      <c r="C513" s="63"/>
      <c r="E513" s="41"/>
      <c r="F513" s="41"/>
      <c r="G513" s="41"/>
      <c r="H513" s="41"/>
      <c r="I513" s="41"/>
      <c r="K513" s="41"/>
      <c r="L513" s="64"/>
      <c r="M513" s="79"/>
    </row>
    <row r="514" spans="3:13" ht="13">
      <c r="C514" s="63"/>
      <c r="E514" s="41"/>
      <c r="F514" s="41"/>
      <c r="G514" s="41"/>
      <c r="H514" s="41"/>
      <c r="I514" s="41"/>
      <c r="K514" s="41"/>
      <c r="L514" s="64"/>
      <c r="M514" s="79"/>
    </row>
    <row r="515" spans="3:13" ht="13">
      <c r="C515" s="63"/>
      <c r="E515" s="41"/>
      <c r="F515" s="41"/>
      <c r="G515" s="41"/>
      <c r="H515" s="41"/>
      <c r="I515" s="41"/>
      <c r="K515" s="41"/>
      <c r="L515" s="64"/>
      <c r="M515" s="79"/>
    </row>
    <row r="516" spans="3:13" ht="13">
      <c r="C516" s="63"/>
      <c r="E516" s="41"/>
      <c r="F516" s="41"/>
      <c r="G516" s="41"/>
      <c r="H516" s="41"/>
      <c r="I516" s="41"/>
      <c r="K516" s="41"/>
      <c r="L516" s="64"/>
      <c r="M516" s="79"/>
    </row>
    <row r="517" spans="3:13" ht="13">
      <c r="C517" s="63"/>
      <c r="E517" s="41"/>
      <c r="F517" s="41"/>
      <c r="G517" s="41"/>
      <c r="H517" s="41"/>
      <c r="I517" s="41"/>
      <c r="K517" s="41"/>
      <c r="L517" s="64"/>
      <c r="M517" s="79"/>
    </row>
    <row r="518" spans="3:13" ht="13">
      <c r="C518" s="63"/>
      <c r="E518" s="41"/>
      <c r="F518" s="41"/>
      <c r="G518" s="41"/>
      <c r="H518" s="41"/>
      <c r="I518" s="41"/>
      <c r="K518" s="41"/>
      <c r="L518" s="64"/>
      <c r="M518" s="79"/>
    </row>
    <row r="519" spans="3:13" ht="13">
      <c r="C519" s="63"/>
      <c r="E519" s="41"/>
      <c r="F519" s="41"/>
      <c r="G519" s="41"/>
      <c r="H519" s="41"/>
      <c r="I519" s="41"/>
      <c r="K519" s="41"/>
      <c r="L519" s="64"/>
      <c r="M519" s="79"/>
    </row>
    <row r="520" spans="3:13" ht="13">
      <c r="C520" s="63"/>
      <c r="E520" s="41"/>
      <c r="F520" s="41"/>
      <c r="G520" s="41"/>
      <c r="H520" s="41"/>
      <c r="I520" s="41"/>
      <c r="K520" s="41"/>
      <c r="L520" s="64"/>
      <c r="M520" s="79"/>
    </row>
    <row r="521" spans="3:13" ht="13">
      <c r="C521" s="63"/>
      <c r="E521" s="41"/>
      <c r="F521" s="41"/>
      <c r="G521" s="41"/>
      <c r="H521" s="41"/>
      <c r="I521" s="41"/>
      <c r="K521" s="41"/>
      <c r="L521" s="64"/>
      <c r="M521" s="79"/>
    </row>
    <row r="522" spans="3:13" ht="13">
      <c r="C522" s="63"/>
      <c r="E522" s="41"/>
      <c r="F522" s="41"/>
      <c r="G522" s="41"/>
      <c r="H522" s="41"/>
      <c r="I522" s="41"/>
      <c r="K522" s="41"/>
      <c r="L522" s="64"/>
      <c r="M522" s="79"/>
    </row>
    <row r="523" spans="3:13" ht="13">
      <c r="C523" s="63"/>
      <c r="E523" s="41"/>
      <c r="F523" s="41"/>
      <c r="G523" s="41"/>
      <c r="H523" s="41"/>
      <c r="I523" s="41"/>
      <c r="K523" s="41"/>
      <c r="L523" s="64"/>
      <c r="M523" s="79"/>
    </row>
    <row r="524" spans="3:13" ht="13">
      <c r="C524" s="63"/>
      <c r="E524" s="41"/>
      <c r="F524" s="41"/>
      <c r="G524" s="41"/>
      <c r="H524" s="41"/>
      <c r="I524" s="41"/>
      <c r="K524" s="41"/>
      <c r="L524" s="64"/>
      <c r="M524" s="79"/>
    </row>
    <row r="525" spans="3:13" ht="13">
      <c r="C525" s="63"/>
      <c r="E525" s="41"/>
      <c r="F525" s="41"/>
      <c r="G525" s="41"/>
      <c r="H525" s="41"/>
      <c r="I525" s="41"/>
      <c r="K525" s="41"/>
      <c r="L525" s="64"/>
      <c r="M525" s="79"/>
    </row>
    <row r="526" spans="3:13" ht="13">
      <c r="C526" s="63"/>
      <c r="E526" s="41"/>
      <c r="F526" s="41"/>
      <c r="G526" s="41"/>
      <c r="H526" s="41"/>
      <c r="I526" s="41"/>
      <c r="K526" s="41"/>
      <c r="L526" s="64"/>
      <c r="M526" s="79"/>
    </row>
    <row r="527" spans="3:13" ht="13">
      <c r="C527" s="63"/>
      <c r="E527" s="41"/>
      <c r="F527" s="41"/>
      <c r="G527" s="41"/>
      <c r="H527" s="41"/>
      <c r="I527" s="41"/>
      <c r="K527" s="41"/>
      <c r="L527" s="64"/>
      <c r="M527" s="79"/>
    </row>
    <row r="528" spans="3:13" ht="13">
      <c r="C528" s="63"/>
      <c r="E528" s="41"/>
      <c r="F528" s="41"/>
      <c r="G528" s="41"/>
      <c r="H528" s="41"/>
      <c r="I528" s="41"/>
      <c r="K528" s="41"/>
      <c r="L528" s="64"/>
      <c r="M528" s="79"/>
    </row>
    <row r="529" spans="3:13" ht="13">
      <c r="C529" s="63"/>
      <c r="E529" s="41"/>
      <c r="F529" s="41"/>
      <c r="G529" s="41"/>
      <c r="H529" s="41"/>
      <c r="I529" s="41"/>
      <c r="K529" s="41"/>
      <c r="L529" s="64"/>
      <c r="M529" s="79"/>
    </row>
    <row r="530" spans="3:13" ht="13">
      <c r="C530" s="63"/>
      <c r="E530" s="41"/>
      <c r="F530" s="41"/>
      <c r="G530" s="41"/>
      <c r="H530" s="41"/>
      <c r="I530" s="41"/>
      <c r="K530" s="41"/>
      <c r="L530" s="64"/>
      <c r="M530" s="79"/>
    </row>
    <row r="531" spans="3:13" ht="13">
      <c r="C531" s="63"/>
      <c r="E531" s="41"/>
      <c r="F531" s="41"/>
      <c r="G531" s="41"/>
      <c r="H531" s="41"/>
      <c r="I531" s="41"/>
      <c r="K531" s="41"/>
      <c r="L531" s="64"/>
      <c r="M531" s="79"/>
    </row>
    <row r="532" spans="3:13" ht="13">
      <c r="C532" s="63"/>
      <c r="E532" s="41"/>
      <c r="F532" s="41"/>
      <c r="G532" s="41"/>
      <c r="H532" s="41"/>
      <c r="I532" s="41"/>
      <c r="K532" s="41"/>
      <c r="L532" s="64"/>
      <c r="M532" s="79"/>
    </row>
    <row r="533" spans="3:13" ht="13">
      <c r="C533" s="63"/>
      <c r="E533" s="41"/>
      <c r="F533" s="41"/>
      <c r="G533" s="41"/>
      <c r="H533" s="41"/>
      <c r="I533" s="41"/>
      <c r="K533" s="41"/>
      <c r="L533" s="64"/>
      <c r="M533" s="79"/>
    </row>
    <row r="534" spans="3:13" ht="13">
      <c r="C534" s="63"/>
      <c r="E534" s="41"/>
      <c r="F534" s="41"/>
      <c r="G534" s="41"/>
      <c r="H534" s="41"/>
      <c r="I534" s="41"/>
      <c r="K534" s="41"/>
      <c r="L534" s="64"/>
      <c r="M534" s="79"/>
    </row>
    <row r="535" spans="3:13" ht="13">
      <c r="C535" s="63"/>
      <c r="E535" s="41"/>
      <c r="F535" s="41"/>
      <c r="G535" s="41"/>
      <c r="H535" s="41"/>
      <c r="I535" s="41"/>
      <c r="K535" s="41"/>
      <c r="L535" s="64"/>
      <c r="M535" s="79"/>
    </row>
    <row r="536" spans="3:13" ht="13">
      <c r="C536" s="63"/>
      <c r="E536" s="41"/>
      <c r="F536" s="41"/>
      <c r="G536" s="41"/>
      <c r="H536" s="41"/>
      <c r="I536" s="41"/>
      <c r="K536" s="41"/>
      <c r="L536" s="64"/>
      <c r="M536" s="79"/>
    </row>
    <row r="537" spans="3:13" ht="13">
      <c r="C537" s="63"/>
      <c r="E537" s="41"/>
      <c r="F537" s="41"/>
      <c r="G537" s="41"/>
      <c r="H537" s="41"/>
      <c r="I537" s="41"/>
      <c r="K537" s="41"/>
      <c r="L537" s="64"/>
      <c r="M537" s="79"/>
    </row>
    <row r="538" spans="3:13" ht="13">
      <c r="C538" s="63"/>
      <c r="E538" s="41"/>
      <c r="F538" s="41"/>
      <c r="G538" s="41"/>
      <c r="H538" s="41"/>
      <c r="I538" s="41"/>
      <c r="K538" s="41"/>
      <c r="L538" s="64"/>
      <c r="M538" s="79"/>
    </row>
    <row r="539" spans="3:13" ht="13">
      <c r="C539" s="63"/>
      <c r="E539" s="41"/>
      <c r="F539" s="41"/>
      <c r="G539" s="41"/>
      <c r="H539" s="41"/>
      <c r="I539" s="41"/>
      <c r="K539" s="41"/>
      <c r="L539" s="64"/>
      <c r="M539" s="79"/>
    </row>
    <row r="540" spans="3:13" ht="13">
      <c r="C540" s="63"/>
      <c r="E540" s="41"/>
      <c r="F540" s="41"/>
      <c r="G540" s="41"/>
      <c r="H540" s="41"/>
      <c r="I540" s="41"/>
      <c r="K540" s="41"/>
      <c r="L540" s="64"/>
      <c r="M540" s="79"/>
    </row>
    <row r="541" spans="3:13" ht="13">
      <c r="C541" s="63"/>
      <c r="E541" s="41"/>
      <c r="F541" s="41"/>
      <c r="G541" s="41"/>
      <c r="H541" s="41"/>
      <c r="I541" s="41"/>
      <c r="K541" s="41"/>
      <c r="L541" s="64"/>
      <c r="M541" s="79"/>
    </row>
    <row r="542" spans="3:13" ht="13">
      <c r="C542" s="63"/>
      <c r="E542" s="41"/>
      <c r="F542" s="41"/>
      <c r="G542" s="41"/>
      <c r="H542" s="41"/>
      <c r="I542" s="41"/>
      <c r="K542" s="41"/>
      <c r="L542" s="64"/>
      <c r="M542" s="79"/>
    </row>
    <row r="543" spans="3:13" ht="13">
      <c r="C543" s="63"/>
      <c r="E543" s="41"/>
      <c r="F543" s="41"/>
      <c r="G543" s="41"/>
      <c r="H543" s="41"/>
      <c r="I543" s="41"/>
      <c r="K543" s="41"/>
      <c r="L543" s="64"/>
      <c r="M543" s="79"/>
    </row>
    <row r="544" spans="3:13" ht="13">
      <c r="C544" s="63"/>
      <c r="E544" s="41"/>
      <c r="F544" s="41"/>
      <c r="G544" s="41"/>
      <c r="H544" s="41"/>
      <c r="I544" s="41"/>
      <c r="K544" s="41"/>
      <c r="L544" s="64"/>
      <c r="M544" s="79"/>
    </row>
    <row r="545" spans="3:13" ht="13">
      <c r="C545" s="63"/>
      <c r="E545" s="41"/>
      <c r="F545" s="41"/>
      <c r="G545" s="41"/>
      <c r="H545" s="41"/>
      <c r="I545" s="41"/>
      <c r="K545" s="41"/>
      <c r="L545" s="64"/>
      <c r="M545" s="79"/>
    </row>
    <row r="546" spans="3:13" ht="13">
      <c r="C546" s="63"/>
      <c r="E546" s="41"/>
      <c r="F546" s="41"/>
      <c r="G546" s="41"/>
      <c r="H546" s="41"/>
      <c r="I546" s="41"/>
      <c r="K546" s="41"/>
      <c r="L546" s="64"/>
      <c r="M546" s="79"/>
    </row>
    <row r="547" spans="3:13" ht="13">
      <c r="C547" s="63"/>
      <c r="E547" s="41"/>
      <c r="F547" s="41"/>
      <c r="G547" s="41"/>
      <c r="H547" s="41"/>
      <c r="I547" s="41"/>
      <c r="K547" s="41"/>
      <c r="L547" s="64"/>
      <c r="M547" s="79"/>
    </row>
    <row r="548" spans="3:13" ht="13">
      <c r="C548" s="63"/>
      <c r="E548" s="41"/>
      <c r="F548" s="41"/>
      <c r="G548" s="41"/>
      <c r="H548" s="41"/>
      <c r="I548" s="41"/>
      <c r="K548" s="41"/>
      <c r="L548" s="64"/>
      <c r="M548" s="79"/>
    </row>
    <row r="549" spans="3:13" ht="13">
      <c r="C549" s="63"/>
      <c r="E549" s="41"/>
      <c r="F549" s="41"/>
      <c r="G549" s="41"/>
      <c r="H549" s="41"/>
      <c r="I549" s="41"/>
      <c r="K549" s="41"/>
      <c r="L549" s="64"/>
      <c r="M549" s="79"/>
    </row>
    <row r="550" spans="3:13" ht="13">
      <c r="C550" s="63"/>
      <c r="E550" s="41"/>
      <c r="F550" s="41"/>
      <c r="G550" s="41"/>
      <c r="H550" s="41"/>
      <c r="I550" s="41"/>
      <c r="K550" s="41"/>
      <c r="L550" s="64"/>
      <c r="M550" s="79"/>
    </row>
    <row r="551" spans="3:13" ht="13">
      <c r="C551" s="63"/>
      <c r="E551" s="41"/>
      <c r="F551" s="41"/>
      <c r="G551" s="41"/>
      <c r="H551" s="41"/>
      <c r="I551" s="41"/>
      <c r="K551" s="41"/>
      <c r="L551" s="64"/>
      <c r="M551" s="79"/>
    </row>
    <row r="552" spans="3:13" ht="13">
      <c r="C552" s="63"/>
      <c r="E552" s="41"/>
      <c r="F552" s="41"/>
      <c r="G552" s="41"/>
      <c r="H552" s="41"/>
      <c r="I552" s="41"/>
      <c r="K552" s="41"/>
      <c r="L552" s="64"/>
      <c r="M552" s="79"/>
    </row>
    <row r="553" spans="3:13" ht="13">
      <c r="C553" s="63"/>
      <c r="E553" s="41"/>
      <c r="F553" s="41"/>
      <c r="G553" s="41"/>
      <c r="H553" s="41"/>
      <c r="I553" s="41"/>
      <c r="K553" s="41"/>
      <c r="L553" s="64"/>
      <c r="M553" s="79"/>
    </row>
    <row r="554" spans="3:13" ht="13">
      <c r="C554" s="63"/>
      <c r="E554" s="41"/>
      <c r="F554" s="41"/>
      <c r="G554" s="41"/>
      <c r="H554" s="41"/>
      <c r="I554" s="41"/>
      <c r="K554" s="41"/>
      <c r="L554" s="64"/>
      <c r="M554" s="79"/>
    </row>
    <row r="555" spans="3:13" ht="13">
      <c r="C555" s="63"/>
      <c r="E555" s="41"/>
      <c r="F555" s="41"/>
      <c r="G555" s="41"/>
      <c r="H555" s="41"/>
      <c r="I555" s="41"/>
      <c r="K555" s="41"/>
      <c r="L555" s="64"/>
      <c r="M555" s="79"/>
    </row>
    <row r="556" spans="3:13" ht="13">
      <c r="C556" s="63"/>
      <c r="E556" s="41"/>
      <c r="F556" s="41"/>
      <c r="G556" s="41"/>
      <c r="H556" s="41"/>
      <c r="I556" s="41"/>
      <c r="K556" s="41"/>
      <c r="L556" s="64"/>
      <c r="M556" s="79"/>
    </row>
    <row r="557" spans="3:13" ht="13">
      <c r="C557" s="63"/>
      <c r="E557" s="41"/>
      <c r="F557" s="41"/>
      <c r="G557" s="41"/>
      <c r="H557" s="41"/>
      <c r="I557" s="41"/>
      <c r="K557" s="41"/>
      <c r="L557" s="64"/>
      <c r="M557" s="79"/>
    </row>
    <row r="558" spans="3:13" ht="13">
      <c r="C558" s="63"/>
      <c r="E558" s="41"/>
      <c r="F558" s="41"/>
      <c r="G558" s="41"/>
      <c r="H558" s="41"/>
      <c r="I558" s="41"/>
      <c r="K558" s="41"/>
      <c r="L558" s="64"/>
      <c r="M558" s="79"/>
    </row>
    <row r="559" spans="3:13" ht="13">
      <c r="C559" s="63"/>
      <c r="E559" s="41"/>
      <c r="F559" s="41"/>
      <c r="G559" s="41"/>
      <c r="H559" s="41"/>
      <c r="I559" s="41"/>
      <c r="K559" s="41"/>
      <c r="L559" s="64"/>
      <c r="M559" s="79"/>
    </row>
    <row r="560" spans="3:13" ht="13">
      <c r="C560" s="63"/>
      <c r="E560" s="41"/>
      <c r="F560" s="41"/>
      <c r="G560" s="41"/>
      <c r="H560" s="41"/>
      <c r="I560" s="41"/>
      <c r="K560" s="41"/>
      <c r="L560" s="64"/>
      <c r="M560" s="79"/>
    </row>
    <row r="561" spans="3:13" ht="13">
      <c r="C561" s="63"/>
      <c r="E561" s="41"/>
      <c r="F561" s="41"/>
      <c r="G561" s="41"/>
      <c r="H561" s="41"/>
      <c r="I561" s="41"/>
      <c r="K561" s="41"/>
      <c r="L561" s="64"/>
      <c r="M561" s="79"/>
    </row>
    <row r="562" spans="3:13" ht="13">
      <c r="C562" s="63"/>
      <c r="E562" s="41"/>
      <c r="F562" s="41"/>
      <c r="G562" s="41"/>
      <c r="H562" s="41"/>
      <c r="I562" s="41"/>
      <c r="K562" s="41"/>
      <c r="L562" s="64"/>
      <c r="M562" s="79"/>
    </row>
    <row r="563" spans="3:13" ht="13">
      <c r="C563" s="63"/>
      <c r="E563" s="41"/>
      <c r="F563" s="41"/>
      <c r="G563" s="41"/>
      <c r="H563" s="41"/>
      <c r="I563" s="41"/>
      <c r="K563" s="41"/>
      <c r="L563" s="64"/>
      <c r="M563" s="79"/>
    </row>
    <row r="564" spans="3:13" ht="13">
      <c r="C564" s="63"/>
      <c r="E564" s="41"/>
      <c r="F564" s="41"/>
      <c r="G564" s="41"/>
      <c r="H564" s="41"/>
      <c r="I564" s="41"/>
      <c r="K564" s="41"/>
      <c r="L564" s="64"/>
      <c r="M564" s="79"/>
    </row>
    <row r="565" spans="3:13" ht="13">
      <c r="C565" s="63"/>
      <c r="E565" s="41"/>
      <c r="F565" s="41"/>
      <c r="G565" s="41"/>
      <c r="H565" s="41"/>
      <c r="I565" s="41"/>
      <c r="K565" s="41"/>
      <c r="L565" s="64"/>
      <c r="M565" s="79"/>
    </row>
    <row r="566" spans="3:13" ht="13">
      <c r="C566" s="63"/>
      <c r="E566" s="41"/>
      <c r="F566" s="41"/>
      <c r="G566" s="41"/>
      <c r="H566" s="41"/>
      <c r="I566" s="41"/>
      <c r="K566" s="41"/>
      <c r="L566" s="64"/>
      <c r="M566" s="79"/>
    </row>
    <row r="567" spans="3:13" ht="13">
      <c r="C567" s="63"/>
      <c r="E567" s="41"/>
      <c r="F567" s="41"/>
      <c r="G567" s="41"/>
      <c r="H567" s="41"/>
      <c r="I567" s="41"/>
      <c r="K567" s="41"/>
      <c r="L567" s="64"/>
      <c r="M567" s="79"/>
    </row>
    <row r="568" spans="3:13" ht="13">
      <c r="C568" s="63"/>
      <c r="E568" s="41"/>
      <c r="F568" s="41"/>
      <c r="G568" s="41"/>
      <c r="H568" s="41"/>
      <c r="I568" s="41"/>
      <c r="K568" s="41"/>
      <c r="L568" s="64"/>
      <c r="M568" s="79"/>
    </row>
    <row r="569" spans="3:13" ht="13">
      <c r="C569" s="63"/>
      <c r="E569" s="41"/>
      <c r="F569" s="41"/>
      <c r="G569" s="41"/>
      <c r="H569" s="41"/>
      <c r="I569" s="41"/>
      <c r="K569" s="41"/>
      <c r="L569" s="64"/>
      <c r="M569" s="79"/>
    </row>
    <row r="570" spans="3:13" ht="13">
      <c r="C570" s="63"/>
      <c r="E570" s="41"/>
      <c r="F570" s="41"/>
      <c r="G570" s="41"/>
      <c r="H570" s="41"/>
      <c r="I570" s="41"/>
      <c r="K570" s="41"/>
      <c r="L570" s="64"/>
      <c r="M570" s="79"/>
    </row>
    <row r="571" spans="3:13" ht="13">
      <c r="C571" s="63"/>
      <c r="E571" s="41"/>
      <c r="F571" s="41"/>
      <c r="G571" s="41"/>
      <c r="H571" s="41"/>
      <c r="I571" s="41"/>
      <c r="K571" s="41"/>
      <c r="L571" s="64"/>
      <c r="M571" s="79"/>
    </row>
    <row r="572" spans="3:13" ht="13">
      <c r="C572" s="63"/>
      <c r="E572" s="41"/>
      <c r="F572" s="41"/>
      <c r="G572" s="41"/>
      <c r="H572" s="41"/>
      <c r="I572" s="41"/>
      <c r="K572" s="41"/>
      <c r="L572" s="64"/>
      <c r="M572" s="79"/>
    </row>
    <row r="573" spans="3:13" ht="13">
      <c r="C573" s="63"/>
      <c r="E573" s="41"/>
      <c r="F573" s="41"/>
      <c r="G573" s="41"/>
      <c r="H573" s="41"/>
      <c r="I573" s="41"/>
      <c r="K573" s="41"/>
      <c r="L573" s="64"/>
      <c r="M573" s="79"/>
    </row>
    <row r="574" spans="3:13" ht="13">
      <c r="C574" s="63"/>
      <c r="E574" s="41"/>
      <c r="F574" s="41"/>
      <c r="G574" s="41"/>
      <c r="H574" s="41"/>
      <c r="I574" s="41"/>
      <c r="K574" s="41"/>
      <c r="L574" s="64"/>
      <c r="M574" s="79"/>
    </row>
    <row r="575" spans="3:13" ht="13">
      <c r="C575" s="63"/>
      <c r="E575" s="41"/>
      <c r="F575" s="41"/>
      <c r="G575" s="41"/>
      <c r="H575" s="41"/>
      <c r="I575" s="41"/>
      <c r="K575" s="41"/>
      <c r="L575" s="64"/>
      <c r="M575" s="79"/>
    </row>
    <row r="576" spans="3:13" ht="13">
      <c r="C576" s="63"/>
      <c r="E576" s="41"/>
      <c r="F576" s="41"/>
      <c r="G576" s="41"/>
      <c r="H576" s="41"/>
      <c r="I576" s="41"/>
      <c r="K576" s="41"/>
      <c r="L576" s="64"/>
      <c r="M576" s="79"/>
    </row>
    <row r="577" spans="3:13" ht="13">
      <c r="C577" s="63"/>
      <c r="E577" s="41"/>
      <c r="F577" s="41"/>
      <c r="G577" s="41"/>
      <c r="H577" s="41"/>
      <c r="I577" s="41"/>
      <c r="K577" s="41"/>
      <c r="L577" s="64"/>
      <c r="M577" s="79"/>
    </row>
    <row r="578" spans="3:13" ht="13">
      <c r="C578" s="63"/>
      <c r="E578" s="41"/>
      <c r="F578" s="41"/>
      <c r="G578" s="41"/>
      <c r="H578" s="41"/>
      <c r="I578" s="41"/>
      <c r="K578" s="41"/>
      <c r="L578" s="64"/>
      <c r="M578" s="79"/>
    </row>
    <row r="579" spans="3:13" ht="13">
      <c r="C579" s="63"/>
      <c r="E579" s="41"/>
      <c r="F579" s="41"/>
      <c r="G579" s="41"/>
      <c r="H579" s="41"/>
      <c r="I579" s="41"/>
      <c r="K579" s="41"/>
      <c r="L579" s="64"/>
      <c r="M579" s="79"/>
    </row>
    <row r="580" spans="3:13" ht="13">
      <c r="C580" s="63"/>
      <c r="E580" s="41"/>
      <c r="F580" s="41"/>
      <c r="G580" s="41"/>
      <c r="H580" s="41"/>
      <c r="I580" s="41"/>
      <c r="K580" s="41"/>
      <c r="L580" s="64"/>
      <c r="M580" s="79"/>
    </row>
    <row r="581" spans="3:13" ht="13">
      <c r="C581" s="63"/>
      <c r="E581" s="41"/>
      <c r="F581" s="41"/>
      <c r="G581" s="41"/>
      <c r="H581" s="41"/>
      <c r="I581" s="41"/>
      <c r="K581" s="41"/>
      <c r="L581" s="64"/>
      <c r="M581" s="79"/>
    </row>
    <row r="582" spans="3:13" ht="13">
      <c r="C582" s="63"/>
      <c r="E582" s="41"/>
      <c r="F582" s="41"/>
      <c r="G582" s="41"/>
      <c r="H582" s="41"/>
      <c r="I582" s="41"/>
      <c r="K582" s="41"/>
      <c r="L582" s="64"/>
      <c r="M582" s="79"/>
    </row>
    <row r="583" spans="3:13" ht="13">
      <c r="C583" s="63"/>
      <c r="E583" s="41"/>
      <c r="F583" s="41"/>
      <c r="G583" s="41"/>
      <c r="H583" s="41"/>
      <c r="I583" s="41"/>
      <c r="K583" s="41"/>
      <c r="L583" s="64"/>
      <c r="M583" s="79"/>
    </row>
    <row r="584" spans="3:13" ht="13">
      <c r="C584" s="63"/>
      <c r="E584" s="41"/>
      <c r="F584" s="41"/>
      <c r="G584" s="41"/>
      <c r="H584" s="41"/>
      <c r="I584" s="41"/>
      <c r="K584" s="41"/>
      <c r="L584" s="64"/>
      <c r="M584" s="79"/>
    </row>
    <row r="585" spans="3:13" ht="13">
      <c r="C585" s="63"/>
      <c r="E585" s="41"/>
      <c r="F585" s="41"/>
      <c r="G585" s="41"/>
      <c r="H585" s="41"/>
      <c r="I585" s="41"/>
      <c r="K585" s="41"/>
      <c r="L585" s="64"/>
      <c r="M585" s="79"/>
    </row>
    <row r="586" spans="3:13" ht="13">
      <c r="C586" s="63"/>
      <c r="E586" s="41"/>
      <c r="F586" s="41"/>
      <c r="G586" s="41"/>
      <c r="H586" s="41"/>
      <c r="I586" s="41"/>
      <c r="K586" s="41"/>
      <c r="L586" s="64"/>
      <c r="M586" s="79"/>
    </row>
    <row r="587" spans="3:13" ht="13">
      <c r="C587" s="63"/>
      <c r="E587" s="41"/>
      <c r="F587" s="41"/>
      <c r="G587" s="41"/>
      <c r="H587" s="41"/>
      <c r="I587" s="41"/>
      <c r="K587" s="41"/>
      <c r="L587" s="64"/>
      <c r="M587" s="79"/>
    </row>
    <row r="588" spans="3:13" ht="13">
      <c r="C588" s="63"/>
      <c r="E588" s="41"/>
      <c r="F588" s="41"/>
      <c r="G588" s="41"/>
      <c r="H588" s="41"/>
      <c r="I588" s="41"/>
      <c r="K588" s="41"/>
      <c r="L588" s="64"/>
      <c r="M588" s="79"/>
    </row>
    <row r="589" spans="3:13" ht="13">
      <c r="C589" s="63"/>
      <c r="E589" s="41"/>
      <c r="F589" s="41"/>
      <c r="G589" s="41"/>
      <c r="H589" s="41"/>
      <c r="I589" s="41"/>
      <c r="K589" s="41"/>
      <c r="L589" s="64"/>
      <c r="M589" s="79"/>
    </row>
    <row r="590" spans="3:13" ht="13">
      <c r="C590" s="63"/>
      <c r="E590" s="41"/>
      <c r="F590" s="41"/>
      <c r="G590" s="41"/>
      <c r="H590" s="41"/>
      <c r="I590" s="41"/>
      <c r="K590" s="41"/>
      <c r="L590" s="64"/>
      <c r="M590" s="79"/>
    </row>
    <row r="591" spans="3:13" ht="13">
      <c r="C591" s="63"/>
      <c r="E591" s="41"/>
      <c r="F591" s="41"/>
      <c r="G591" s="41"/>
      <c r="H591" s="41"/>
      <c r="I591" s="41"/>
      <c r="K591" s="41"/>
      <c r="L591" s="64"/>
      <c r="M591" s="79"/>
    </row>
    <row r="592" spans="3:13" ht="13">
      <c r="C592" s="63"/>
      <c r="E592" s="41"/>
      <c r="F592" s="41"/>
      <c r="G592" s="41"/>
      <c r="H592" s="41"/>
      <c r="I592" s="41"/>
      <c r="K592" s="41"/>
      <c r="L592" s="64"/>
      <c r="M592" s="79"/>
    </row>
    <row r="593" spans="3:13" ht="13">
      <c r="C593" s="63"/>
      <c r="E593" s="41"/>
      <c r="F593" s="41"/>
      <c r="G593" s="41"/>
      <c r="H593" s="41"/>
      <c r="I593" s="41"/>
      <c r="K593" s="41"/>
      <c r="L593" s="64"/>
      <c r="M593" s="79"/>
    </row>
    <row r="594" spans="3:13" ht="13">
      <c r="C594" s="63"/>
      <c r="E594" s="41"/>
      <c r="F594" s="41"/>
      <c r="G594" s="41"/>
      <c r="H594" s="41"/>
      <c r="I594" s="41"/>
      <c r="K594" s="41"/>
      <c r="L594" s="64"/>
      <c r="M594" s="79"/>
    </row>
    <row r="595" spans="3:13" ht="13">
      <c r="C595" s="63"/>
      <c r="E595" s="41"/>
      <c r="F595" s="41"/>
      <c r="G595" s="41"/>
      <c r="H595" s="41"/>
      <c r="I595" s="41"/>
      <c r="K595" s="41"/>
      <c r="L595" s="64"/>
      <c r="M595" s="79"/>
    </row>
    <row r="596" spans="3:13" ht="13">
      <c r="C596" s="63"/>
      <c r="E596" s="41"/>
      <c r="F596" s="41"/>
      <c r="G596" s="41"/>
      <c r="H596" s="41"/>
      <c r="I596" s="41"/>
      <c r="K596" s="41"/>
      <c r="L596" s="64"/>
      <c r="M596" s="79"/>
    </row>
    <row r="597" spans="3:13" ht="13">
      <c r="C597" s="63"/>
      <c r="E597" s="41"/>
      <c r="F597" s="41"/>
      <c r="G597" s="41"/>
      <c r="H597" s="41"/>
      <c r="I597" s="41"/>
      <c r="K597" s="41"/>
      <c r="L597" s="64"/>
      <c r="M597" s="79"/>
    </row>
    <row r="598" spans="3:13" ht="13">
      <c r="C598" s="63"/>
      <c r="E598" s="41"/>
      <c r="F598" s="41"/>
      <c r="G598" s="41"/>
      <c r="H598" s="41"/>
      <c r="I598" s="41"/>
      <c r="K598" s="41"/>
      <c r="L598" s="64"/>
      <c r="M598" s="79"/>
    </row>
    <row r="599" spans="3:13" ht="13">
      <c r="C599" s="63"/>
      <c r="E599" s="41"/>
      <c r="F599" s="41"/>
      <c r="G599" s="41"/>
      <c r="H599" s="41"/>
      <c r="I599" s="41"/>
      <c r="K599" s="41"/>
      <c r="L599" s="64"/>
      <c r="M599" s="79"/>
    </row>
    <row r="600" spans="3:13" ht="13">
      <c r="C600" s="63"/>
      <c r="E600" s="41"/>
      <c r="F600" s="41"/>
      <c r="G600" s="41"/>
      <c r="H600" s="41"/>
      <c r="I600" s="41"/>
      <c r="K600" s="41"/>
      <c r="L600" s="64"/>
      <c r="M600" s="79"/>
    </row>
    <row r="601" spans="3:13" ht="13">
      <c r="C601" s="63"/>
      <c r="E601" s="41"/>
      <c r="F601" s="41"/>
      <c r="G601" s="41"/>
      <c r="H601" s="41"/>
      <c r="I601" s="41"/>
      <c r="K601" s="41"/>
      <c r="L601" s="64"/>
      <c r="M601" s="79"/>
    </row>
    <row r="602" spans="3:13" ht="13">
      <c r="C602" s="63"/>
      <c r="E602" s="41"/>
      <c r="F602" s="41"/>
      <c r="G602" s="41"/>
      <c r="H602" s="41"/>
      <c r="I602" s="41"/>
      <c r="K602" s="41"/>
      <c r="L602" s="64"/>
      <c r="M602" s="79"/>
    </row>
    <row r="603" spans="3:13" ht="13">
      <c r="C603" s="63"/>
      <c r="E603" s="41"/>
      <c r="F603" s="41"/>
      <c r="G603" s="41"/>
      <c r="H603" s="41"/>
      <c r="I603" s="41"/>
      <c r="K603" s="41"/>
      <c r="L603" s="64"/>
      <c r="M603" s="79"/>
    </row>
    <row r="604" spans="3:13" ht="13">
      <c r="C604" s="63"/>
      <c r="E604" s="41"/>
      <c r="F604" s="41"/>
      <c r="G604" s="41"/>
      <c r="H604" s="41"/>
      <c r="I604" s="41"/>
      <c r="K604" s="41"/>
      <c r="L604" s="64"/>
      <c r="M604" s="79"/>
    </row>
    <row r="605" spans="3:13" ht="13">
      <c r="C605" s="63"/>
      <c r="E605" s="41"/>
      <c r="F605" s="41"/>
      <c r="G605" s="41"/>
      <c r="H605" s="41"/>
      <c r="I605" s="41"/>
      <c r="K605" s="41"/>
      <c r="L605" s="64"/>
      <c r="M605" s="79"/>
    </row>
    <row r="606" spans="3:13" ht="13">
      <c r="C606" s="63"/>
      <c r="E606" s="41"/>
      <c r="F606" s="41"/>
      <c r="G606" s="41"/>
      <c r="H606" s="41"/>
      <c r="I606" s="41"/>
      <c r="K606" s="41"/>
      <c r="L606" s="64"/>
      <c r="M606" s="79"/>
    </row>
    <row r="607" spans="3:13" ht="13">
      <c r="C607" s="63"/>
      <c r="E607" s="41"/>
      <c r="F607" s="41"/>
      <c r="G607" s="41"/>
      <c r="H607" s="41"/>
      <c r="I607" s="41"/>
      <c r="K607" s="41"/>
      <c r="L607" s="64"/>
      <c r="M607" s="79"/>
    </row>
    <row r="608" spans="3:13" ht="13">
      <c r="C608" s="63"/>
      <c r="E608" s="41"/>
      <c r="F608" s="41"/>
      <c r="G608" s="41"/>
      <c r="H608" s="41"/>
      <c r="I608" s="41"/>
      <c r="K608" s="41"/>
      <c r="L608" s="64"/>
      <c r="M608" s="79"/>
    </row>
    <row r="609" spans="3:13" ht="13">
      <c r="C609" s="63"/>
      <c r="E609" s="41"/>
      <c r="F609" s="41"/>
      <c r="G609" s="41"/>
      <c r="H609" s="41"/>
      <c r="I609" s="41"/>
      <c r="K609" s="41"/>
      <c r="L609" s="64"/>
      <c r="M609" s="79"/>
    </row>
    <row r="610" spans="3:13" ht="13">
      <c r="C610" s="63"/>
      <c r="E610" s="41"/>
      <c r="F610" s="41"/>
      <c r="G610" s="41"/>
      <c r="H610" s="41"/>
      <c r="I610" s="41"/>
      <c r="K610" s="41"/>
      <c r="L610" s="64"/>
      <c r="M610" s="79"/>
    </row>
    <row r="611" spans="3:13" ht="13">
      <c r="C611" s="63"/>
      <c r="E611" s="41"/>
      <c r="F611" s="41"/>
      <c r="G611" s="41"/>
      <c r="H611" s="41"/>
      <c r="I611" s="41"/>
      <c r="K611" s="41"/>
      <c r="L611" s="64"/>
      <c r="M611" s="79"/>
    </row>
    <row r="612" spans="3:13" ht="13">
      <c r="C612" s="63"/>
      <c r="E612" s="41"/>
      <c r="F612" s="41"/>
      <c r="G612" s="41"/>
      <c r="H612" s="41"/>
      <c r="I612" s="41"/>
      <c r="K612" s="41"/>
      <c r="L612" s="64"/>
      <c r="M612" s="79"/>
    </row>
    <row r="613" spans="3:13" ht="13">
      <c r="C613" s="63"/>
      <c r="E613" s="41"/>
      <c r="F613" s="41"/>
      <c r="G613" s="41"/>
      <c r="H613" s="41"/>
      <c r="I613" s="41"/>
      <c r="K613" s="41"/>
      <c r="L613" s="64"/>
      <c r="M613" s="79"/>
    </row>
    <row r="614" spans="3:13" ht="13">
      <c r="C614" s="63"/>
      <c r="E614" s="41"/>
      <c r="F614" s="41"/>
      <c r="G614" s="41"/>
      <c r="H614" s="41"/>
      <c r="I614" s="41"/>
      <c r="K614" s="41"/>
      <c r="L614" s="64"/>
      <c r="M614" s="79"/>
    </row>
    <row r="615" spans="3:13" ht="13">
      <c r="C615" s="63"/>
      <c r="E615" s="41"/>
      <c r="F615" s="41"/>
      <c r="G615" s="41"/>
      <c r="H615" s="41"/>
      <c r="I615" s="41"/>
      <c r="K615" s="41"/>
      <c r="L615" s="64"/>
      <c r="M615" s="79"/>
    </row>
    <row r="616" spans="3:13" ht="13">
      <c r="C616" s="63"/>
      <c r="E616" s="41"/>
      <c r="F616" s="41"/>
      <c r="G616" s="41"/>
      <c r="H616" s="41"/>
      <c r="I616" s="41"/>
      <c r="K616" s="41"/>
      <c r="L616" s="64"/>
      <c r="M616" s="79"/>
    </row>
    <row r="617" spans="3:13" ht="13">
      <c r="C617" s="63"/>
      <c r="E617" s="41"/>
      <c r="F617" s="41"/>
      <c r="G617" s="41"/>
      <c r="H617" s="41"/>
      <c r="I617" s="41"/>
      <c r="K617" s="41"/>
      <c r="L617" s="64"/>
      <c r="M617" s="79"/>
    </row>
    <row r="618" spans="3:13" ht="13">
      <c r="C618" s="63"/>
      <c r="E618" s="41"/>
      <c r="F618" s="41"/>
      <c r="G618" s="41"/>
      <c r="H618" s="41"/>
      <c r="I618" s="41"/>
      <c r="K618" s="41"/>
      <c r="L618" s="64"/>
      <c r="M618" s="79"/>
    </row>
    <row r="619" spans="3:13" ht="13">
      <c r="C619" s="63"/>
      <c r="E619" s="41"/>
      <c r="F619" s="41"/>
      <c r="G619" s="41"/>
      <c r="H619" s="41"/>
      <c r="I619" s="41"/>
      <c r="K619" s="41"/>
      <c r="L619" s="64"/>
      <c r="M619" s="79"/>
    </row>
    <row r="620" spans="3:13" ht="13">
      <c r="C620" s="63"/>
      <c r="E620" s="41"/>
      <c r="F620" s="41"/>
      <c r="G620" s="41"/>
      <c r="H620" s="41"/>
      <c r="I620" s="41"/>
      <c r="K620" s="41"/>
      <c r="L620" s="64"/>
      <c r="M620" s="79"/>
    </row>
    <row r="621" spans="3:13" ht="13">
      <c r="C621" s="63"/>
      <c r="E621" s="41"/>
      <c r="F621" s="41"/>
      <c r="G621" s="41"/>
      <c r="H621" s="41"/>
      <c r="I621" s="41"/>
      <c r="K621" s="41"/>
      <c r="L621" s="64"/>
      <c r="M621" s="79"/>
    </row>
    <row r="622" spans="3:13" ht="13">
      <c r="C622" s="63"/>
      <c r="E622" s="41"/>
      <c r="F622" s="41"/>
      <c r="G622" s="41"/>
      <c r="H622" s="41"/>
      <c r="I622" s="41"/>
      <c r="K622" s="41"/>
      <c r="L622" s="64"/>
      <c r="M622" s="79"/>
    </row>
    <row r="623" spans="3:13" ht="13">
      <c r="C623" s="63"/>
      <c r="E623" s="41"/>
      <c r="F623" s="41"/>
      <c r="G623" s="41"/>
      <c r="H623" s="41"/>
      <c r="I623" s="41"/>
      <c r="K623" s="41"/>
      <c r="L623" s="64"/>
      <c r="M623" s="79"/>
    </row>
    <row r="624" spans="3:13" ht="13">
      <c r="C624" s="63"/>
      <c r="E624" s="41"/>
      <c r="F624" s="41"/>
      <c r="G624" s="41"/>
      <c r="H624" s="41"/>
      <c r="I624" s="41"/>
      <c r="K624" s="41"/>
      <c r="L624" s="64"/>
      <c r="M624" s="79"/>
    </row>
    <row r="625" spans="3:13" ht="13">
      <c r="C625" s="63"/>
      <c r="E625" s="41"/>
      <c r="F625" s="41"/>
      <c r="G625" s="41"/>
      <c r="H625" s="41"/>
      <c r="I625" s="41"/>
      <c r="K625" s="41"/>
      <c r="L625" s="64"/>
      <c r="M625" s="79"/>
    </row>
    <row r="626" spans="3:13" ht="13">
      <c r="C626" s="63"/>
      <c r="E626" s="41"/>
      <c r="F626" s="41"/>
      <c r="G626" s="41"/>
      <c r="H626" s="41"/>
      <c r="I626" s="41"/>
      <c r="K626" s="41"/>
      <c r="L626" s="64"/>
      <c r="M626" s="79"/>
    </row>
    <row r="627" spans="3:13" ht="13">
      <c r="C627" s="63"/>
      <c r="E627" s="41"/>
      <c r="F627" s="41"/>
      <c r="G627" s="41"/>
      <c r="H627" s="41"/>
      <c r="I627" s="41"/>
      <c r="K627" s="41"/>
      <c r="L627" s="64"/>
      <c r="M627" s="79"/>
    </row>
    <row r="628" spans="3:13" ht="13">
      <c r="C628" s="63"/>
      <c r="E628" s="41"/>
      <c r="F628" s="41"/>
      <c r="G628" s="41"/>
      <c r="H628" s="41"/>
      <c r="I628" s="41"/>
      <c r="K628" s="41"/>
      <c r="L628" s="64"/>
      <c r="M628" s="79"/>
    </row>
    <row r="629" spans="3:13" ht="13">
      <c r="C629" s="63"/>
      <c r="E629" s="41"/>
      <c r="F629" s="41"/>
      <c r="G629" s="41"/>
      <c r="H629" s="41"/>
      <c r="I629" s="41"/>
      <c r="K629" s="41"/>
      <c r="L629" s="64"/>
      <c r="M629" s="79"/>
    </row>
    <row r="630" spans="3:13" ht="13">
      <c r="C630" s="63"/>
      <c r="E630" s="41"/>
      <c r="F630" s="41"/>
      <c r="G630" s="41"/>
      <c r="H630" s="41"/>
      <c r="I630" s="41"/>
      <c r="K630" s="41"/>
      <c r="L630" s="64"/>
      <c r="M630" s="79"/>
    </row>
    <row r="631" spans="3:13" ht="13">
      <c r="C631" s="63"/>
      <c r="E631" s="41"/>
      <c r="F631" s="41"/>
      <c r="G631" s="41"/>
      <c r="H631" s="41"/>
      <c r="I631" s="41"/>
      <c r="K631" s="41"/>
      <c r="L631" s="64"/>
      <c r="M631" s="79"/>
    </row>
    <row r="632" spans="3:13" ht="13">
      <c r="C632" s="63"/>
      <c r="E632" s="41"/>
      <c r="F632" s="41"/>
      <c r="G632" s="41"/>
      <c r="H632" s="41"/>
      <c r="I632" s="41"/>
      <c r="K632" s="41"/>
      <c r="L632" s="64"/>
      <c r="M632" s="79"/>
    </row>
    <row r="633" spans="3:13" ht="13">
      <c r="C633" s="63"/>
      <c r="E633" s="41"/>
      <c r="F633" s="41"/>
      <c r="G633" s="41"/>
      <c r="H633" s="41"/>
      <c r="I633" s="41"/>
      <c r="K633" s="41"/>
      <c r="L633" s="64"/>
      <c r="M633" s="79"/>
    </row>
    <row r="634" spans="3:13" ht="13">
      <c r="C634" s="63"/>
      <c r="E634" s="41"/>
      <c r="F634" s="41"/>
      <c r="G634" s="41"/>
      <c r="H634" s="41"/>
      <c r="I634" s="41"/>
      <c r="K634" s="41"/>
      <c r="L634" s="64"/>
      <c r="M634" s="79"/>
    </row>
    <row r="635" spans="3:13" ht="13">
      <c r="C635" s="63"/>
      <c r="E635" s="41"/>
      <c r="F635" s="41"/>
      <c r="G635" s="41"/>
      <c r="H635" s="41"/>
      <c r="I635" s="41"/>
      <c r="K635" s="41"/>
      <c r="L635" s="64"/>
      <c r="M635" s="79"/>
    </row>
    <row r="636" spans="3:13" ht="13">
      <c r="C636" s="63"/>
      <c r="E636" s="41"/>
      <c r="F636" s="41"/>
      <c r="G636" s="41"/>
      <c r="H636" s="41"/>
      <c r="I636" s="41"/>
      <c r="K636" s="41"/>
      <c r="L636" s="64"/>
      <c r="M636" s="79"/>
    </row>
    <row r="637" spans="3:13" ht="13">
      <c r="C637" s="63"/>
      <c r="E637" s="41"/>
      <c r="F637" s="41"/>
      <c r="G637" s="41"/>
      <c r="H637" s="41"/>
      <c r="I637" s="41"/>
      <c r="K637" s="41"/>
      <c r="L637" s="64"/>
      <c r="M637" s="79"/>
    </row>
    <row r="638" spans="3:13" ht="13">
      <c r="C638" s="63"/>
      <c r="E638" s="41"/>
      <c r="F638" s="41"/>
      <c r="G638" s="41"/>
      <c r="H638" s="41"/>
      <c r="I638" s="41"/>
      <c r="K638" s="41"/>
      <c r="L638" s="64"/>
      <c r="M638" s="79"/>
    </row>
    <row r="639" spans="3:13" ht="13">
      <c r="C639" s="63"/>
      <c r="E639" s="41"/>
      <c r="F639" s="41"/>
      <c r="G639" s="41"/>
      <c r="H639" s="41"/>
      <c r="I639" s="41"/>
      <c r="K639" s="41"/>
      <c r="L639" s="64"/>
      <c r="M639" s="79"/>
    </row>
    <row r="640" spans="3:13" ht="13">
      <c r="C640" s="63"/>
      <c r="E640" s="41"/>
      <c r="F640" s="41"/>
      <c r="G640" s="41"/>
      <c r="H640" s="41"/>
      <c r="I640" s="41"/>
      <c r="K640" s="41"/>
      <c r="L640" s="64"/>
      <c r="M640" s="79"/>
    </row>
    <row r="641" spans="3:13" ht="13">
      <c r="C641" s="63"/>
      <c r="E641" s="41"/>
      <c r="F641" s="41"/>
      <c r="G641" s="41"/>
      <c r="H641" s="41"/>
      <c r="I641" s="41"/>
      <c r="K641" s="41"/>
      <c r="L641" s="64"/>
      <c r="M641" s="79"/>
    </row>
    <row r="642" spans="3:13" ht="13">
      <c r="C642" s="63"/>
      <c r="E642" s="41"/>
      <c r="F642" s="41"/>
      <c r="G642" s="41"/>
      <c r="H642" s="41"/>
      <c r="I642" s="41"/>
      <c r="K642" s="41"/>
      <c r="L642" s="64"/>
      <c r="M642" s="79"/>
    </row>
    <row r="643" spans="3:13" ht="13">
      <c r="C643" s="63"/>
      <c r="E643" s="41"/>
      <c r="F643" s="41"/>
      <c r="G643" s="41"/>
      <c r="H643" s="41"/>
      <c r="I643" s="41"/>
      <c r="K643" s="41"/>
      <c r="L643" s="64"/>
      <c r="M643" s="79"/>
    </row>
    <row r="644" spans="3:13" ht="13">
      <c r="C644" s="63"/>
      <c r="E644" s="41"/>
      <c r="F644" s="41"/>
      <c r="G644" s="41"/>
      <c r="H644" s="41"/>
      <c r="I644" s="41"/>
      <c r="K644" s="41"/>
      <c r="L644" s="64"/>
      <c r="M644" s="79"/>
    </row>
    <row r="645" spans="3:13" ht="13">
      <c r="C645" s="63"/>
      <c r="E645" s="41"/>
      <c r="F645" s="41"/>
      <c r="G645" s="41"/>
      <c r="H645" s="41"/>
      <c r="I645" s="41"/>
      <c r="K645" s="41"/>
      <c r="L645" s="64"/>
      <c r="M645" s="79"/>
    </row>
    <row r="646" spans="3:13" ht="13">
      <c r="C646" s="63"/>
      <c r="E646" s="41"/>
      <c r="F646" s="41"/>
      <c r="G646" s="41"/>
      <c r="H646" s="41"/>
      <c r="I646" s="41"/>
      <c r="K646" s="41"/>
      <c r="L646" s="64"/>
      <c r="M646" s="79"/>
    </row>
    <row r="647" spans="3:13" ht="13">
      <c r="C647" s="63"/>
      <c r="E647" s="41"/>
      <c r="F647" s="41"/>
      <c r="G647" s="41"/>
      <c r="H647" s="41"/>
      <c r="I647" s="41"/>
      <c r="K647" s="41"/>
      <c r="L647" s="64"/>
      <c r="M647" s="79"/>
    </row>
    <row r="648" spans="3:13" ht="13">
      <c r="C648" s="63"/>
      <c r="E648" s="41"/>
      <c r="F648" s="41"/>
      <c r="G648" s="41"/>
      <c r="H648" s="41"/>
      <c r="I648" s="41"/>
      <c r="K648" s="41"/>
      <c r="L648" s="64"/>
      <c r="M648" s="79"/>
    </row>
    <row r="649" spans="3:13" ht="13">
      <c r="C649" s="63"/>
      <c r="E649" s="41"/>
      <c r="F649" s="41"/>
      <c r="G649" s="41"/>
      <c r="H649" s="41"/>
      <c r="I649" s="41"/>
      <c r="K649" s="41"/>
      <c r="L649" s="64"/>
      <c r="M649" s="79"/>
    </row>
    <row r="650" spans="3:13" ht="13">
      <c r="C650" s="63"/>
      <c r="E650" s="41"/>
      <c r="F650" s="41"/>
      <c r="G650" s="41"/>
      <c r="H650" s="41"/>
      <c r="I650" s="41"/>
      <c r="K650" s="41"/>
      <c r="L650" s="64"/>
      <c r="M650" s="79"/>
    </row>
    <row r="651" spans="3:13" ht="13">
      <c r="C651" s="63"/>
      <c r="E651" s="41"/>
      <c r="F651" s="41"/>
      <c r="G651" s="41"/>
      <c r="H651" s="41"/>
      <c r="I651" s="41"/>
      <c r="K651" s="41"/>
      <c r="L651" s="64"/>
      <c r="M651" s="79"/>
    </row>
    <row r="652" spans="3:13" ht="13">
      <c r="C652" s="63"/>
      <c r="E652" s="41"/>
      <c r="F652" s="41"/>
      <c r="G652" s="41"/>
      <c r="H652" s="41"/>
      <c r="I652" s="41"/>
      <c r="K652" s="41"/>
      <c r="L652" s="64"/>
      <c r="M652" s="79"/>
    </row>
    <row r="653" spans="3:13" ht="13">
      <c r="C653" s="63"/>
      <c r="E653" s="41"/>
      <c r="F653" s="41"/>
      <c r="G653" s="41"/>
      <c r="H653" s="41"/>
      <c r="I653" s="41"/>
      <c r="K653" s="41"/>
      <c r="L653" s="64"/>
      <c r="M653" s="79"/>
    </row>
    <row r="654" spans="3:13" ht="13">
      <c r="C654" s="63"/>
      <c r="E654" s="41"/>
      <c r="F654" s="41"/>
      <c r="G654" s="41"/>
      <c r="H654" s="41"/>
      <c r="I654" s="41"/>
      <c r="K654" s="41"/>
      <c r="L654" s="64"/>
      <c r="M654" s="79"/>
    </row>
    <row r="655" spans="3:13" ht="13">
      <c r="C655" s="63"/>
      <c r="E655" s="41"/>
      <c r="F655" s="41"/>
      <c r="G655" s="41"/>
      <c r="H655" s="41"/>
      <c r="I655" s="41"/>
      <c r="K655" s="41"/>
      <c r="L655" s="64"/>
      <c r="M655" s="79"/>
    </row>
    <row r="656" spans="3:13" ht="13">
      <c r="C656" s="63"/>
      <c r="E656" s="41"/>
      <c r="F656" s="41"/>
      <c r="G656" s="41"/>
      <c r="H656" s="41"/>
      <c r="I656" s="41"/>
      <c r="K656" s="41"/>
      <c r="L656" s="64"/>
      <c r="M656" s="79"/>
    </row>
    <row r="657" spans="3:13" ht="13">
      <c r="C657" s="63"/>
      <c r="E657" s="41"/>
      <c r="F657" s="41"/>
      <c r="G657" s="41"/>
      <c r="H657" s="41"/>
      <c r="I657" s="41"/>
      <c r="K657" s="41"/>
      <c r="L657" s="64"/>
      <c r="M657" s="79"/>
    </row>
    <row r="658" spans="3:13" ht="13">
      <c r="C658" s="63"/>
      <c r="E658" s="41"/>
      <c r="F658" s="41"/>
      <c r="G658" s="41"/>
      <c r="H658" s="41"/>
      <c r="I658" s="41"/>
      <c r="K658" s="41"/>
      <c r="L658" s="64"/>
      <c r="M658" s="79"/>
    </row>
    <row r="659" spans="3:13" ht="13">
      <c r="C659" s="63"/>
      <c r="E659" s="41"/>
      <c r="F659" s="41"/>
      <c r="G659" s="41"/>
      <c r="H659" s="41"/>
      <c r="I659" s="41"/>
      <c r="K659" s="41"/>
      <c r="L659" s="64"/>
      <c r="M659" s="79"/>
    </row>
    <row r="660" spans="3:13" ht="13">
      <c r="C660" s="63"/>
      <c r="E660" s="41"/>
      <c r="F660" s="41"/>
      <c r="G660" s="41"/>
      <c r="H660" s="41"/>
      <c r="I660" s="41"/>
      <c r="K660" s="41"/>
      <c r="L660" s="64"/>
      <c r="M660" s="79"/>
    </row>
    <row r="661" spans="3:13" ht="13">
      <c r="C661" s="63"/>
      <c r="E661" s="41"/>
      <c r="F661" s="41"/>
      <c r="G661" s="41"/>
      <c r="H661" s="41"/>
      <c r="I661" s="41"/>
      <c r="K661" s="41"/>
      <c r="L661" s="64"/>
      <c r="M661" s="79"/>
    </row>
    <row r="662" spans="3:13" ht="13">
      <c r="C662" s="63"/>
      <c r="E662" s="41"/>
      <c r="F662" s="41"/>
      <c r="G662" s="41"/>
      <c r="H662" s="41"/>
      <c r="I662" s="41"/>
      <c r="K662" s="41"/>
      <c r="L662" s="64"/>
      <c r="M662" s="79"/>
    </row>
    <row r="663" spans="3:13" ht="13">
      <c r="C663" s="63"/>
      <c r="E663" s="41"/>
      <c r="F663" s="41"/>
      <c r="G663" s="41"/>
      <c r="H663" s="41"/>
      <c r="I663" s="41"/>
      <c r="K663" s="41"/>
      <c r="L663" s="64"/>
      <c r="M663" s="79"/>
    </row>
    <row r="664" spans="3:13" ht="13">
      <c r="C664" s="63"/>
      <c r="E664" s="41"/>
      <c r="F664" s="41"/>
      <c r="G664" s="41"/>
      <c r="H664" s="41"/>
      <c r="I664" s="41"/>
      <c r="K664" s="41"/>
      <c r="L664" s="64"/>
      <c r="M664" s="79"/>
    </row>
    <row r="665" spans="3:13" ht="13">
      <c r="C665" s="63"/>
      <c r="E665" s="41"/>
      <c r="F665" s="41"/>
      <c r="G665" s="41"/>
      <c r="H665" s="41"/>
      <c r="I665" s="41"/>
      <c r="K665" s="41"/>
      <c r="L665" s="64"/>
      <c r="M665" s="79"/>
    </row>
    <row r="666" spans="3:13" ht="13">
      <c r="C666" s="63"/>
      <c r="E666" s="41"/>
      <c r="F666" s="41"/>
      <c r="G666" s="41"/>
      <c r="H666" s="41"/>
      <c r="I666" s="41"/>
      <c r="K666" s="41"/>
      <c r="L666" s="64"/>
      <c r="M666" s="79"/>
    </row>
    <row r="667" spans="3:13" ht="13">
      <c r="C667" s="63"/>
      <c r="E667" s="41"/>
      <c r="F667" s="41"/>
      <c r="G667" s="41"/>
      <c r="H667" s="41"/>
      <c r="I667" s="41"/>
      <c r="K667" s="41"/>
      <c r="L667" s="64"/>
      <c r="M667" s="79"/>
    </row>
    <row r="668" spans="3:13" ht="13">
      <c r="C668" s="63"/>
      <c r="E668" s="41"/>
      <c r="F668" s="41"/>
      <c r="G668" s="41"/>
      <c r="H668" s="41"/>
      <c r="I668" s="41"/>
      <c r="K668" s="41"/>
      <c r="L668" s="64"/>
      <c r="M668" s="79"/>
    </row>
    <row r="669" spans="3:13" ht="13">
      <c r="C669" s="63"/>
      <c r="E669" s="41"/>
      <c r="F669" s="41"/>
      <c r="G669" s="41"/>
      <c r="H669" s="41"/>
      <c r="I669" s="41"/>
      <c r="K669" s="41"/>
      <c r="L669" s="64"/>
      <c r="M669" s="79"/>
    </row>
    <row r="670" spans="3:13" ht="13">
      <c r="C670" s="63"/>
      <c r="E670" s="41"/>
      <c r="F670" s="41"/>
      <c r="G670" s="41"/>
      <c r="H670" s="41"/>
      <c r="I670" s="41"/>
      <c r="K670" s="41"/>
      <c r="L670" s="64"/>
      <c r="M670" s="79"/>
    </row>
    <row r="671" spans="3:13" ht="13">
      <c r="C671" s="63"/>
      <c r="E671" s="41"/>
      <c r="F671" s="41"/>
      <c r="G671" s="41"/>
      <c r="H671" s="41"/>
      <c r="I671" s="41"/>
      <c r="K671" s="41"/>
      <c r="L671" s="64"/>
      <c r="M671" s="79"/>
    </row>
    <row r="672" spans="3:13" ht="13">
      <c r="C672" s="63"/>
      <c r="E672" s="41"/>
      <c r="F672" s="41"/>
      <c r="G672" s="41"/>
      <c r="H672" s="41"/>
      <c r="I672" s="41"/>
      <c r="K672" s="41"/>
      <c r="L672" s="64"/>
      <c r="M672" s="79"/>
    </row>
    <row r="673" spans="3:13" ht="13">
      <c r="C673" s="63"/>
      <c r="E673" s="41"/>
      <c r="F673" s="41"/>
      <c r="G673" s="41"/>
      <c r="H673" s="41"/>
      <c r="I673" s="41"/>
      <c r="K673" s="41"/>
      <c r="L673" s="64"/>
      <c r="M673" s="79"/>
    </row>
    <row r="674" spans="3:13" ht="13">
      <c r="C674" s="63"/>
      <c r="E674" s="41"/>
      <c r="F674" s="41"/>
      <c r="G674" s="41"/>
      <c r="H674" s="41"/>
      <c r="I674" s="41"/>
      <c r="K674" s="41"/>
      <c r="L674" s="64"/>
      <c r="M674" s="79"/>
    </row>
    <row r="675" spans="3:13" ht="13">
      <c r="C675" s="63"/>
      <c r="E675" s="41"/>
      <c r="F675" s="41"/>
      <c r="G675" s="41"/>
      <c r="H675" s="41"/>
      <c r="I675" s="41"/>
      <c r="K675" s="41"/>
      <c r="L675" s="64"/>
      <c r="M675" s="79"/>
    </row>
    <row r="676" spans="3:13" ht="13">
      <c r="C676" s="63"/>
      <c r="E676" s="41"/>
      <c r="F676" s="41"/>
      <c r="G676" s="41"/>
      <c r="H676" s="41"/>
      <c r="I676" s="41"/>
      <c r="K676" s="41"/>
      <c r="L676" s="64"/>
      <c r="M676" s="79"/>
    </row>
    <row r="677" spans="3:13" ht="13">
      <c r="C677" s="63"/>
      <c r="E677" s="41"/>
      <c r="F677" s="41"/>
      <c r="G677" s="41"/>
      <c r="H677" s="41"/>
      <c r="I677" s="41"/>
      <c r="K677" s="41"/>
      <c r="L677" s="64"/>
      <c r="M677" s="79"/>
    </row>
    <row r="678" spans="3:13" ht="13">
      <c r="C678" s="63"/>
      <c r="E678" s="41"/>
      <c r="F678" s="41"/>
      <c r="G678" s="41"/>
      <c r="H678" s="41"/>
      <c r="I678" s="41"/>
      <c r="K678" s="41"/>
      <c r="L678" s="64"/>
      <c r="M678" s="79"/>
    </row>
    <row r="679" spans="3:13" ht="13">
      <c r="C679" s="63"/>
      <c r="E679" s="41"/>
      <c r="F679" s="41"/>
      <c r="G679" s="41"/>
      <c r="H679" s="41"/>
      <c r="I679" s="41"/>
      <c r="K679" s="41"/>
      <c r="L679" s="64"/>
      <c r="M679" s="79"/>
    </row>
    <row r="680" spans="3:13" ht="13">
      <c r="C680" s="63"/>
      <c r="E680" s="41"/>
      <c r="F680" s="41"/>
      <c r="G680" s="41"/>
      <c r="H680" s="41"/>
      <c r="I680" s="41"/>
      <c r="K680" s="41"/>
      <c r="L680" s="64"/>
      <c r="M680" s="79"/>
    </row>
    <row r="681" spans="3:13" ht="13">
      <c r="C681" s="63"/>
      <c r="E681" s="41"/>
      <c r="F681" s="41"/>
      <c r="G681" s="41"/>
      <c r="H681" s="41"/>
      <c r="I681" s="41"/>
      <c r="K681" s="41"/>
      <c r="L681" s="64"/>
      <c r="M681" s="79"/>
    </row>
    <row r="682" spans="3:13" ht="13">
      <c r="C682" s="63"/>
      <c r="E682" s="41"/>
      <c r="F682" s="41"/>
      <c r="G682" s="41"/>
      <c r="H682" s="41"/>
      <c r="I682" s="41"/>
      <c r="K682" s="41"/>
      <c r="L682" s="64"/>
      <c r="M682" s="79"/>
    </row>
    <row r="683" spans="3:13" ht="13">
      <c r="C683" s="63"/>
      <c r="E683" s="41"/>
      <c r="F683" s="41"/>
      <c r="G683" s="41"/>
      <c r="H683" s="41"/>
      <c r="I683" s="41"/>
      <c r="K683" s="41"/>
      <c r="L683" s="64"/>
      <c r="M683" s="79"/>
    </row>
    <row r="684" spans="3:13" ht="13">
      <c r="C684" s="63"/>
      <c r="E684" s="41"/>
      <c r="F684" s="41"/>
      <c r="G684" s="41"/>
      <c r="H684" s="41"/>
      <c r="I684" s="41"/>
      <c r="K684" s="41"/>
      <c r="L684" s="64"/>
      <c r="M684" s="79"/>
    </row>
    <row r="685" spans="3:13" ht="13">
      <c r="C685" s="63"/>
      <c r="E685" s="41"/>
      <c r="F685" s="41"/>
      <c r="G685" s="41"/>
      <c r="H685" s="41"/>
      <c r="I685" s="41"/>
      <c r="K685" s="41"/>
      <c r="L685" s="64"/>
      <c r="M685" s="79"/>
    </row>
    <row r="686" spans="3:13" ht="13">
      <c r="C686" s="63"/>
      <c r="E686" s="41"/>
      <c r="F686" s="41"/>
      <c r="G686" s="41"/>
      <c r="H686" s="41"/>
      <c r="I686" s="41"/>
      <c r="K686" s="41"/>
      <c r="L686" s="64"/>
      <c r="M686" s="79"/>
    </row>
    <row r="687" spans="3:13" ht="13">
      <c r="C687" s="63"/>
      <c r="E687" s="41"/>
      <c r="F687" s="41"/>
      <c r="G687" s="41"/>
      <c r="H687" s="41"/>
      <c r="I687" s="41"/>
      <c r="K687" s="41"/>
      <c r="L687" s="64"/>
      <c r="M687" s="79"/>
    </row>
    <row r="688" spans="3:13" ht="13">
      <c r="C688" s="63"/>
      <c r="E688" s="41"/>
      <c r="F688" s="41"/>
      <c r="G688" s="41"/>
      <c r="H688" s="41"/>
      <c r="I688" s="41"/>
      <c r="K688" s="41"/>
      <c r="L688" s="64"/>
      <c r="M688" s="79"/>
    </row>
    <row r="689" spans="3:13" ht="13">
      <c r="C689" s="63"/>
      <c r="E689" s="41"/>
      <c r="F689" s="41"/>
      <c r="G689" s="41"/>
      <c r="H689" s="41"/>
      <c r="I689" s="41"/>
      <c r="K689" s="41"/>
      <c r="L689" s="64"/>
      <c r="M689" s="79"/>
    </row>
    <row r="690" spans="3:13" ht="13">
      <c r="C690" s="63"/>
      <c r="E690" s="41"/>
      <c r="F690" s="41"/>
      <c r="G690" s="41"/>
      <c r="H690" s="41"/>
      <c r="I690" s="41"/>
      <c r="K690" s="41"/>
      <c r="L690" s="64"/>
      <c r="M690" s="79"/>
    </row>
    <row r="691" spans="3:13" ht="13">
      <c r="C691" s="63"/>
      <c r="E691" s="41"/>
      <c r="F691" s="41"/>
      <c r="G691" s="41"/>
      <c r="H691" s="41"/>
      <c r="I691" s="41"/>
      <c r="K691" s="41"/>
      <c r="L691" s="64"/>
      <c r="M691" s="79"/>
    </row>
    <row r="692" spans="3:13" ht="13">
      <c r="C692" s="63"/>
      <c r="E692" s="41"/>
      <c r="F692" s="41"/>
      <c r="G692" s="41"/>
      <c r="H692" s="41"/>
      <c r="I692" s="41"/>
      <c r="K692" s="41"/>
      <c r="L692" s="64"/>
      <c r="M692" s="79"/>
    </row>
    <row r="693" spans="3:13" ht="13">
      <c r="C693" s="63"/>
      <c r="E693" s="41"/>
      <c r="F693" s="41"/>
      <c r="G693" s="41"/>
      <c r="H693" s="41"/>
      <c r="I693" s="41"/>
      <c r="K693" s="41"/>
      <c r="L693" s="64"/>
      <c r="M693" s="79"/>
    </row>
    <row r="694" spans="3:13" ht="13">
      <c r="C694" s="63"/>
      <c r="E694" s="41"/>
      <c r="F694" s="41"/>
      <c r="G694" s="41"/>
      <c r="H694" s="41"/>
      <c r="I694" s="41"/>
      <c r="K694" s="41"/>
      <c r="L694" s="64"/>
      <c r="M694" s="79"/>
    </row>
    <row r="695" spans="3:13" ht="13">
      <c r="C695" s="63"/>
      <c r="E695" s="41"/>
      <c r="F695" s="41"/>
      <c r="G695" s="41"/>
      <c r="H695" s="41"/>
      <c r="I695" s="41"/>
      <c r="K695" s="41"/>
      <c r="L695" s="64"/>
      <c r="M695" s="79"/>
    </row>
    <row r="696" spans="3:13" ht="13">
      <c r="C696" s="63"/>
      <c r="E696" s="41"/>
      <c r="F696" s="41"/>
      <c r="G696" s="41"/>
      <c r="H696" s="41"/>
      <c r="I696" s="41"/>
      <c r="K696" s="41"/>
      <c r="L696" s="64"/>
      <c r="M696" s="79"/>
    </row>
    <row r="697" spans="3:13" ht="13">
      <c r="C697" s="63"/>
      <c r="E697" s="41"/>
      <c r="F697" s="41"/>
      <c r="G697" s="41"/>
      <c r="H697" s="41"/>
      <c r="I697" s="41"/>
      <c r="K697" s="41"/>
      <c r="L697" s="64"/>
      <c r="M697" s="79"/>
    </row>
    <row r="698" spans="3:13" ht="13">
      <c r="C698" s="63"/>
      <c r="E698" s="41"/>
      <c r="F698" s="41"/>
      <c r="G698" s="41"/>
      <c r="H698" s="41"/>
      <c r="I698" s="41"/>
      <c r="K698" s="41"/>
      <c r="L698" s="64"/>
      <c r="M698" s="79"/>
    </row>
    <row r="699" spans="3:13" ht="13">
      <c r="C699" s="63"/>
      <c r="E699" s="41"/>
      <c r="F699" s="41"/>
      <c r="G699" s="41"/>
      <c r="H699" s="41"/>
      <c r="I699" s="41"/>
      <c r="K699" s="41"/>
      <c r="L699" s="64"/>
      <c r="M699" s="79"/>
    </row>
    <row r="700" spans="3:13" ht="13">
      <c r="C700" s="63"/>
      <c r="E700" s="41"/>
      <c r="F700" s="41"/>
      <c r="G700" s="41"/>
      <c r="H700" s="41"/>
      <c r="I700" s="41"/>
      <c r="K700" s="41"/>
      <c r="L700" s="64"/>
      <c r="M700" s="79"/>
    </row>
    <row r="701" spans="3:13" ht="13">
      <c r="C701" s="63"/>
      <c r="E701" s="41"/>
      <c r="F701" s="41"/>
      <c r="G701" s="41"/>
      <c r="H701" s="41"/>
      <c r="I701" s="41"/>
      <c r="K701" s="41"/>
      <c r="L701" s="64"/>
      <c r="M701" s="79"/>
    </row>
    <row r="702" spans="3:13" ht="13">
      <c r="C702" s="63"/>
      <c r="E702" s="41"/>
      <c r="F702" s="41"/>
      <c r="G702" s="41"/>
      <c r="H702" s="41"/>
      <c r="I702" s="41"/>
      <c r="K702" s="41"/>
      <c r="L702" s="64"/>
      <c r="M702" s="79"/>
    </row>
    <row r="703" spans="3:13" ht="13">
      <c r="C703" s="63"/>
      <c r="E703" s="41"/>
      <c r="F703" s="41"/>
      <c r="G703" s="41"/>
      <c r="H703" s="41"/>
      <c r="I703" s="41"/>
      <c r="K703" s="41"/>
      <c r="L703" s="64"/>
      <c r="M703" s="79"/>
    </row>
    <row r="704" spans="3:13" ht="13">
      <c r="C704" s="63"/>
      <c r="E704" s="41"/>
      <c r="F704" s="41"/>
      <c r="G704" s="41"/>
      <c r="H704" s="41"/>
      <c r="I704" s="41"/>
      <c r="K704" s="41"/>
      <c r="L704" s="64"/>
      <c r="M704" s="79"/>
    </row>
    <row r="705" spans="3:13" ht="13">
      <c r="C705" s="63"/>
      <c r="E705" s="41"/>
      <c r="F705" s="41"/>
      <c r="G705" s="41"/>
      <c r="H705" s="41"/>
      <c r="I705" s="41"/>
      <c r="K705" s="41"/>
      <c r="L705" s="64"/>
      <c r="M705" s="79"/>
    </row>
    <row r="706" spans="3:13" ht="13">
      <c r="C706" s="63"/>
      <c r="E706" s="41"/>
      <c r="F706" s="41"/>
      <c r="G706" s="41"/>
      <c r="H706" s="41"/>
      <c r="I706" s="41"/>
      <c r="K706" s="41"/>
      <c r="L706" s="64"/>
      <c r="M706" s="79"/>
    </row>
    <row r="707" spans="3:13" ht="13">
      <c r="C707" s="63"/>
      <c r="E707" s="41"/>
      <c r="F707" s="41"/>
      <c r="G707" s="41"/>
      <c r="H707" s="41"/>
      <c r="I707" s="41"/>
      <c r="K707" s="41"/>
      <c r="L707" s="64"/>
      <c r="M707" s="79"/>
    </row>
    <row r="708" spans="3:13" ht="13">
      <c r="C708" s="63"/>
      <c r="E708" s="41"/>
      <c r="F708" s="41"/>
      <c r="G708" s="41"/>
      <c r="H708" s="41"/>
      <c r="I708" s="41"/>
      <c r="K708" s="41"/>
      <c r="L708" s="64"/>
      <c r="M708" s="79"/>
    </row>
    <row r="709" spans="3:13" ht="13">
      <c r="C709" s="63"/>
      <c r="E709" s="41"/>
      <c r="F709" s="41"/>
      <c r="G709" s="41"/>
      <c r="H709" s="41"/>
      <c r="I709" s="41"/>
      <c r="K709" s="41"/>
      <c r="L709" s="64"/>
      <c r="M709" s="79"/>
    </row>
    <row r="710" spans="3:13" ht="13">
      <c r="C710" s="63"/>
      <c r="E710" s="41"/>
      <c r="F710" s="41"/>
      <c r="G710" s="41"/>
      <c r="H710" s="41"/>
      <c r="I710" s="41"/>
      <c r="K710" s="41"/>
      <c r="L710" s="64"/>
      <c r="M710" s="79"/>
    </row>
    <row r="711" spans="3:13" ht="13">
      <c r="C711" s="63"/>
      <c r="E711" s="41"/>
      <c r="F711" s="41"/>
      <c r="G711" s="41"/>
      <c r="H711" s="41"/>
      <c r="I711" s="41"/>
      <c r="K711" s="41"/>
      <c r="L711" s="64"/>
      <c r="M711" s="79"/>
    </row>
    <row r="712" spans="3:13" ht="13">
      <c r="C712" s="63"/>
      <c r="E712" s="41"/>
      <c r="F712" s="41"/>
      <c r="G712" s="41"/>
      <c r="H712" s="41"/>
      <c r="I712" s="41"/>
      <c r="K712" s="41"/>
      <c r="L712" s="64"/>
      <c r="M712" s="79"/>
    </row>
    <row r="713" spans="3:13" ht="13">
      <c r="C713" s="63"/>
      <c r="E713" s="41"/>
      <c r="F713" s="41"/>
      <c r="G713" s="41"/>
      <c r="H713" s="41"/>
      <c r="I713" s="41"/>
      <c r="K713" s="41"/>
      <c r="L713" s="64"/>
      <c r="M713" s="79"/>
    </row>
    <row r="714" spans="3:13" ht="13">
      <c r="C714" s="63"/>
      <c r="E714" s="41"/>
      <c r="F714" s="41"/>
      <c r="G714" s="41"/>
      <c r="H714" s="41"/>
      <c r="I714" s="41"/>
      <c r="K714" s="41"/>
      <c r="L714" s="64"/>
      <c r="M714" s="79"/>
    </row>
    <row r="715" spans="3:13" ht="13">
      <c r="C715" s="63"/>
      <c r="E715" s="41"/>
      <c r="F715" s="41"/>
      <c r="G715" s="41"/>
      <c r="H715" s="41"/>
      <c r="I715" s="41"/>
      <c r="K715" s="41"/>
      <c r="L715" s="64"/>
      <c r="M715" s="79"/>
    </row>
    <row r="716" spans="3:13" ht="13">
      <c r="C716" s="63"/>
      <c r="E716" s="41"/>
      <c r="F716" s="41"/>
      <c r="G716" s="41"/>
      <c r="H716" s="41"/>
      <c r="I716" s="41"/>
      <c r="K716" s="41"/>
      <c r="L716" s="64"/>
      <c r="M716" s="79"/>
    </row>
    <row r="717" spans="3:13" ht="13">
      <c r="C717" s="63"/>
      <c r="E717" s="41"/>
      <c r="F717" s="41"/>
      <c r="G717" s="41"/>
      <c r="H717" s="41"/>
      <c r="I717" s="41"/>
      <c r="K717" s="41"/>
      <c r="L717" s="64"/>
      <c r="M717" s="79"/>
    </row>
    <row r="718" spans="3:13" ht="13">
      <c r="C718" s="63"/>
      <c r="E718" s="41"/>
      <c r="F718" s="41"/>
      <c r="G718" s="41"/>
      <c r="H718" s="41"/>
      <c r="I718" s="41"/>
      <c r="K718" s="41"/>
      <c r="L718" s="64"/>
      <c r="M718" s="79"/>
    </row>
    <row r="719" spans="3:13" ht="13">
      <c r="C719" s="63"/>
      <c r="E719" s="41"/>
      <c r="F719" s="41"/>
      <c r="G719" s="41"/>
      <c r="H719" s="41"/>
      <c r="I719" s="41"/>
      <c r="K719" s="41"/>
      <c r="L719" s="64"/>
      <c r="M719" s="79"/>
    </row>
    <row r="720" spans="3:13" ht="13">
      <c r="C720" s="63"/>
      <c r="E720" s="41"/>
      <c r="F720" s="41"/>
      <c r="G720" s="41"/>
      <c r="H720" s="41"/>
      <c r="I720" s="41"/>
      <c r="K720" s="41"/>
      <c r="L720" s="64"/>
      <c r="M720" s="79"/>
    </row>
    <row r="721" spans="3:13" ht="13">
      <c r="C721" s="63"/>
      <c r="E721" s="41"/>
      <c r="F721" s="41"/>
      <c r="G721" s="41"/>
      <c r="H721" s="41"/>
      <c r="I721" s="41"/>
      <c r="K721" s="41"/>
      <c r="L721" s="64"/>
      <c r="M721" s="79"/>
    </row>
    <row r="722" spans="3:13" ht="13">
      <c r="C722" s="63"/>
      <c r="E722" s="41"/>
      <c r="F722" s="41"/>
      <c r="G722" s="41"/>
      <c r="H722" s="41"/>
      <c r="I722" s="41"/>
      <c r="K722" s="41"/>
      <c r="L722" s="64"/>
      <c r="M722" s="79"/>
    </row>
    <row r="723" spans="3:13" ht="13">
      <c r="C723" s="63"/>
      <c r="E723" s="41"/>
      <c r="F723" s="41"/>
      <c r="G723" s="41"/>
      <c r="H723" s="41"/>
      <c r="I723" s="41"/>
      <c r="K723" s="41"/>
      <c r="L723" s="64"/>
      <c r="M723" s="79"/>
    </row>
    <row r="724" spans="3:13" ht="13">
      <c r="C724" s="63"/>
      <c r="E724" s="41"/>
      <c r="F724" s="41"/>
      <c r="G724" s="41"/>
      <c r="H724" s="41"/>
      <c r="I724" s="41"/>
      <c r="K724" s="41"/>
      <c r="L724" s="64"/>
      <c r="M724" s="79"/>
    </row>
    <row r="725" spans="3:13" ht="13">
      <c r="C725" s="63"/>
      <c r="E725" s="41"/>
      <c r="F725" s="41"/>
      <c r="G725" s="41"/>
      <c r="H725" s="41"/>
      <c r="I725" s="41"/>
      <c r="K725" s="41"/>
      <c r="L725" s="64"/>
      <c r="M725" s="79"/>
    </row>
    <row r="726" spans="3:13" ht="13">
      <c r="C726" s="63"/>
      <c r="E726" s="41"/>
      <c r="F726" s="41"/>
      <c r="G726" s="41"/>
      <c r="H726" s="41"/>
      <c r="I726" s="41"/>
      <c r="K726" s="41"/>
      <c r="L726" s="64"/>
      <c r="M726" s="79"/>
    </row>
    <row r="727" spans="3:13" ht="13">
      <c r="C727" s="63"/>
      <c r="E727" s="41"/>
      <c r="F727" s="41"/>
      <c r="G727" s="41"/>
      <c r="H727" s="41"/>
      <c r="I727" s="41"/>
      <c r="K727" s="41"/>
      <c r="L727" s="64"/>
      <c r="M727" s="79"/>
    </row>
    <row r="728" spans="3:13" ht="13">
      <c r="C728" s="63"/>
      <c r="E728" s="41"/>
      <c r="F728" s="41"/>
      <c r="G728" s="41"/>
      <c r="H728" s="41"/>
      <c r="I728" s="41"/>
      <c r="K728" s="41"/>
      <c r="L728" s="64"/>
      <c r="M728" s="79"/>
    </row>
    <row r="729" spans="3:13" ht="13">
      <c r="C729" s="63"/>
      <c r="E729" s="41"/>
      <c r="F729" s="41"/>
      <c r="G729" s="41"/>
      <c r="H729" s="41"/>
      <c r="I729" s="41"/>
      <c r="K729" s="41"/>
      <c r="L729" s="64"/>
      <c r="M729" s="79"/>
    </row>
    <row r="730" spans="3:13" ht="13">
      <c r="C730" s="63"/>
      <c r="E730" s="41"/>
      <c r="F730" s="41"/>
      <c r="G730" s="41"/>
      <c r="H730" s="41"/>
      <c r="I730" s="41"/>
      <c r="K730" s="41"/>
      <c r="L730" s="64"/>
      <c r="M730" s="79"/>
    </row>
    <row r="731" spans="3:13" ht="13">
      <c r="C731" s="63"/>
      <c r="E731" s="41"/>
      <c r="F731" s="41"/>
      <c r="G731" s="41"/>
      <c r="H731" s="41"/>
      <c r="I731" s="41"/>
      <c r="K731" s="41"/>
      <c r="L731" s="64"/>
      <c r="M731" s="79"/>
    </row>
    <row r="732" spans="3:13" ht="13">
      <c r="C732" s="63"/>
      <c r="E732" s="41"/>
      <c r="F732" s="41"/>
      <c r="G732" s="41"/>
      <c r="H732" s="41"/>
      <c r="I732" s="41"/>
      <c r="K732" s="41"/>
      <c r="L732" s="64"/>
      <c r="M732" s="79"/>
    </row>
    <row r="733" spans="3:13" ht="13">
      <c r="C733" s="63"/>
      <c r="E733" s="41"/>
      <c r="F733" s="41"/>
      <c r="G733" s="41"/>
      <c r="H733" s="41"/>
      <c r="I733" s="41"/>
      <c r="K733" s="41"/>
      <c r="L733" s="64"/>
      <c r="M733" s="79"/>
    </row>
    <row r="734" spans="3:13" ht="13">
      <c r="C734" s="63"/>
      <c r="E734" s="41"/>
      <c r="F734" s="41"/>
      <c r="G734" s="41"/>
      <c r="H734" s="41"/>
      <c r="I734" s="41"/>
      <c r="K734" s="41"/>
      <c r="L734" s="64"/>
      <c r="M734" s="79"/>
    </row>
    <row r="735" spans="3:13" ht="13">
      <c r="C735" s="63"/>
      <c r="E735" s="41"/>
      <c r="F735" s="41"/>
      <c r="G735" s="41"/>
      <c r="H735" s="41"/>
      <c r="I735" s="41"/>
      <c r="K735" s="41"/>
      <c r="L735" s="64"/>
      <c r="M735" s="79"/>
    </row>
    <row r="736" spans="3:13" ht="13">
      <c r="C736" s="63"/>
      <c r="E736" s="41"/>
      <c r="F736" s="41"/>
      <c r="G736" s="41"/>
      <c r="H736" s="41"/>
      <c r="I736" s="41"/>
      <c r="K736" s="41"/>
      <c r="L736" s="64"/>
      <c r="M736" s="79"/>
    </row>
    <row r="737" spans="3:13" ht="13">
      <c r="C737" s="63"/>
      <c r="E737" s="41"/>
      <c r="F737" s="41"/>
      <c r="G737" s="41"/>
      <c r="H737" s="41"/>
      <c r="I737" s="41"/>
      <c r="K737" s="41"/>
      <c r="L737" s="64"/>
      <c r="M737" s="79"/>
    </row>
    <row r="738" spans="3:13" ht="13">
      <c r="C738" s="63"/>
      <c r="E738" s="41"/>
      <c r="F738" s="41"/>
      <c r="G738" s="41"/>
      <c r="H738" s="41"/>
      <c r="I738" s="41"/>
      <c r="K738" s="41"/>
      <c r="L738" s="64"/>
      <c r="M738" s="79"/>
    </row>
    <row r="739" spans="3:13" ht="13">
      <c r="C739" s="63"/>
      <c r="E739" s="41"/>
      <c r="F739" s="41"/>
      <c r="G739" s="41"/>
      <c r="H739" s="41"/>
      <c r="I739" s="41"/>
      <c r="K739" s="41"/>
      <c r="L739" s="64"/>
      <c r="M739" s="79"/>
    </row>
    <row r="740" spans="3:13" ht="13">
      <c r="C740" s="63"/>
      <c r="E740" s="41"/>
      <c r="F740" s="41"/>
      <c r="G740" s="41"/>
      <c r="H740" s="41"/>
      <c r="I740" s="41"/>
      <c r="K740" s="41"/>
      <c r="L740" s="64"/>
      <c r="M740" s="79"/>
    </row>
    <row r="741" spans="3:13" ht="13">
      <c r="C741" s="63"/>
      <c r="E741" s="41"/>
      <c r="F741" s="41"/>
      <c r="G741" s="41"/>
      <c r="H741" s="41"/>
      <c r="I741" s="41"/>
      <c r="K741" s="41"/>
      <c r="L741" s="64"/>
      <c r="M741" s="79"/>
    </row>
    <row r="742" spans="3:13" ht="13">
      <c r="C742" s="63"/>
      <c r="E742" s="41"/>
      <c r="F742" s="41"/>
      <c r="G742" s="41"/>
      <c r="H742" s="41"/>
      <c r="I742" s="41"/>
      <c r="K742" s="41"/>
      <c r="L742" s="64"/>
      <c r="M742" s="79"/>
    </row>
    <row r="743" spans="3:13" ht="13">
      <c r="C743" s="63"/>
      <c r="E743" s="41"/>
      <c r="F743" s="41"/>
      <c r="G743" s="41"/>
      <c r="H743" s="41"/>
      <c r="I743" s="41"/>
      <c r="K743" s="41"/>
      <c r="L743" s="64"/>
      <c r="M743" s="79"/>
    </row>
    <row r="744" spans="3:13" ht="13">
      <c r="C744" s="63"/>
      <c r="E744" s="41"/>
      <c r="F744" s="41"/>
      <c r="G744" s="41"/>
      <c r="H744" s="41"/>
      <c r="I744" s="41"/>
      <c r="K744" s="41"/>
      <c r="L744" s="64"/>
      <c r="M744" s="79"/>
    </row>
    <row r="745" spans="3:13" ht="13">
      <c r="C745" s="63"/>
      <c r="E745" s="41"/>
      <c r="F745" s="41"/>
      <c r="G745" s="41"/>
      <c r="H745" s="41"/>
      <c r="I745" s="41"/>
      <c r="K745" s="41"/>
      <c r="L745" s="64"/>
      <c r="M745" s="79"/>
    </row>
    <row r="746" spans="3:13" ht="13">
      <c r="C746" s="63"/>
      <c r="E746" s="41"/>
      <c r="F746" s="41"/>
      <c r="G746" s="41"/>
      <c r="H746" s="41"/>
      <c r="I746" s="41"/>
      <c r="K746" s="41"/>
      <c r="L746" s="64"/>
      <c r="M746" s="79"/>
    </row>
    <row r="747" spans="3:13" ht="13">
      <c r="C747" s="63"/>
      <c r="E747" s="41"/>
      <c r="F747" s="41"/>
      <c r="G747" s="41"/>
      <c r="H747" s="41"/>
      <c r="I747" s="41"/>
      <c r="K747" s="41"/>
      <c r="L747" s="64"/>
      <c r="M747" s="79"/>
    </row>
    <row r="748" spans="3:13" ht="13">
      <c r="C748" s="63"/>
      <c r="E748" s="41"/>
      <c r="F748" s="41"/>
      <c r="G748" s="41"/>
      <c r="H748" s="41"/>
      <c r="I748" s="41"/>
      <c r="K748" s="41"/>
      <c r="L748" s="64"/>
      <c r="M748" s="79"/>
    </row>
    <row r="749" spans="3:13" ht="13">
      <c r="C749" s="63"/>
      <c r="E749" s="41"/>
      <c r="F749" s="41"/>
      <c r="G749" s="41"/>
      <c r="H749" s="41"/>
      <c r="I749" s="41"/>
      <c r="K749" s="41"/>
      <c r="L749" s="64"/>
      <c r="M749" s="79"/>
    </row>
    <row r="750" spans="3:13" ht="13">
      <c r="C750" s="63"/>
      <c r="E750" s="41"/>
      <c r="F750" s="41"/>
      <c r="G750" s="41"/>
      <c r="H750" s="41"/>
      <c r="I750" s="41"/>
      <c r="K750" s="41"/>
      <c r="L750" s="64"/>
      <c r="M750" s="79"/>
    </row>
    <row r="751" spans="3:13" ht="13">
      <c r="C751" s="63"/>
      <c r="E751" s="41"/>
      <c r="F751" s="41"/>
      <c r="G751" s="41"/>
      <c r="H751" s="41"/>
      <c r="I751" s="41"/>
      <c r="K751" s="41"/>
      <c r="L751" s="64"/>
      <c r="M751" s="79"/>
    </row>
    <row r="752" spans="3:13" ht="13">
      <c r="C752" s="63"/>
      <c r="E752" s="41"/>
      <c r="F752" s="41"/>
      <c r="G752" s="41"/>
      <c r="H752" s="41"/>
      <c r="I752" s="41"/>
      <c r="K752" s="41"/>
      <c r="L752" s="64"/>
      <c r="M752" s="79"/>
    </row>
    <row r="753" spans="3:13" ht="13">
      <c r="C753" s="63"/>
      <c r="E753" s="41"/>
      <c r="F753" s="41"/>
      <c r="G753" s="41"/>
      <c r="H753" s="41"/>
      <c r="I753" s="41"/>
      <c r="K753" s="41"/>
      <c r="L753" s="64"/>
      <c r="M753" s="79"/>
    </row>
    <row r="754" spans="3:13" ht="13">
      <c r="C754" s="63"/>
      <c r="E754" s="41"/>
      <c r="F754" s="41"/>
      <c r="G754" s="41"/>
      <c r="H754" s="41"/>
      <c r="I754" s="41"/>
      <c r="K754" s="41"/>
      <c r="L754" s="64"/>
      <c r="M754" s="79"/>
    </row>
    <row r="755" spans="3:13" ht="13">
      <c r="C755" s="63"/>
      <c r="E755" s="41"/>
      <c r="F755" s="41"/>
      <c r="G755" s="41"/>
      <c r="H755" s="41"/>
      <c r="I755" s="41"/>
      <c r="K755" s="41"/>
      <c r="L755" s="64"/>
      <c r="M755" s="79"/>
    </row>
    <row r="756" spans="3:13" ht="13">
      <c r="C756" s="63"/>
      <c r="E756" s="41"/>
      <c r="F756" s="41"/>
      <c r="G756" s="41"/>
      <c r="H756" s="41"/>
      <c r="I756" s="41"/>
      <c r="K756" s="41"/>
      <c r="L756" s="64"/>
      <c r="M756" s="79"/>
    </row>
    <row r="757" spans="3:13" ht="13">
      <c r="C757" s="63"/>
      <c r="E757" s="41"/>
      <c r="F757" s="41"/>
      <c r="G757" s="41"/>
      <c r="H757" s="41"/>
      <c r="I757" s="41"/>
      <c r="K757" s="41"/>
      <c r="L757" s="64"/>
      <c r="M757" s="79"/>
    </row>
    <row r="758" spans="3:13" ht="13">
      <c r="C758" s="63"/>
      <c r="E758" s="41"/>
      <c r="F758" s="41"/>
      <c r="G758" s="41"/>
      <c r="H758" s="41"/>
      <c r="I758" s="41"/>
      <c r="K758" s="41"/>
      <c r="L758" s="64"/>
      <c r="M758" s="79"/>
    </row>
    <row r="759" spans="3:13" ht="13">
      <c r="C759" s="63"/>
      <c r="E759" s="41"/>
      <c r="F759" s="41"/>
      <c r="G759" s="41"/>
      <c r="H759" s="41"/>
      <c r="I759" s="41"/>
      <c r="K759" s="41"/>
      <c r="L759" s="64"/>
      <c r="M759" s="79"/>
    </row>
    <row r="760" spans="3:13" ht="13">
      <c r="C760" s="63"/>
      <c r="E760" s="41"/>
      <c r="F760" s="41"/>
      <c r="G760" s="41"/>
      <c r="H760" s="41"/>
      <c r="I760" s="41"/>
      <c r="K760" s="41"/>
      <c r="L760" s="64"/>
      <c r="M760" s="79"/>
    </row>
    <row r="761" spans="3:13" ht="13">
      <c r="C761" s="63"/>
      <c r="E761" s="41"/>
      <c r="F761" s="41"/>
      <c r="G761" s="41"/>
      <c r="H761" s="41"/>
      <c r="I761" s="41"/>
      <c r="K761" s="41"/>
      <c r="L761" s="64"/>
      <c r="M761" s="79"/>
    </row>
    <row r="762" spans="3:13" ht="13">
      <c r="C762" s="63"/>
      <c r="E762" s="41"/>
      <c r="F762" s="41"/>
      <c r="G762" s="41"/>
      <c r="H762" s="41"/>
      <c r="I762" s="41"/>
      <c r="K762" s="41"/>
      <c r="L762" s="64"/>
      <c r="M762" s="79"/>
    </row>
    <row r="763" spans="3:13" ht="13">
      <c r="C763" s="63"/>
      <c r="E763" s="41"/>
      <c r="F763" s="41"/>
      <c r="G763" s="41"/>
      <c r="H763" s="41"/>
      <c r="I763" s="41"/>
      <c r="K763" s="41"/>
      <c r="L763" s="64"/>
      <c r="M763" s="79"/>
    </row>
    <row r="764" spans="3:13" ht="13">
      <c r="C764" s="63"/>
      <c r="E764" s="41"/>
      <c r="F764" s="41"/>
      <c r="G764" s="41"/>
      <c r="H764" s="41"/>
      <c r="I764" s="41"/>
      <c r="K764" s="41"/>
      <c r="L764" s="64"/>
      <c r="M764" s="79"/>
    </row>
    <row r="765" spans="3:13" ht="13">
      <c r="C765" s="63"/>
      <c r="E765" s="41"/>
      <c r="F765" s="41"/>
      <c r="G765" s="41"/>
      <c r="H765" s="41"/>
      <c r="I765" s="41"/>
      <c r="K765" s="41"/>
      <c r="L765" s="64"/>
      <c r="M765" s="79"/>
    </row>
    <row r="766" spans="3:13" ht="13">
      <c r="C766" s="63"/>
      <c r="E766" s="41"/>
      <c r="F766" s="41"/>
      <c r="G766" s="41"/>
      <c r="H766" s="41"/>
      <c r="I766" s="41"/>
      <c r="K766" s="41"/>
      <c r="L766" s="64"/>
      <c r="M766" s="79"/>
    </row>
    <row r="767" spans="3:13" ht="13">
      <c r="C767" s="63"/>
      <c r="E767" s="41"/>
      <c r="F767" s="41"/>
      <c r="G767" s="41"/>
      <c r="H767" s="41"/>
      <c r="I767" s="41"/>
      <c r="K767" s="41"/>
      <c r="L767" s="64"/>
      <c r="M767" s="79"/>
    </row>
    <row r="768" spans="3:13" ht="13">
      <c r="C768" s="63"/>
      <c r="E768" s="41"/>
      <c r="F768" s="41"/>
      <c r="G768" s="41"/>
      <c r="H768" s="41"/>
      <c r="I768" s="41"/>
      <c r="K768" s="41"/>
      <c r="L768" s="64"/>
      <c r="M768" s="79"/>
    </row>
    <row r="769" spans="3:13" ht="13">
      <c r="C769" s="63"/>
      <c r="E769" s="41"/>
      <c r="F769" s="41"/>
      <c r="G769" s="41"/>
      <c r="H769" s="41"/>
      <c r="I769" s="41"/>
      <c r="K769" s="41"/>
      <c r="L769" s="64"/>
      <c r="M769" s="79"/>
    </row>
    <row r="770" spans="3:13" ht="13">
      <c r="C770" s="63"/>
      <c r="E770" s="41"/>
      <c r="F770" s="41"/>
      <c r="G770" s="41"/>
      <c r="H770" s="41"/>
      <c r="I770" s="41"/>
      <c r="K770" s="41"/>
      <c r="L770" s="64"/>
      <c r="M770" s="79"/>
    </row>
    <row r="771" spans="3:13" ht="13">
      <c r="C771" s="63"/>
      <c r="E771" s="41"/>
      <c r="F771" s="41"/>
      <c r="G771" s="41"/>
      <c r="H771" s="41"/>
      <c r="I771" s="41"/>
      <c r="K771" s="41"/>
      <c r="L771" s="64"/>
      <c r="M771" s="79"/>
    </row>
    <row r="772" spans="3:13" ht="13">
      <c r="C772" s="63"/>
      <c r="E772" s="41"/>
      <c r="F772" s="41"/>
      <c r="G772" s="41"/>
      <c r="H772" s="41"/>
      <c r="I772" s="41"/>
      <c r="K772" s="41"/>
      <c r="L772" s="64"/>
      <c r="M772" s="79"/>
    </row>
    <row r="773" spans="3:13" ht="13">
      <c r="C773" s="63"/>
      <c r="E773" s="41"/>
      <c r="F773" s="41"/>
      <c r="G773" s="41"/>
      <c r="H773" s="41"/>
      <c r="I773" s="41"/>
      <c r="K773" s="41"/>
      <c r="L773" s="64"/>
      <c r="M773" s="79"/>
    </row>
    <row r="774" spans="3:13" ht="13">
      <c r="C774" s="63"/>
      <c r="E774" s="41"/>
      <c r="F774" s="41"/>
      <c r="G774" s="41"/>
      <c r="H774" s="41"/>
      <c r="I774" s="41"/>
      <c r="K774" s="41"/>
      <c r="L774" s="64"/>
      <c r="M774" s="79"/>
    </row>
    <row r="775" spans="3:13" ht="13">
      <c r="C775" s="63"/>
      <c r="E775" s="41"/>
      <c r="F775" s="41"/>
      <c r="G775" s="41"/>
      <c r="H775" s="41"/>
      <c r="I775" s="41"/>
      <c r="K775" s="41"/>
      <c r="L775" s="64"/>
      <c r="M775" s="79"/>
    </row>
    <row r="776" spans="3:13" ht="13">
      <c r="C776" s="63"/>
      <c r="E776" s="41"/>
      <c r="F776" s="41"/>
      <c r="G776" s="41"/>
      <c r="H776" s="41"/>
      <c r="I776" s="41"/>
      <c r="K776" s="41"/>
      <c r="L776" s="64"/>
      <c r="M776" s="79"/>
    </row>
    <row r="777" spans="3:13" ht="13">
      <c r="C777" s="63"/>
      <c r="E777" s="41"/>
      <c r="F777" s="41"/>
      <c r="G777" s="41"/>
      <c r="H777" s="41"/>
      <c r="I777" s="41"/>
      <c r="K777" s="41"/>
      <c r="L777" s="64"/>
      <c r="M777" s="79"/>
    </row>
    <row r="778" spans="3:13" ht="13">
      <c r="C778" s="63"/>
      <c r="E778" s="41"/>
      <c r="F778" s="41"/>
      <c r="G778" s="41"/>
      <c r="H778" s="41"/>
      <c r="I778" s="41"/>
      <c r="K778" s="41"/>
      <c r="L778" s="64"/>
      <c r="M778" s="79"/>
    </row>
    <row r="779" spans="3:13" ht="13">
      <c r="C779" s="63"/>
      <c r="E779" s="41"/>
      <c r="F779" s="41"/>
      <c r="G779" s="41"/>
      <c r="H779" s="41"/>
      <c r="I779" s="41"/>
      <c r="K779" s="41"/>
      <c r="L779" s="64"/>
      <c r="M779" s="79"/>
    </row>
    <row r="780" spans="3:13" ht="13">
      <c r="C780" s="63"/>
      <c r="E780" s="41"/>
      <c r="F780" s="41"/>
      <c r="G780" s="41"/>
      <c r="H780" s="41"/>
      <c r="I780" s="41"/>
      <c r="K780" s="41"/>
      <c r="L780" s="64"/>
      <c r="M780" s="79"/>
    </row>
    <row r="781" spans="3:13" ht="13">
      <c r="C781" s="63"/>
      <c r="E781" s="41"/>
      <c r="F781" s="41"/>
      <c r="G781" s="41"/>
      <c r="H781" s="41"/>
      <c r="I781" s="41"/>
      <c r="K781" s="41"/>
      <c r="L781" s="64"/>
      <c r="M781" s="79"/>
    </row>
    <row r="782" spans="3:13" ht="13">
      <c r="C782" s="63"/>
      <c r="E782" s="41"/>
      <c r="F782" s="41"/>
      <c r="G782" s="41"/>
      <c r="H782" s="41"/>
      <c r="I782" s="41"/>
      <c r="K782" s="41"/>
      <c r="L782" s="64"/>
      <c r="M782" s="79"/>
    </row>
    <row r="783" spans="3:13" ht="13">
      <c r="C783" s="63"/>
      <c r="E783" s="41"/>
      <c r="F783" s="41"/>
      <c r="G783" s="41"/>
      <c r="H783" s="41"/>
      <c r="I783" s="41"/>
      <c r="K783" s="41"/>
      <c r="L783" s="64"/>
      <c r="M783" s="79"/>
    </row>
    <row r="784" spans="3:13" ht="13">
      <c r="C784" s="63"/>
      <c r="E784" s="41"/>
      <c r="F784" s="41"/>
      <c r="G784" s="41"/>
      <c r="H784" s="41"/>
      <c r="I784" s="41"/>
      <c r="K784" s="41"/>
      <c r="L784" s="64"/>
      <c r="M784" s="79"/>
    </row>
    <row r="785" spans="3:13" ht="13">
      <c r="C785" s="63"/>
      <c r="E785" s="41"/>
      <c r="F785" s="41"/>
      <c r="G785" s="41"/>
      <c r="H785" s="41"/>
      <c r="I785" s="41"/>
      <c r="K785" s="41"/>
      <c r="L785" s="64"/>
      <c r="M785" s="79"/>
    </row>
    <row r="786" spans="3:13" ht="13">
      <c r="C786" s="63"/>
      <c r="E786" s="41"/>
      <c r="F786" s="41"/>
      <c r="G786" s="41"/>
      <c r="H786" s="41"/>
      <c r="I786" s="41"/>
      <c r="K786" s="41"/>
      <c r="L786" s="64"/>
      <c r="M786" s="79"/>
    </row>
    <row r="787" spans="3:13" ht="13">
      <c r="C787" s="63"/>
      <c r="E787" s="41"/>
      <c r="F787" s="41"/>
      <c r="G787" s="41"/>
      <c r="H787" s="41"/>
      <c r="I787" s="41"/>
      <c r="K787" s="41"/>
      <c r="L787" s="64"/>
      <c r="M787" s="79"/>
    </row>
    <row r="788" spans="3:13" ht="13">
      <c r="C788" s="63"/>
      <c r="E788" s="41"/>
      <c r="F788" s="41"/>
      <c r="G788" s="41"/>
      <c r="H788" s="41"/>
      <c r="I788" s="41"/>
      <c r="K788" s="41"/>
      <c r="L788" s="64"/>
      <c r="M788" s="79"/>
    </row>
    <row r="789" spans="3:13" ht="13">
      <c r="C789" s="63"/>
      <c r="E789" s="41"/>
      <c r="F789" s="41"/>
      <c r="G789" s="41"/>
      <c r="H789" s="41"/>
      <c r="I789" s="41"/>
      <c r="K789" s="41"/>
      <c r="L789" s="64"/>
      <c r="M789" s="79"/>
    </row>
    <row r="790" spans="3:13" ht="13">
      <c r="C790" s="63"/>
      <c r="E790" s="41"/>
      <c r="F790" s="41"/>
      <c r="G790" s="41"/>
      <c r="H790" s="41"/>
      <c r="I790" s="41"/>
      <c r="K790" s="41"/>
      <c r="L790" s="64"/>
      <c r="M790" s="79"/>
    </row>
    <row r="791" spans="3:13" ht="13">
      <c r="C791" s="63"/>
      <c r="E791" s="41"/>
      <c r="F791" s="41"/>
      <c r="G791" s="41"/>
      <c r="H791" s="41"/>
      <c r="I791" s="41"/>
      <c r="K791" s="41"/>
      <c r="L791" s="64"/>
      <c r="M791" s="79"/>
    </row>
    <row r="792" spans="3:13" ht="13">
      <c r="C792" s="63"/>
      <c r="E792" s="41"/>
      <c r="F792" s="41"/>
      <c r="G792" s="41"/>
      <c r="H792" s="41"/>
      <c r="I792" s="41"/>
      <c r="K792" s="41"/>
      <c r="L792" s="64"/>
      <c r="M792" s="79"/>
    </row>
    <row r="793" spans="3:13" ht="13">
      <c r="C793" s="63"/>
      <c r="E793" s="41"/>
      <c r="F793" s="41"/>
      <c r="G793" s="41"/>
      <c r="H793" s="41"/>
      <c r="I793" s="41"/>
      <c r="K793" s="41"/>
      <c r="L793" s="64"/>
      <c r="M793" s="79"/>
    </row>
    <row r="794" spans="3:13" ht="13">
      <c r="C794" s="63"/>
      <c r="E794" s="41"/>
      <c r="F794" s="41"/>
      <c r="G794" s="41"/>
      <c r="H794" s="41"/>
      <c r="I794" s="41"/>
      <c r="K794" s="41"/>
      <c r="L794" s="64"/>
      <c r="M794" s="79"/>
    </row>
    <row r="795" spans="3:13" ht="13">
      <c r="C795" s="63"/>
      <c r="E795" s="41"/>
      <c r="F795" s="41"/>
      <c r="G795" s="41"/>
      <c r="H795" s="41"/>
      <c r="I795" s="41"/>
      <c r="K795" s="41"/>
      <c r="L795" s="64"/>
      <c r="M795" s="79"/>
    </row>
    <row r="796" spans="3:13" ht="13">
      <c r="C796" s="63"/>
      <c r="E796" s="41"/>
      <c r="F796" s="41"/>
      <c r="G796" s="41"/>
      <c r="H796" s="41"/>
      <c r="I796" s="41"/>
      <c r="K796" s="41"/>
      <c r="L796" s="64"/>
      <c r="M796" s="79"/>
    </row>
    <row r="797" spans="3:13" ht="13">
      <c r="C797" s="63"/>
      <c r="E797" s="41"/>
      <c r="F797" s="41"/>
      <c r="G797" s="41"/>
      <c r="H797" s="41"/>
      <c r="I797" s="41"/>
      <c r="K797" s="41"/>
      <c r="L797" s="64"/>
      <c r="M797" s="79"/>
    </row>
    <row r="798" spans="3:13" ht="13">
      <c r="C798" s="63"/>
      <c r="E798" s="41"/>
      <c r="F798" s="41"/>
      <c r="G798" s="41"/>
      <c r="H798" s="41"/>
      <c r="I798" s="41"/>
      <c r="K798" s="41"/>
      <c r="L798" s="64"/>
      <c r="M798" s="79"/>
    </row>
    <row r="799" spans="3:13" ht="13">
      <c r="C799" s="63"/>
      <c r="E799" s="41"/>
      <c r="F799" s="41"/>
      <c r="G799" s="41"/>
      <c r="H799" s="41"/>
      <c r="I799" s="41"/>
      <c r="K799" s="41"/>
      <c r="L799" s="64"/>
      <c r="M799" s="79"/>
    </row>
    <row r="800" spans="3:13" ht="13">
      <c r="C800" s="63"/>
      <c r="E800" s="41"/>
      <c r="F800" s="41"/>
      <c r="G800" s="41"/>
      <c r="H800" s="41"/>
      <c r="I800" s="41"/>
      <c r="K800" s="41"/>
      <c r="L800" s="64"/>
      <c r="M800" s="79"/>
    </row>
    <row r="801" spans="3:13" ht="13">
      <c r="C801" s="63"/>
      <c r="E801" s="41"/>
      <c r="F801" s="41"/>
      <c r="G801" s="41"/>
      <c r="H801" s="41"/>
      <c r="I801" s="41"/>
      <c r="K801" s="41"/>
      <c r="L801" s="64"/>
      <c r="M801" s="79"/>
    </row>
    <row r="802" spans="3:13" ht="13">
      <c r="C802" s="63"/>
      <c r="E802" s="41"/>
      <c r="F802" s="41"/>
      <c r="G802" s="41"/>
      <c r="H802" s="41"/>
      <c r="I802" s="41"/>
      <c r="K802" s="41"/>
      <c r="L802" s="64"/>
      <c r="M802" s="79"/>
    </row>
    <row r="803" spans="3:13" ht="13">
      <c r="C803" s="63"/>
      <c r="E803" s="41"/>
      <c r="F803" s="41"/>
      <c r="G803" s="41"/>
      <c r="H803" s="41"/>
      <c r="I803" s="41"/>
      <c r="K803" s="41"/>
      <c r="L803" s="64"/>
      <c r="M803" s="79"/>
    </row>
    <row r="804" spans="3:13" ht="13">
      <c r="C804" s="63"/>
      <c r="E804" s="41"/>
      <c r="F804" s="41"/>
      <c r="G804" s="41"/>
      <c r="H804" s="41"/>
      <c r="I804" s="41"/>
      <c r="K804" s="41"/>
      <c r="L804" s="64"/>
      <c r="M804" s="79"/>
    </row>
    <row r="805" spans="3:13" ht="13">
      <c r="C805" s="63"/>
      <c r="E805" s="41"/>
      <c r="F805" s="41"/>
      <c r="G805" s="41"/>
      <c r="H805" s="41"/>
      <c r="I805" s="41"/>
      <c r="K805" s="41"/>
      <c r="L805" s="64"/>
      <c r="M805" s="79"/>
    </row>
    <row r="806" spans="3:13" ht="13">
      <c r="C806" s="63"/>
      <c r="E806" s="41"/>
      <c r="F806" s="41"/>
      <c r="G806" s="41"/>
      <c r="H806" s="41"/>
      <c r="I806" s="41"/>
      <c r="K806" s="41"/>
      <c r="L806" s="64"/>
      <c r="M806" s="79"/>
    </row>
    <row r="807" spans="3:13" ht="13">
      <c r="C807" s="63"/>
      <c r="E807" s="41"/>
      <c r="F807" s="41"/>
      <c r="G807" s="41"/>
      <c r="H807" s="41"/>
      <c r="I807" s="41"/>
      <c r="K807" s="41"/>
      <c r="L807" s="64"/>
      <c r="M807" s="79"/>
    </row>
    <row r="808" spans="3:13" ht="13">
      <c r="C808" s="63"/>
      <c r="E808" s="41"/>
      <c r="F808" s="41"/>
      <c r="G808" s="41"/>
      <c r="H808" s="41"/>
      <c r="I808" s="41"/>
      <c r="K808" s="41"/>
      <c r="L808" s="64"/>
      <c r="M808" s="79"/>
    </row>
    <row r="809" spans="3:13" ht="13">
      <c r="C809" s="63"/>
      <c r="E809" s="41"/>
      <c r="F809" s="41"/>
      <c r="G809" s="41"/>
      <c r="H809" s="41"/>
      <c r="I809" s="41"/>
      <c r="K809" s="41"/>
      <c r="L809" s="64"/>
      <c r="M809" s="79"/>
    </row>
    <row r="810" spans="3:13" ht="13">
      <c r="C810" s="63"/>
      <c r="E810" s="41"/>
      <c r="F810" s="41"/>
      <c r="G810" s="41"/>
      <c r="H810" s="41"/>
      <c r="I810" s="41"/>
      <c r="K810" s="41"/>
      <c r="L810" s="64"/>
      <c r="M810" s="79"/>
    </row>
    <row r="811" spans="3:13" ht="13">
      <c r="C811" s="63"/>
      <c r="E811" s="41"/>
      <c r="F811" s="41"/>
      <c r="G811" s="41"/>
      <c r="H811" s="41"/>
      <c r="I811" s="41"/>
      <c r="K811" s="41"/>
      <c r="L811" s="64"/>
      <c r="M811" s="79"/>
    </row>
    <row r="812" spans="3:13" ht="13">
      <c r="C812" s="63"/>
      <c r="E812" s="41"/>
      <c r="F812" s="41"/>
      <c r="G812" s="41"/>
      <c r="H812" s="41"/>
      <c r="I812" s="41"/>
      <c r="K812" s="41"/>
      <c r="L812" s="64"/>
      <c r="M812" s="79"/>
    </row>
    <row r="813" spans="3:13" ht="13">
      <c r="C813" s="63"/>
      <c r="E813" s="41"/>
      <c r="F813" s="41"/>
      <c r="G813" s="41"/>
      <c r="H813" s="41"/>
      <c r="I813" s="41"/>
      <c r="K813" s="41"/>
      <c r="L813" s="64"/>
      <c r="M813" s="79"/>
    </row>
    <row r="814" spans="3:13" ht="13">
      <c r="C814" s="63"/>
      <c r="E814" s="41"/>
      <c r="F814" s="41"/>
      <c r="G814" s="41"/>
      <c r="H814" s="41"/>
      <c r="I814" s="41"/>
      <c r="K814" s="41"/>
      <c r="L814" s="64"/>
      <c r="M814" s="79"/>
    </row>
    <row r="815" spans="3:13" ht="13">
      <c r="C815" s="63"/>
      <c r="E815" s="41"/>
      <c r="F815" s="41"/>
      <c r="G815" s="41"/>
      <c r="H815" s="41"/>
      <c r="I815" s="41"/>
      <c r="K815" s="41"/>
      <c r="L815" s="64"/>
      <c r="M815" s="79"/>
    </row>
    <row r="816" spans="3:13" ht="13">
      <c r="C816" s="63"/>
      <c r="E816" s="41"/>
      <c r="F816" s="41"/>
      <c r="G816" s="41"/>
      <c r="H816" s="41"/>
      <c r="I816" s="41"/>
      <c r="K816" s="41"/>
      <c r="L816" s="64"/>
      <c r="M816" s="79"/>
    </row>
    <row r="817" spans="3:13" ht="13">
      <c r="C817" s="63"/>
      <c r="E817" s="41"/>
      <c r="F817" s="41"/>
      <c r="G817" s="41"/>
      <c r="H817" s="41"/>
      <c r="I817" s="41"/>
      <c r="K817" s="41"/>
      <c r="L817" s="64"/>
      <c r="M817" s="79"/>
    </row>
    <row r="818" spans="3:13" ht="13">
      <c r="C818" s="63"/>
      <c r="E818" s="41"/>
      <c r="F818" s="41"/>
      <c r="G818" s="41"/>
      <c r="H818" s="41"/>
      <c r="I818" s="41"/>
      <c r="K818" s="41"/>
      <c r="L818" s="64"/>
      <c r="M818" s="79"/>
    </row>
    <row r="819" spans="3:13" ht="13">
      <c r="C819" s="63"/>
      <c r="E819" s="41"/>
      <c r="F819" s="41"/>
      <c r="G819" s="41"/>
      <c r="H819" s="41"/>
      <c r="I819" s="41"/>
      <c r="K819" s="41"/>
      <c r="L819" s="64"/>
      <c r="M819" s="79"/>
    </row>
    <row r="820" spans="3:13" ht="13">
      <c r="C820" s="63"/>
      <c r="E820" s="41"/>
      <c r="F820" s="41"/>
      <c r="G820" s="41"/>
      <c r="H820" s="41"/>
      <c r="I820" s="41"/>
      <c r="K820" s="41"/>
      <c r="L820" s="64"/>
      <c r="M820" s="79"/>
    </row>
    <row r="821" spans="3:13" ht="13">
      <c r="C821" s="63"/>
      <c r="E821" s="41"/>
      <c r="F821" s="41"/>
      <c r="G821" s="41"/>
      <c r="H821" s="41"/>
      <c r="I821" s="41"/>
      <c r="K821" s="41"/>
      <c r="L821" s="64"/>
      <c r="M821" s="79"/>
    </row>
    <row r="822" spans="3:13" ht="13">
      <c r="C822" s="63"/>
      <c r="E822" s="41"/>
      <c r="F822" s="41"/>
      <c r="G822" s="41"/>
      <c r="H822" s="41"/>
      <c r="I822" s="41"/>
      <c r="K822" s="41"/>
      <c r="L822" s="64"/>
      <c r="M822" s="79"/>
    </row>
    <row r="823" spans="3:13" ht="13">
      <c r="C823" s="63"/>
      <c r="E823" s="41"/>
      <c r="F823" s="41"/>
      <c r="G823" s="41"/>
      <c r="H823" s="41"/>
      <c r="I823" s="41"/>
      <c r="K823" s="41"/>
      <c r="L823" s="64"/>
      <c r="M823" s="79"/>
    </row>
    <row r="824" spans="3:13" ht="13">
      <c r="C824" s="63"/>
      <c r="E824" s="41"/>
      <c r="F824" s="41"/>
      <c r="G824" s="41"/>
      <c r="H824" s="41"/>
      <c r="I824" s="41"/>
      <c r="K824" s="41"/>
      <c r="L824" s="64"/>
      <c r="M824" s="79"/>
    </row>
    <row r="825" spans="3:13" ht="13">
      <c r="C825" s="63"/>
      <c r="E825" s="41"/>
      <c r="F825" s="41"/>
      <c r="G825" s="41"/>
      <c r="H825" s="41"/>
      <c r="I825" s="41"/>
      <c r="K825" s="41"/>
      <c r="L825" s="64"/>
      <c r="M825" s="79"/>
    </row>
    <row r="826" spans="3:13" ht="13">
      <c r="C826" s="63"/>
      <c r="E826" s="41"/>
      <c r="F826" s="41"/>
      <c r="G826" s="41"/>
      <c r="H826" s="41"/>
      <c r="I826" s="41"/>
      <c r="K826" s="41"/>
      <c r="L826" s="64"/>
      <c r="M826" s="79"/>
    </row>
    <row r="827" spans="3:13" ht="13">
      <c r="C827" s="63"/>
      <c r="E827" s="41"/>
      <c r="F827" s="41"/>
      <c r="G827" s="41"/>
      <c r="H827" s="41"/>
      <c r="I827" s="41"/>
      <c r="K827" s="41"/>
      <c r="L827" s="64"/>
      <c r="M827" s="79"/>
    </row>
    <row r="828" spans="3:13" ht="13">
      <c r="C828" s="63"/>
      <c r="E828" s="41"/>
      <c r="F828" s="41"/>
      <c r="G828" s="41"/>
      <c r="H828" s="41"/>
      <c r="I828" s="41"/>
      <c r="K828" s="41"/>
      <c r="L828" s="64"/>
      <c r="M828" s="79"/>
    </row>
    <row r="829" spans="3:13" ht="13">
      <c r="C829" s="63"/>
      <c r="E829" s="41"/>
      <c r="F829" s="41"/>
      <c r="G829" s="41"/>
      <c r="H829" s="41"/>
      <c r="I829" s="41"/>
      <c r="K829" s="41"/>
      <c r="L829" s="64"/>
      <c r="M829" s="79"/>
    </row>
    <row r="830" spans="3:13" ht="13">
      <c r="C830" s="63"/>
      <c r="E830" s="41"/>
      <c r="F830" s="41"/>
      <c r="G830" s="41"/>
      <c r="H830" s="41"/>
      <c r="I830" s="41"/>
      <c r="K830" s="41"/>
      <c r="L830" s="64"/>
      <c r="M830" s="79"/>
    </row>
    <row r="831" spans="3:13" ht="13">
      <c r="C831" s="63"/>
      <c r="E831" s="41"/>
      <c r="F831" s="41"/>
      <c r="G831" s="41"/>
      <c r="H831" s="41"/>
      <c r="I831" s="41"/>
      <c r="K831" s="41"/>
      <c r="L831" s="64"/>
      <c r="M831" s="79"/>
    </row>
    <row r="832" spans="3:13" ht="13">
      <c r="C832" s="63"/>
      <c r="E832" s="41"/>
      <c r="F832" s="41"/>
      <c r="G832" s="41"/>
      <c r="H832" s="41"/>
      <c r="I832" s="41"/>
      <c r="K832" s="41"/>
      <c r="L832" s="64"/>
      <c r="M832" s="79"/>
    </row>
    <row r="833" spans="3:13" ht="13">
      <c r="C833" s="63"/>
      <c r="E833" s="41"/>
      <c r="F833" s="41"/>
      <c r="G833" s="41"/>
      <c r="H833" s="41"/>
      <c r="I833" s="41"/>
      <c r="K833" s="41"/>
      <c r="L833" s="64"/>
      <c r="M833" s="79"/>
    </row>
    <row r="834" spans="3:13" ht="13">
      <c r="C834" s="63"/>
      <c r="E834" s="41"/>
      <c r="F834" s="41"/>
      <c r="G834" s="41"/>
      <c r="H834" s="41"/>
      <c r="I834" s="41"/>
      <c r="K834" s="41"/>
      <c r="L834" s="64"/>
      <c r="M834" s="79"/>
    </row>
    <row r="835" spans="3:13" ht="13">
      <c r="C835" s="63"/>
      <c r="E835" s="41"/>
      <c r="F835" s="41"/>
      <c r="G835" s="41"/>
      <c r="H835" s="41"/>
      <c r="I835" s="41"/>
      <c r="K835" s="41"/>
      <c r="L835" s="64"/>
      <c r="M835" s="79"/>
    </row>
    <row r="836" spans="3:13" ht="13">
      <c r="C836" s="63"/>
      <c r="E836" s="41"/>
      <c r="F836" s="41"/>
      <c r="G836" s="41"/>
      <c r="H836" s="41"/>
      <c r="I836" s="41"/>
      <c r="K836" s="41"/>
      <c r="L836" s="64"/>
      <c r="M836" s="79"/>
    </row>
    <row r="837" spans="3:13" ht="13">
      <c r="C837" s="63"/>
      <c r="E837" s="41"/>
      <c r="F837" s="41"/>
      <c r="G837" s="41"/>
      <c r="H837" s="41"/>
      <c r="I837" s="41"/>
      <c r="K837" s="41"/>
      <c r="L837" s="64"/>
      <c r="M837" s="79"/>
    </row>
    <row r="838" spans="3:13" ht="13">
      <c r="C838" s="63"/>
      <c r="E838" s="41"/>
      <c r="F838" s="41"/>
      <c r="G838" s="41"/>
      <c r="H838" s="41"/>
      <c r="I838" s="41"/>
      <c r="K838" s="41"/>
      <c r="L838" s="64"/>
      <c r="M838" s="79"/>
    </row>
    <row r="839" spans="3:13" ht="13">
      <c r="C839" s="63"/>
      <c r="E839" s="41"/>
      <c r="F839" s="41"/>
      <c r="G839" s="41"/>
      <c r="H839" s="41"/>
      <c r="I839" s="41"/>
      <c r="K839" s="41"/>
      <c r="L839" s="64"/>
      <c r="M839" s="79"/>
    </row>
    <row r="840" spans="3:13" ht="13">
      <c r="C840" s="63"/>
      <c r="E840" s="41"/>
      <c r="F840" s="41"/>
      <c r="G840" s="41"/>
      <c r="H840" s="41"/>
      <c r="I840" s="41"/>
      <c r="K840" s="41"/>
      <c r="L840" s="64"/>
      <c r="M840" s="79"/>
    </row>
    <row r="841" spans="3:13" ht="13">
      <c r="C841" s="63"/>
      <c r="E841" s="41"/>
      <c r="F841" s="41"/>
      <c r="G841" s="41"/>
      <c r="H841" s="41"/>
      <c r="I841" s="41"/>
      <c r="K841" s="41"/>
      <c r="L841" s="64"/>
      <c r="M841" s="79"/>
    </row>
    <row r="842" spans="3:13" ht="13">
      <c r="C842" s="63"/>
      <c r="E842" s="41"/>
      <c r="F842" s="41"/>
      <c r="G842" s="41"/>
      <c r="H842" s="41"/>
      <c r="I842" s="41"/>
      <c r="K842" s="41"/>
      <c r="L842" s="64"/>
      <c r="M842" s="79"/>
    </row>
    <row r="843" spans="3:13" ht="13">
      <c r="C843" s="63"/>
      <c r="E843" s="41"/>
      <c r="F843" s="41"/>
      <c r="G843" s="41"/>
      <c r="H843" s="41"/>
      <c r="I843" s="41"/>
      <c r="K843" s="41"/>
      <c r="L843" s="64"/>
      <c r="M843" s="79"/>
    </row>
    <row r="844" spans="3:13" ht="13">
      <c r="C844" s="63"/>
      <c r="E844" s="41"/>
      <c r="F844" s="41"/>
      <c r="G844" s="41"/>
      <c r="H844" s="41"/>
      <c r="I844" s="41"/>
      <c r="K844" s="41"/>
      <c r="L844" s="64"/>
      <c r="M844" s="79"/>
    </row>
    <row r="845" spans="3:13" ht="13">
      <c r="C845" s="63"/>
      <c r="E845" s="41"/>
      <c r="F845" s="41"/>
      <c r="G845" s="41"/>
      <c r="H845" s="41"/>
      <c r="I845" s="41"/>
      <c r="K845" s="41"/>
      <c r="L845" s="64"/>
      <c r="M845" s="79"/>
    </row>
    <row r="846" spans="3:13" ht="13">
      <c r="C846" s="63"/>
      <c r="E846" s="41"/>
      <c r="F846" s="41"/>
      <c r="G846" s="41"/>
      <c r="H846" s="41"/>
      <c r="I846" s="41"/>
      <c r="K846" s="41"/>
      <c r="L846" s="64"/>
      <c r="M846" s="79"/>
    </row>
    <row r="847" spans="3:13" ht="13">
      <c r="C847" s="63"/>
      <c r="E847" s="41"/>
      <c r="F847" s="41"/>
      <c r="G847" s="41"/>
      <c r="H847" s="41"/>
      <c r="I847" s="41"/>
      <c r="K847" s="41"/>
      <c r="L847" s="64"/>
      <c r="M847" s="79"/>
    </row>
    <row r="848" spans="3:13" ht="13">
      <c r="C848" s="63"/>
      <c r="E848" s="41"/>
      <c r="F848" s="41"/>
      <c r="G848" s="41"/>
      <c r="H848" s="41"/>
      <c r="I848" s="41"/>
      <c r="K848" s="41"/>
      <c r="L848" s="64"/>
      <c r="M848" s="79"/>
    </row>
    <row r="849" spans="3:13" ht="13">
      <c r="C849" s="63"/>
      <c r="E849" s="41"/>
      <c r="F849" s="41"/>
      <c r="G849" s="41"/>
      <c r="H849" s="41"/>
      <c r="I849" s="41"/>
      <c r="K849" s="41"/>
      <c r="L849" s="64"/>
      <c r="M849" s="79"/>
    </row>
    <row r="850" spans="3:13" ht="13">
      <c r="C850" s="63"/>
      <c r="E850" s="41"/>
      <c r="F850" s="41"/>
      <c r="G850" s="41"/>
      <c r="H850" s="41"/>
      <c r="I850" s="41"/>
      <c r="K850" s="41"/>
      <c r="L850" s="64"/>
      <c r="M850" s="79"/>
    </row>
    <row r="851" spans="3:13" ht="13">
      <c r="C851" s="63"/>
      <c r="E851" s="41"/>
      <c r="F851" s="41"/>
      <c r="G851" s="41"/>
      <c r="H851" s="41"/>
      <c r="I851" s="41"/>
      <c r="K851" s="41"/>
      <c r="L851" s="64"/>
      <c r="M851" s="79"/>
    </row>
    <row r="852" spans="3:13" ht="13">
      <c r="C852" s="63"/>
      <c r="E852" s="41"/>
      <c r="F852" s="41"/>
      <c r="G852" s="41"/>
      <c r="H852" s="41"/>
      <c r="I852" s="41"/>
      <c r="K852" s="41"/>
      <c r="L852" s="64"/>
      <c r="M852" s="79"/>
    </row>
    <row r="853" spans="3:13" ht="13">
      <c r="C853" s="63"/>
      <c r="E853" s="41"/>
      <c r="F853" s="41"/>
      <c r="G853" s="41"/>
      <c r="H853" s="41"/>
      <c r="I853" s="41"/>
      <c r="K853" s="41"/>
      <c r="L853" s="64"/>
      <c r="M853" s="79"/>
    </row>
    <row r="854" spans="3:13" ht="13">
      <c r="C854" s="63"/>
      <c r="E854" s="41"/>
      <c r="F854" s="41"/>
      <c r="G854" s="41"/>
      <c r="H854" s="41"/>
      <c r="I854" s="41"/>
      <c r="K854" s="41"/>
      <c r="L854" s="64"/>
      <c r="M854" s="79"/>
    </row>
    <row r="855" spans="3:13" ht="13">
      <c r="C855" s="63"/>
      <c r="E855" s="41"/>
      <c r="F855" s="41"/>
      <c r="G855" s="41"/>
      <c r="H855" s="41"/>
      <c r="I855" s="41"/>
      <c r="K855" s="41"/>
      <c r="L855" s="64"/>
      <c r="M855" s="79"/>
    </row>
    <row r="856" spans="3:13" ht="13">
      <c r="C856" s="63"/>
      <c r="E856" s="41"/>
      <c r="F856" s="41"/>
      <c r="G856" s="41"/>
      <c r="H856" s="41"/>
      <c r="I856" s="41"/>
      <c r="K856" s="41"/>
      <c r="L856" s="64"/>
      <c r="M856" s="79"/>
    </row>
    <row r="857" spans="3:13" ht="13">
      <c r="C857" s="63"/>
      <c r="E857" s="41"/>
      <c r="F857" s="41"/>
      <c r="G857" s="41"/>
      <c r="H857" s="41"/>
      <c r="I857" s="41"/>
      <c r="K857" s="41"/>
      <c r="L857" s="64"/>
      <c r="M857" s="79"/>
    </row>
    <row r="858" spans="3:13" ht="13">
      <c r="C858" s="63"/>
      <c r="E858" s="41"/>
      <c r="F858" s="41"/>
      <c r="G858" s="41"/>
      <c r="H858" s="41"/>
      <c r="I858" s="41"/>
      <c r="K858" s="41"/>
      <c r="L858" s="64"/>
      <c r="M858" s="79"/>
    </row>
    <row r="859" spans="3:13" ht="13">
      <c r="C859" s="63"/>
      <c r="E859" s="41"/>
      <c r="F859" s="41"/>
      <c r="G859" s="41"/>
      <c r="H859" s="41"/>
      <c r="I859" s="41"/>
      <c r="K859" s="41"/>
      <c r="L859" s="64"/>
      <c r="M859" s="79"/>
    </row>
    <row r="860" spans="3:13" ht="13">
      <c r="C860" s="63"/>
      <c r="E860" s="41"/>
      <c r="F860" s="41"/>
      <c r="G860" s="41"/>
      <c r="H860" s="41"/>
      <c r="I860" s="41"/>
      <c r="K860" s="41"/>
      <c r="L860" s="64"/>
      <c r="M860" s="79"/>
    </row>
    <row r="861" spans="3:13" ht="13">
      <c r="C861" s="63"/>
      <c r="E861" s="41"/>
      <c r="F861" s="41"/>
      <c r="G861" s="41"/>
      <c r="H861" s="41"/>
      <c r="I861" s="41"/>
      <c r="K861" s="41"/>
      <c r="L861" s="64"/>
      <c r="M861" s="79"/>
    </row>
    <row r="862" spans="3:13" ht="13">
      <c r="C862" s="63"/>
      <c r="E862" s="41"/>
      <c r="F862" s="41"/>
      <c r="G862" s="41"/>
      <c r="H862" s="41"/>
      <c r="I862" s="41"/>
      <c r="K862" s="41"/>
      <c r="L862" s="64"/>
      <c r="M862" s="79"/>
    </row>
    <row r="863" spans="3:13" ht="13">
      <c r="C863" s="63"/>
      <c r="E863" s="41"/>
      <c r="F863" s="41"/>
      <c r="G863" s="41"/>
      <c r="H863" s="41"/>
      <c r="I863" s="41"/>
      <c r="K863" s="41"/>
      <c r="L863" s="64"/>
      <c r="M863" s="79"/>
    </row>
    <row r="864" spans="3:13" ht="13">
      <c r="C864" s="63"/>
      <c r="E864" s="41"/>
      <c r="F864" s="41"/>
      <c r="G864" s="41"/>
      <c r="H864" s="41"/>
      <c r="I864" s="41"/>
      <c r="K864" s="41"/>
      <c r="L864" s="64"/>
      <c r="M864" s="79"/>
    </row>
    <row r="865" spans="3:13" ht="13">
      <c r="C865" s="63"/>
      <c r="E865" s="41"/>
      <c r="F865" s="41"/>
      <c r="G865" s="41"/>
      <c r="H865" s="41"/>
      <c r="I865" s="41"/>
      <c r="K865" s="41"/>
      <c r="L865" s="64"/>
      <c r="M865" s="79"/>
    </row>
    <row r="866" spans="3:13" ht="13">
      <c r="C866" s="63"/>
      <c r="E866" s="41"/>
      <c r="F866" s="41"/>
      <c r="G866" s="41"/>
      <c r="H866" s="41"/>
      <c r="I866" s="41"/>
      <c r="K866" s="41"/>
      <c r="L866" s="64"/>
      <c r="M866" s="79"/>
    </row>
    <row r="867" spans="3:13" ht="13">
      <c r="C867" s="63"/>
      <c r="E867" s="41"/>
      <c r="F867" s="41"/>
      <c r="G867" s="41"/>
      <c r="H867" s="41"/>
      <c r="I867" s="41"/>
      <c r="K867" s="41"/>
      <c r="L867" s="64"/>
      <c r="M867" s="79"/>
    </row>
    <row r="868" spans="3:13" ht="13">
      <c r="C868" s="63"/>
      <c r="E868" s="41"/>
      <c r="F868" s="41"/>
      <c r="G868" s="41"/>
      <c r="H868" s="41"/>
      <c r="I868" s="41"/>
      <c r="K868" s="41"/>
      <c r="L868" s="64"/>
      <c r="M868" s="79"/>
    </row>
    <row r="869" spans="3:13" ht="13">
      <c r="C869" s="63"/>
      <c r="E869" s="41"/>
      <c r="F869" s="41"/>
      <c r="G869" s="41"/>
      <c r="H869" s="41"/>
      <c r="I869" s="41"/>
      <c r="K869" s="41"/>
      <c r="L869" s="64"/>
      <c r="M869" s="79"/>
    </row>
    <row r="870" spans="3:13" ht="13">
      <c r="C870" s="63"/>
      <c r="E870" s="41"/>
      <c r="F870" s="41"/>
      <c r="G870" s="41"/>
      <c r="H870" s="41"/>
      <c r="I870" s="41"/>
      <c r="K870" s="41"/>
      <c r="L870" s="64"/>
      <c r="M870" s="79"/>
    </row>
    <row r="871" spans="3:13" ht="13">
      <c r="C871" s="63"/>
      <c r="E871" s="41"/>
      <c r="F871" s="41"/>
      <c r="G871" s="41"/>
      <c r="H871" s="41"/>
      <c r="I871" s="41"/>
      <c r="K871" s="41"/>
      <c r="L871" s="64"/>
      <c r="M871" s="79"/>
    </row>
    <row r="872" spans="3:13" ht="13">
      <c r="C872" s="63"/>
      <c r="E872" s="41"/>
      <c r="F872" s="41"/>
      <c r="G872" s="41"/>
      <c r="H872" s="41"/>
      <c r="I872" s="41"/>
      <c r="K872" s="41"/>
      <c r="L872" s="64"/>
      <c r="M872" s="79"/>
    </row>
    <row r="873" spans="3:13" ht="13">
      <c r="C873" s="63"/>
      <c r="E873" s="41"/>
      <c r="F873" s="41"/>
      <c r="G873" s="41"/>
      <c r="H873" s="41"/>
      <c r="I873" s="41"/>
      <c r="K873" s="41"/>
      <c r="L873" s="64"/>
      <c r="M873" s="79"/>
    </row>
    <row r="874" spans="3:13" ht="13">
      <c r="C874" s="63"/>
      <c r="E874" s="41"/>
      <c r="F874" s="41"/>
      <c r="G874" s="41"/>
      <c r="H874" s="41"/>
      <c r="I874" s="41"/>
      <c r="K874" s="41"/>
      <c r="L874" s="64"/>
      <c r="M874" s="79"/>
    </row>
    <row r="875" spans="3:13" ht="13">
      <c r="C875" s="63"/>
      <c r="E875" s="41"/>
      <c r="F875" s="41"/>
      <c r="G875" s="41"/>
      <c r="H875" s="41"/>
      <c r="I875" s="41"/>
      <c r="K875" s="41"/>
      <c r="L875" s="64"/>
      <c r="M875" s="79"/>
    </row>
    <row r="876" spans="3:13" ht="13">
      <c r="C876" s="63"/>
      <c r="E876" s="41"/>
      <c r="F876" s="41"/>
      <c r="G876" s="41"/>
      <c r="H876" s="41"/>
      <c r="I876" s="41"/>
      <c r="K876" s="41"/>
      <c r="L876" s="64"/>
      <c r="M876" s="79"/>
    </row>
    <row r="877" spans="3:13" ht="13">
      <c r="C877" s="63"/>
      <c r="E877" s="41"/>
      <c r="F877" s="41"/>
      <c r="G877" s="41"/>
      <c r="H877" s="41"/>
      <c r="I877" s="41"/>
      <c r="K877" s="41"/>
      <c r="L877" s="64"/>
      <c r="M877" s="79"/>
    </row>
    <row r="878" spans="3:13" ht="13">
      <c r="C878" s="63"/>
      <c r="E878" s="41"/>
      <c r="F878" s="41"/>
      <c r="G878" s="41"/>
      <c r="H878" s="41"/>
      <c r="I878" s="41"/>
      <c r="K878" s="41"/>
      <c r="L878" s="64"/>
      <c r="M878" s="79"/>
    </row>
    <row r="879" spans="3:13" ht="13">
      <c r="C879" s="63"/>
      <c r="E879" s="41"/>
      <c r="F879" s="41"/>
      <c r="G879" s="41"/>
      <c r="H879" s="41"/>
      <c r="I879" s="41"/>
      <c r="K879" s="41"/>
      <c r="L879" s="64"/>
      <c r="M879" s="79"/>
    </row>
    <row r="880" spans="3:13" ht="13">
      <c r="C880" s="63"/>
      <c r="E880" s="41"/>
      <c r="F880" s="41"/>
      <c r="G880" s="41"/>
      <c r="H880" s="41"/>
      <c r="I880" s="41"/>
      <c r="K880" s="41"/>
      <c r="L880" s="64"/>
      <c r="M880" s="79"/>
    </row>
    <row r="881" spans="3:13" ht="13">
      <c r="C881" s="63"/>
      <c r="E881" s="41"/>
      <c r="F881" s="41"/>
      <c r="G881" s="41"/>
      <c r="H881" s="41"/>
      <c r="I881" s="41"/>
      <c r="K881" s="41"/>
      <c r="L881" s="64"/>
      <c r="M881" s="79"/>
    </row>
    <row r="882" spans="3:13" ht="13">
      <c r="C882" s="63"/>
      <c r="E882" s="41"/>
      <c r="F882" s="41"/>
      <c r="G882" s="41"/>
      <c r="H882" s="41"/>
      <c r="I882" s="41"/>
      <c r="K882" s="41"/>
      <c r="L882" s="64"/>
      <c r="M882" s="79"/>
    </row>
    <row r="883" spans="3:13" ht="13">
      <c r="C883" s="63"/>
      <c r="E883" s="41"/>
      <c r="F883" s="41"/>
      <c r="G883" s="41"/>
      <c r="H883" s="41"/>
      <c r="I883" s="41"/>
      <c r="K883" s="41"/>
      <c r="L883" s="64"/>
      <c r="M883" s="79"/>
    </row>
    <row r="884" spans="3:13" ht="13">
      <c r="C884" s="63"/>
      <c r="E884" s="41"/>
      <c r="F884" s="41"/>
      <c r="G884" s="41"/>
      <c r="H884" s="41"/>
      <c r="I884" s="41"/>
      <c r="K884" s="41"/>
      <c r="L884" s="64"/>
      <c r="M884" s="79"/>
    </row>
    <row r="885" spans="3:13" ht="13">
      <c r="C885" s="63"/>
      <c r="E885" s="41"/>
      <c r="F885" s="41"/>
      <c r="G885" s="41"/>
      <c r="H885" s="41"/>
      <c r="I885" s="41"/>
      <c r="K885" s="41"/>
      <c r="L885" s="64"/>
      <c r="M885" s="79"/>
    </row>
    <row r="886" spans="3:13" ht="13">
      <c r="C886" s="63"/>
      <c r="E886" s="41"/>
      <c r="F886" s="41"/>
      <c r="G886" s="41"/>
      <c r="H886" s="41"/>
      <c r="I886" s="41"/>
      <c r="K886" s="41"/>
      <c r="L886" s="64"/>
      <c r="M886" s="79"/>
    </row>
    <row r="887" spans="3:13" ht="13">
      <c r="C887" s="63"/>
      <c r="E887" s="41"/>
      <c r="F887" s="41"/>
      <c r="G887" s="41"/>
      <c r="H887" s="41"/>
      <c r="I887" s="41"/>
      <c r="K887" s="41"/>
      <c r="L887" s="64"/>
      <c r="M887" s="79"/>
    </row>
    <row r="888" spans="3:13" ht="13">
      <c r="C888" s="63"/>
      <c r="E888" s="41"/>
      <c r="F888" s="41"/>
      <c r="G888" s="41"/>
      <c r="H888" s="41"/>
      <c r="I888" s="41"/>
      <c r="K888" s="41"/>
      <c r="L888" s="64"/>
      <c r="M888" s="79"/>
    </row>
    <row r="889" spans="3:13" ht="13">
      <c r="C889" s="63"/>
      <c r="E889" s="41"/>
      <c r="F889" s="41"/>
      <c r="G889" s="41"/>
      <c r="H889" s="41"/>
      <c r="I889" s="41"/>
      <c r="K889" s="41"/>
      <c r="L889" s="64"/>
      <c r="M889" s="79"/>
    </row>
    <row r="890" spans="3:13" ht="13">
      <c r="C890" s="63"/>
      <c r="E890" s="41"/>
      <c r="F890" s="41"/>
      <c r="G890" s="41"/>
      <c r="H890" s="41"/>
      <c r="I890" s="41"/>
      <c r="K890" s="41"/>
      <c r="L890" s="64"/>
      <c r="M890" s="79"/>
    </row>
    <row r="891" spans="3:13" ht="13">
      <c r="C891" s="63"/>
      <c r="E891" s="41"/>
      <c r="F891" s="41"/>
      <c r="G891" s="41"/>
      <c r="H891" s="41"/>
      <c r="I891" s="41"/>
      <c r="K891" s="41"/>
      <c r="L891" s="64"/>
      <c r="M891" s="79"/>
    </row>
    <row r="892" spans="3:13" ht="13">
      <c r="C892" s="63"/>
      <c r="E892" s="41"/>
      <c r="F892" s="41"/>
      <c r="G892" s="41"/>
      <c r="H892" s="41"/>
      <c r="I892" s="41"/>
      <c r="K892" s="41"/>
      <c r="L892" s="64"/>
      <c r="M892" s="79"/>
    </row>
    <row r="893" spans="3:13" ht="13">
      <c r="C893" s="63"/>
      <c r="E893" s="41"/>
      <c r="F893" s="41"/>
      <c r="G893" s="41"/>
      <c r="H893" s="41"/>
      <c r="I893" s="41"/>
      <c r="K893" s="41"/>
      <c r="L893" s="64"/>
      <c r="M893" s="79"/>
    </row>
    <row r="894" spans="3:13" ht="13">
      <c r="C894" s="63"/>
      <c r="E894" s="41"/>
      <c r="F894" s="41"/>
      <c r="G894" s="41"/>
      <c r="H894" s="41"/>
      <c r="I894" s="41"/>
      <c r="K894" s="41"/>
      <c r="L894" s="64"/>
      <c r="M894" s="79"/>
    </row>
    <row r="895" spans="3:13" ht="13">
      <c r="C895" s="63"/>
      <c r="E895" s="41"/>
      <c r="F895" s="41"/>
      <c r="G895" s="41"/>
      <c r="H895" s="41"/>
      <c r="I895" s="41"/>
      <c r="K895" s="41"/>
      <c r="L895" s="64"/>
      <c r="M895" s="79"/>
    </row>
    <row r="896" spans="3:13" ht="13">
      <c r="C896" s="63"/>
      <c r="E896" s="41"/>
      <c r="F896" s="41"/>
      <c r="G896" s="41"/>
      <c r="H896" s="41"/>
      <c r="I896" s="41"/>
      <c r="K896" s="41"/>
      <c r="L896" s="64"/>
      <c r="M896" s="79"/>
    </row>
    <row r="897" spans="3:13" ht="13">
      <c r="C897" s="63"/>
      <c r="E897" s="41"/>
      <c r="F897" s="41"/>
      <c r="G897" s="41"/>
      <c r="H897" s="41"/>
      <c r="I897" s="41"/>
      <c r="K897" s="41"/>
      <c r="L897" s="64"/>
      <c r="M897" s="79"/>
    </row>
    <row r="898" spans="3:13" ht="13">
      <c r="C898" s="63"/>
      <c r="E898" s="41"/>
      <c r="F898" s="41"/>
      <c r="G898" s="41"/>
      <c r="H898" s="41"/>
      <c r="I898" s="41"/>
      <c r="K898" s="41"/>
      <c r="L898" s="64"/>
      <c r="M898" s="79"/>
    </row>
    <row r="899" spans="3:13" ht="13">
      <c r="C899" s="63"/>
      <c r="E899" s="41"/>
      <c r="F899" s="41"/>
      <c r="G899" s="41"/>
      <c r="H899" s="41"/>
      <c r="I899" s="41"/>
      <c r="K899" s="41"/>
      <c r="L899" s="64"/>
      <c r="M899" s="79"/>
    </row>
    <row r="900" spans="3:13" ht="13">
      <c r="C900" s="63"/>
      <c r="E900" s="41"/>
      <c r="F900" s="41"/>
      <c r="G900" s="41"/>
      <c r="H900" s="41"/>
      <c r="I900" s="41"/>
      <c r="K900" s="41"/>
      <c r="L900" s="64"/>
      <c r="M900" s="79"/>
    </row>
    <row r="901" spans="3:13" ht="13">
      <c r="C901" s="63"/>
      <c r="E901" s="41"/>
      <c r="F901" s="41"/>
      <c r="G901" s="41"/>
      <c r="H901" s="41"/>
      <c r="I901" s="41"/>
      <c r="K901" s="41"/>
      <c r="L901" s="64"/>
      <c r="M901" s="79"/>
    </row>
    <row r="902" spans="3:13" ht="13">
      <c r="C902" s="63"/>
      <c r="E902" s="41"/>
      <c r="F902" s="41"/>
      <c r="G902" s="41"/>
      <c r="H902" s="41"/>
      <c r="I902" s="41"/>
      <c r="K902" s="41"/>
      <c r="L902" s="64"/>
      <c r="M902" s="79"/>
    </row>
    <row r="903" spans="3:13" ht="13">
      <c r="C903" s="63"/>
      <c r="E903" s="41"/>
      <c r="F903" s="41"/>
      <c r="G903" s="41"/>
      <c r="H903" s="41"/>
      <c r="I903" s="41"/>
      <c r="K903" s="41"/>
      <c r="L903" s="64"/>
      <c r="M903" s="79"/>
    </row>
    <row r="904" spans="3:13" ht="13">
      <c r="C904" s="63"/>
      <c r="E904" s="41"/>
      <c r="F904" s="41"/>
      <c r="G904" s="41"/>
      <c r="H904" s="41"/>
      <c r="I904" s="41"/>
      <c r="K904" s="41"/>
      <c r="L904" s="64"/>
      <c r="M904" s="79"/>
    </row>
    <row r="905" spans="3:13" ht="13">
      <c r="C905" s="63"/>
      <c r="E905" s="41"/>
      <c r="F905" s="41"/>
      <c r="G905" s="41"/>
      <c r="H905" s="41"/>
      <c r="I905" s="41"/>
      <c r="K905" s="41"/>
      <c r="L905" s="64"/>
      <c r="M905" s="79"/>
    </row>
    <row r="906" spans="3:13" ht="13">
      <c r="C906" s="63"/>
      <c r="E906" s="41"/>
      <c r="F906" s="41"/>
      <c r="G906" s="41"/>
      <c r="H906" s="41"/>
      <c r="I906" s="41"/>
      <c r="K906" s="41"/>
      <c r="L906" s="64"/>
      <c r="M906" s="79"/>
    </row>
    <row r="907" spans="3:13" ht="13">
      <c r="C907" s="63"/>
      <c r="E907" s="41"/>
      <c r="F907" s="41"/>
      <c r="G907" s="41"/>
      <c r="H907" s="41"/>
      <c r="I907" s="41"/>
      <c r="K907" s="41"/>
      <c r="L907" s="64"/>
      <c r="M907" s="79"/>
    </row>
    <row r="908" spans="3:13" ht="13">
      <c r="C908" s="63"/>
      <c r="E908" s="41"/>
      <c r="F908" s="41"/>
      <c r="G908" s="41"/>
      <c r="H908" s="41"/>
      <c r="I908" s="41"/>
      <c r="K908" s="41"/>
      <c r="L908" s="64"/>
      <c r="M908" s="79"/>
    </row>
    <row r="909" spans="3:13" ht="13">
      <c r="C909" s="63"/>
      <c r="E909" s="41"/>
      <c r="F909" s="41"/>
      <c r="G909" s="41"/>
      <c r="H909" s="41"/>
      <c r="I909" s="41"/>
      <c r="K909" s="41"/>
      <c r="L909" s="64"/>
      <c r="M909" s="79"/>
    </row>
    <row r="910" spans="3:13" ht="13">
      <c r="C910" s="63"/>
      <c r="E910" s="41"/>
      <c r="F910" s="41"/>
      <c r="G910" s="41"/>
      <c r="H910" s="41"/>
      <c r="I910" s="41"/>
      <c r="K910" s="41"/>
      <c r="L910" s="64"/>
      <c r="M910" s="79"/>
    </row>
    <row r="911" spans="3:13" ht="13">
      <c r="C911" s="63"/>
      <c r="E911" s="41"/>
      <c r="F911" s="41"/>
      <c r="G911" s="41"/>
      <c r="H911" s="41"/>
      <c r="I911" s="41"/>
      <c r="K911" s="41"/>
      <c r="L911" s="64"/>
      <c r="M911" s="79"/>
    </row>
    <row r="912" spans="3:13" ht="13">
      <c r="C912" s="63"/>
      <c r="E912" s="41"/>
      <c r="F912" s="41"/>
      <c r="G912" s="41"/>
      <c r="H912" s="41"/>
      <c r="I912" s="41"/>
      <c r="K912" s="41"/>
      <c r="L912" s="64"/>
      <c r="M912" s="79"/>
    </row>
    <row r="913" spans="3:13" ht="13">
      <c r="C913" s="63"/>
      <c r="E913" s="41"/>
      <c r="F913" s="41"/>
      <c r="G913" s="41"/>
      <c r="H913" s="41"/>
      <c r="I913" s="41"/>
      <c r="K913" s="41"/>
      <c r="L913" s="64"/>
      <c r="M913" s="79"/>
    </row>
    <row r="914" spans="3:13" ht="13">
      <c r="C914" s="63"/>
      <c r="E914" s="41"/>
      <c r="F914" s="41"/>
      <c r="G914" s="41"/>
      <c r="H914" s="41"/>
      <c r="I914" s="41"/>
      <c r="K914" s="41"/>
      <c r="L914" s="64"/>
      <c r="M914" s="79"/>
    </row>
    <row r="915" spans="3:13" ht="13">
      <c r="C915" s="63"/>
      <c r="E915" s="41"/>
      <c r="F915" s="41"/>
      <c r="G915" s="41"/>
      <c r="H915" s="41"/>
      <c r="I915" s="41"/>
      <c r="K915" s="41"/>
      <c r="L915" s="64"/>
      <c r="M915" s="79"/>
    </row>
    <row r="916" spans="3:13" ht="13">
      <c r="C916" s="63"/>
      <c r="E916" s="41"/>
      <c r="F916" s="41"/>
      <c r="G916" s="41"/>
      <c r="H916" s="41"/>
      <c r="I916" s="41"/>
      <c r="K916" s="41"/>
      <c r="L916" s="64"/>
      <c r="M916" s="79"/>
    </row>
    <row r="917" spans="3:13" ht="13">
      <c r="C917" s="63"/>
      <c r="E917" s="41"/>
      <c r="F917" s="41"/>
      <c r="G917" s="41"/>
      <c r="H917" s="41"/>
      <c r="I917" s="41"/>
      <c r="K917" s="41"/>
      <c r="L917" s="64"/>
      <c r="M917" s="79"/>
    </row>
    <row r="918" spans="3:13" ht="13">
      <c r="C918" s="63"/>
      <c r="E918" s="41"/>
      <c r="F918" s="41"/>
      <c r="G918" s="41"/>
      <c r="H918" s="41"/>
      <c r="I918" s="41"/>
      <c r="K918" s="41"/>
      <c r="L918" s="64"/>
      <c r="M918" s="79"/>
    </row>
    <row r="919" spans="3:13" ht="13">
      <c r="C919" s="63"/>
      <c r="E919" s="41"/>
      <c r="F919" s="41"/>
      <c r="G919" s="41"/>
      <c r="H919" s="41"/>
      <c r="I919" s="41"/>
      <c r="K919" s="41"/>
      <c r="L919" s="64"/>
      <c r="M919" s="79"/>
    </row>
    <row r="920" spans="3:13" ht="13">
      <c r="C920" s="63"/>
      <c r="E920" s="41"/>
      <c r="F920" s="41"/>
      <c r="G920" s="41"/>
      <c r="H920" s="41"/>
      <c r="I920" s="41"/>
      <c r="K920" s="41"/>
      <c r="L920" s="64"/>
      <c r="M920" s="79"/>
    </row>
    <row r="921" spans="3:13" ht="13">
      <c r="C921" s="63"/>
      <c r="E921" s="41"/>
      <c r="F921" s="41"/>
      <c r="G921" s="41"/>
      <c r="H921" s="41"/>
      <c r="I921" s="41"/>
      <c r="K921" s="41"/>
      <c r="L921" s="64"/>
      <c r="M921" s="79"/>
    </row>
    <row r="922" spans="3:13" ht="13">
      <c r="C922" s="63"/>
      <c r="E922" s="41"/>
      <c r="F922" s="41"/>
      <c r="G922" s="41"/>
      <c r="H922" s="41"/>
      <c r="I922" s="41"/>
      <c r="K922" s="41"/>
      <c r="L922" s="64"/>
      <c r="M922" s="79"/>
    </row>
    <row r="923" spans="3:13" ht="13">
      <c r="C923" s="63"/>
      <c r="E923" s="41"/>
      <c r="F923" s="41"/>
      <c r="G923" s="41"/>
      <c r="H923" s="41"/>
      <c r="I923" s="41"/>
      <c r="K923" s="41"/>
      <c r="L923" s="64"/>
      <c r="M923" s="79"/>
    </row>
    <row r="924" spans="3:13" ht="13">
      <c r="C924" s="63"/>
      <c r="E924" s="41"/>
      <c r="F924" s="41"/>
      <c r="G924" s="41"/>
      <c r="H924" s="41"/>
      <c r="I924" s="41"/>
      <c r="K924" s="41"/>
      <c r="L924" s="64"/>
      <c r="M924" s="79"/>
    </row>
    <row r="925" spans="3:13" ht="13">
      <c r="C925" s="63"/>
      <c r="E925" s="41"/>
      <c r="F925" s="41"/>
      <c r="G925" s="41"/>
      <c r="H925" s="41"/>
      <c r="I925" s="41"/>
      <c r="K925" s="41"/>
      <c r="L925" s="64"/>
      <c r="M925" s="79"/>
    </row>
    <row r="926" spans="3:13" ht="13">
      <c r="C926" s="63"/>
      <c r="E926" s="41"/>
      <c r="F926" s="41"/>
      <c r="G926" s="41"/>
      <c r="H926" s="41"/>
      <c r="I926" s="41"/>
      <c r="K926" s="41"/>
      <c r="L926" s="64"/>
      <c r="M926" s="79"/>
    </row>
    <row r="927" spans="3:13" ht="13">
      <c r="C927" s="63"/>
      <c r="E927" s="41"/>
      <c r="F927" s="41"/>
      <c r="G927" s="41"/>
      <c r="H927" s="41"/>
      <c r="I927" s="41"/>
      <c r="K927" s="41"/>
      <c r="L927" s="64"/>
      <c r="M927" s="79"/>
    </row>
    <row r="928" spans="3:13" ht="13">
      <c r="C928" s="63"/>
      <c r="E928" s="41"/>
      <c r="F928" s="41"/>
      <c r="G928" s="41"/>
      <c r="H928" s="41"/>
      <c r="I928" s="41"/>
      <c r="K928" s="41"/>
      <c r="L928" s="64"/>
      <c r="M928" s="79"/>
    </row>
    <row r="929" spans="3:13" ht="13">
      <c r="C929" s="63"/>
      <c r="E929" s="41"/>
      <c r="F929" s="41"/>
      <c r="G929" s="41"/>
      <c r="H929" s="41"/>
      <c r="I929" s="41"/>
      <c r="K929" s="41"/>
      <c r="L929" s="64"/>
      <c r="M929" s="79"/>
    </row>
    <row r="930" spans="3:13" ht="13">
      <c r="C930" s="63"/>
      <c r="E930" s="41"/>
      <c r="F930" s="41"/>
      <c r="G930" s="41"/>
      <c r="H930" s="41"/>
      <c r="I930" s="41"/>
      <c r="K930" s="41"/>
      <c r="L930" s="64"/>
      <c r="M930" s="79"/>
    </row>
    <row r="931" spans="3:13" ht="13">
      <c r="C931" s="63"/>
      <c r="E931" s="41"/>
      <c r="F931" s="41"/>
      <c r="G931" s="41"/>
      <c r="H931" s="41"/>
      <c r="I931" s="41"/>
      <c r="K931" s="41"/>
      <c r="L931" s="64"/>
      <c r="M931" s="79"/>
    </row>
    <row r="932" spans="3:13" ht="13">
      <c r="C932" s="63"/>
      <c r="E932" s="41"/>
      <c r="F932" s="41"/>
      <c r="G932" s="41"/>
      <c r="H932" s="41"/>
      <c r="I932" s="41"/>
      <c r="K932" s="41"/>
      <c r="L932" s="64"/>
      <c r="M932" s="79"/>
    </row>
    <row r="933" spans="3:13" ht="13">
      <c r="C933" s="63"/>
      <c r="E933" s="41"/>
      <c r="F933" s="41"/>
      <c r="G933" s="41"/>
      <c r="H933" s="41"/>
      <c r="I933" s="41"/>
      <c r="K933" s="41"/>
      <c r="L933" s="64"/>
      <c r="M933" s="79"/>
    </row>
    <row r="934" spans="3:13" ht="13">
      <c r="C934" s="63"/>
      <c r="E934" s="41"/>
      <c r="F934" s="41"/>
      <c r="G934" s="41"/>
      <c r="H934" s="41"/>
      <c r="I934" s="41"/>
      <c r="K934" s="41"/>
      <c r="L934" s="64"/>
      <c r="M934" s="79"/>
    </row>
    <row r="935" spans="3:13" ht="13">
      <c r="C935" s="63"/>
      <c r="E935" s="41"/>
      <c r="F935" s="41"/>
      <c r="G935" s="41"/>
      <c r="H935" s="41"/>
      <c r="I935" s="41"/>
      <c r="K935" s="41"/>
      <c r="L935" s="64"/>
      <c r="M935" s="79"/>
    </row>
    <row r="936" spans="3:13" ht="13">
      <c r="C936" s="63"/>
      <c r="E936" s="41"/>
      <c r="F936" s="41"/>
      <c r="G936" s="41"/>
      <c r="H936" s="41"/>
      <c r="I936" s="41"/>
      <c r="K936" s="41"/>
      <c r="L936" s="64"/>
      <c r="M936" s="79"/>
    </row>
    <row r="937" spans="3:13" ht="13">
      <c r="C937" s="63"/>
      <c r="E937" s="41"/>
      <c r="F937" s="41"/>
      <c r="G937" s="41"/>
      <c r="H937" s="41"/>
      <c r="I937" s="41"/>
      <c r="K937" s="41"/>
      <c r="L937" s="64"/>
      <c r="M937" s="79"/>
    </row>
    <row r="938" spans="3:13" ht="13">
      <c r="C938" s="63"/>
      <c r="E938" s="41"/>
      <c r="F938" s="41"/>
      <c r="G938" s="41"/>
      <c r="H938" s="41"/>
      <c r="I938" s="41"/>
      <c r="K938" s="41"/>
      <c r="L938" s="64"/>
      <c r="M938" s="79"/>
    </row>
    <row r="939" spans="3:13" ht="13">
      <c r="C939" s="63"/>
      <c r="E939" s="41"/>
      <c r="F939" s="41"/>
      <c r="G939" s="41"/>
      <c r="H939" s="41"/>
      <c r="I939" s="41"/>
      <c r="K939" s="41"/>
      <c r="L939" s="64"/>
      <c r="M939" s="79"/>
    </row>
    <row r="940" spans="3:13" ht="13">
      <c r="C940" s="63"/>
      <c r="E940" s="41"/>
      <c r="F940" s="41"/>
      <c r="G940" s="41"/>
      <c r="H940" s="41"/>
      <c r="I940" s="41"/>
      <c r="K940" s="41"/>
      <c r="L940" s="64"/>
      <c r="M940" s="79"/>
    </row>
    <row r="941" spans="3:13" ht="13">
      <c r="C941" s="63"/>
      <c r="E941" s="41"/>
      <c r="F941" s="41"/>
      <c r="G941" s="41"/>
      <c r="H941" s="41"/>
      <c r="I941" s="41"/>
      <c r="K941" s="41"/>
      <c r="L941" s="64"/>
      <c r="M941" s="79"/>
    </row>
    <row r="942" spans="3:13" ht="13">
      <c r="C942" s="63"/>
      <c r="E942" s="41"/>
      <c r="F942" s="41"/>
      <c r="G942" s="41"/>
      <c r="H942" s="41"/>
      <c r="I942" s="41"/>
      <c r="K942" s="41"/>
      <c r="L942" s="64"/>
      <c r="M942" s="79"/>
    </row>
    <row r="943" spans="3:13" ht="13">
      <c r="C943" s="63"/>
      <c r="E943" s="41"/>
      <c r="F943" s="41"/>
      <c r="G943" s="41"/>
      <c r="H943" s="41"/>
      <c r="I943" s="41"/>
      <c r="K943" s="41"/>
      <c r="L943" s="64"/>
      <c r="M943" s="79"/>
    </row>
    <row r="944" spans="3:13" ht="13">
      <c r="C944" s="63"/>
      <c r="E944" s="41"/>
      <c r="F944" s="41"/>
      <c r="G944" s="41"/>
      <c r="H944" s="41"/>
      <c r="I944" s="41"/>
      <c r="K944" s="41"/>
      <c r="L944" s="64"/>
      <c r="M944" s="79"/>
    </row>
    <row r="945" spans="3:13" ht="13">
      <c r="C945" s="63"/>
      <c r="E945" s="41"/>
      <c r="F945" s="41"/>
      <c r="G945" s="41"/>
      <c r="H945" s="41"/>
      <c r="I945" s="41"/>
      <c r="K945" s="41"/>
      <c r="L945" s="64"/>
      <c r="M945" s="79"/>
    </row>
    <row r="946" spans="3:13" ht="13">
      <c r="C946" s="63"/>
      <c r="E946" s="41"/>
      <c r="F946" s="41"/>
      <c r="G946" s="41"/>
      <c r="H946" s="41"/>
      <c r="I946" s="41"/>
      <c r="K946" s="41"/>
      <c r="L946" s="64"/>
      <c r="M946" s="79"/>
    </row>
    <row r="947" spans="3:13" ht="13">
      <c r="C947" s="63"/>
      <c r="E947" s="41"/>
      <c r="F947" s="41"/>
      <c r="G947" s="41"/>
      <c r="H947" s="41"/>
      <c r="I947" s="41"/>
      <c r="K947" s="41"/>
      <c r="L947" s="64"/>
      <c r="M947" s="79"/>
    </row>
    <row r="948" spans="3:13" ht="13">
      <c r="C948" s="63"/>
      <c r="E948" s="41"/>
      <c r="F948" s="41"/>
      <c r="G948" s="41"/>
      <c r="H948" s="41"/>
      <c r="I948" s="41"/>
      <c r="K948" s="41"/>
      <c r="L948" s="64"/>
      <c r="M948" s="79"/>
    </row>
    <row r="949" spans="3:13" ht="13">
      <c r="C949" s="63"/>
      <c r="E949" s="41"/>
      <c r="F949" s="41"/>
      <c r="G949" s="41"/>
      <c r="H949" s="41"/>
      <c r="I949" s="41"/>
      <c r="K949" s="41"/>
      <c r="L949" s="64"/>
      <c r="M949" s="79"/>
    </row>
    <row r="950" spans="3:13" ht="13">
      <c r="C950" s="63"/>
      <c r="E950" s="41"/>
      <c r="F950" s="41"/>
      <c r="G950" s="41"/>
      <c r="H950" s="41"/>
      <c r="I950" s="41"/>
      <c r="K950" s="41"/>
      <c r="L950" s="64"/>
      <c r="M950" s="79"/>
    </row>
    <row r="951" spans="3:13" ht="13">
      <c r="C951" s="63"/>
      <c r="E951" s="41"/>
      <c r="F951" s="41"/>
      <c r="G951" s="41"/>
      <c r="H951" s="41"/>
      <c r="I951" s="41"/>
      <c r="K951" s="41"/>
      <c r="L951" s="64"/>
      <c r="M951" s="79"/>
    </row>
    <row r="952" spans="3:13" ht="13">
      <c r="C952" s="63"/>
      <c r="E952" s="41"/>
      <c r="F952" s="41"/>
      <c r="G952" s="41"/>
      <c r="H952" s="41"/>
      <c r="I952" s="41"/>
      <c r="K952" s="41"/>
      <c r="L952" s="64"/>
      <c r="M952" s="79"/>
    </row>
    <row r="953" spans="3:13" ht="13">
      <c r="C953" s="63"/>
      <c r="E953" s="41"/>
      <c r="F953" s="41"/>
      <c r="G953" s="41"/>
      <c r="H953" s="41"/>
      <c r="I953" s="41"/>
      <c r="K953" s="41"/>
      <c r="L953" s="64"/>
      <c r="M953" s="79"/>
    </row>
    <row r="954" spans="3:13" ht="13">
      <c r="C954" s="63"/>
      <c r="E954" s="41"/>
      <c r="F954" s="41"/>
      <c r="G954" s="41"/>
      <c r="H954" s="41"/>
      <c r="I954" s="41"/>
      <c r="K954" s="41"/>
      <c r="L954" s="64"/>
      <c r="M954" s="79"/>
    </row>
    <row r="955" spans="3:13" ht="13">
      <c r="C955" s="63"/>
      <c r="E955" s="41"/>
      <c r="F955" s="41"/>
      <c r="G955" s="41"/>
      <c r="H955" s="41"/>
      <c r="I955" s="41"/>
      <c r="K955" s="41"/>
      <c r="L955" s="64"/>
      <c r="M955" s="79"/>
    </row>
    <row r="956" spans="3:13" ht="13">
      <c r="C956" s="63"/>
      <c r="E956" s="41"/>
      <c r="F956" s="41"/>
      <c r="G956" s="41"/>
      <c r="H956" s="41"/>
      <c r="I956" s="41"/>
      <c r="K956" s="41"/>
      <c r="L956" s="64"/>
      <c r="M956" s="79"/>
    </row>
    <row r="957" spans="3:13" ht="13">
      <c r="C957" s="63"/>
      <c r="E957" s="41"/>
      <c r="F957" s="41"/>
      <c r="G957" s="41"/>
      <c r="H957" s="41"/>
      <c r="I957" s="41"/>
      <c r="K957" s="41"/>
      <c r="L957" s="64"/>
      <c r="M957" s="79"/>
    </row>
    <row r="958" spans="3:13" ht="13">
      <c r="C958" s="63"/>
      <c r="E958" s="41"/>
      <c r="F958" s="41"/>
      <c r="G958" s="41"/>
      <c r="H958" s="41"/>
      <c r="I958" s="41"/>
      <c r="K958" s="41"/>
      <c r="L958" s="64"/>
      <c r="M958" s="79"/>
    </row>
    <row r="959" spans="3:13" ht="13">
      <c r="C959" s="63"/>
      <c r="E959" s="41"/>
      <c r="F959" s="41"/>
      <c r="G959" s="41"/>
      <c r="H959" s="41"/>
      <c r="I959" s="41"/>
      <c r="K959" s="41"/>
      <c r="L959" s="64"/>
      <c r="M959" s="79"/>
    </row>
    <row r="960" spans="3:13" ht="13">
      <c r="C960" s="63"/>
      <c r="E960" s="41"/>
      <c r="F960" s="41"/>
      <c r="G960" s="41"/>
      <c r="H960" s="41"/>
      <c r="I960" s="41"/>
      <c r="K960" s="41"/>
      <c r="L960" s="64"/>
      <c r="M960" s="79"/>
    </row>
    <row r="961" spans="3:13" ht="13">
      <c r="C961" s="63"/>
      <c r="E961" s="41"/>
      <c r="F961" s="41"/>
      <c r="G961" s="41"/>
      <c r="H961" s="41"/>
      <c r="I961" s="41"/>
      <c r="K961" s="41"/>
      <c r="L961" s="64"/>
      <c r="M961" s="79"/>
    </row>
    <row r="962" spans="3:13" ht="13">
      <c r="C962" s="63"/>
      <c r="E962" s="41"/>
      <c r="F962" s="41"/>
      <c r="G962" s="41"/>
      <c r="H962" s="41"/>
      <c r="I962" s="41"/>
      <c r="K962" s="41"/>
      <c r="L962" s="64"/>
      <c r="M962" s="79"/>
    </row>
    <row r="963" spans="3:13" ht="13">
      <c r="C963" s="63"/>
      <c r="E963" s="41"/>
      <c r="F963" s="41"/>
      <c r="G963" s="41"/>
      <c r="H963" s="41"/>
      <c r="I963" s="41"/>
      <c r="K963" s="41"/>
      <c r="L963" s="64"/>
      <c r="M963" s="79"/>
    </row>
    <row r="964" spans="3:13" ht="13">
      <c r="C964" s="63"/>
      <c r="E964" s="41"/>
      <c r="F964" s="41"/>
      <c r="G964" s="41"/>
      <c r="H964" s="41"/>
      <c r="I964" s="41"/>
      <c r="K964" s="41"/>
      <c r="L964" s="64"/>
      <c r="M964" s="79"/>
    </row>
    <row r="965" spans="3:13" ht="13">
      <c r="C965" s="63"/>
      <c r="E965" s="41"/>
      <c r="F965" s="41"/>
      <c r="G965" s="41"/>
      <c r="H965" s="41"/>
      <c r="I965" s="41"/>
      <c r="K965" s="41"/>
      <c r="L965" s="64"/>
      <c r="M965" s="79"/>
    </row>
    <row r="966" spans="3:13" ht="13">
      <c r="C966" s="63"/>
      <c r="E966" s="41"/>
      <c r="F966" s="41"/>
      <c r="G966" s="41"/>
      <c r="H966" s="41"/>
      <c r="I966" s="41"/>
      <c r="K966" s="41"/>
      <c r="L966" s="64"/>
      <c r="M966" s="79"/>
    </row>
    <row r="967" spans="3:13" ht="13">
      <c r="C967" s="63"/>
      <c r="E967" s="41"/>
      <c r="F967" s="41"/>
      <c r="G967" s="41"/>
      <c r="H967" s="41"/>
      <c r="I967" s="41"/>
      <c r="K967" s="41"/>
      <c r="L967" s="64"/>
      <c r="M967" s="79"/>
    </row>
    <row r="968" spans="3:13" ht="13">
      <c r="C968" s="63"/>
      <c r="E968" s="41"/>
      <c r="F968" s="41"/>
      <c r="G968" s="41"/>
      <c r="H968" s="41"/>
      <c r="I968" s="41"/>
      <c r="K968" s="41"/>
      <c r="L968" s="64"/>
      <c r="M968" s="79"/>
    </row>
    <row r="969" spans="3:13" ht="13">
      <c r="C969" s="63"/>
      <c r="E969" s="41"/>
      <c r="F969" s="41"/>
      <c r="G969" s="41"/>
      <c r="H969" s="41"/>
      <c r="I969" s="41"/>
      <c r="K969" s="41"/>
      <c r="L969" s="64"/>
      <c r="M969" s="79"/>
    </row>
    <row r="970" spans="3:13" ht="13">
      <c r="C970" s="63"/>
      <c r="E970" s="41"/>
      <c r="F970" s="41"/>
      <c r="G970" s="41"/>
      <c r="H970" s="41"/>
      <c r="I970" s="41"/>
      <c r="K970" s="41"/>
      <c r="L970" s="64"/>
      <c r="M970" s="79"/>
    </row>
    <row r="971" spans="3:13" ht="13">
      <c r="C971" s="63"/>
      <c r="E971" s="41"/>
      <c r="F971" s="41"/>
      <c r="G971" s="41"/>
      <c r="H971" s="41"/>
      <c r="I971" s="41"/>
      <c r="K971" s="41"/>
      <c r="L971" s="64"/>
      <c r="M971" s="79"/>
    </row>
    <row r="972" spans="3:13" ht="13">
      <c r="C972" s="63"/>
      <c r="E972" s="41"/>
      <c r="F972" s="41"/>
      <c r="G972" s="41"/>
      <c r="H972" s="41"/>
      <c r="I972" s="41"/>
      <c r="K972" s="41"/>
      <c r="L972" s="64"/>
      <c r="M972" s="79"/>
    </row>
    <row r="973" spans="3:13" ht="13">
      <c r="C973" s="63"/>
      <c r="E973" s="41"/>
      <c r="F973" s="41"/>
      <c r="G973" s="41"/>
      <c r="H973" s="41"/>
      <c r="I973" s="41"/>
      <c r="K973" s="41"/>
      <c r="L973" s="64"/>
      <c r="M973" s="79"/>
    </row>
    <row r="974" spans="3:13" ht="13">
      <c r="C974" s="63"/>
      <c r="E974" s="41"/>
      <c r="F974" s="41"/>
      <c r="G974" s="41"/>
      <c r="H974" s="41"/>
      <c r="I974" s="41"/>
      <c r="K974" s="41"/>
      <c r="L974" s="64"/>
      <c r="M974" s="79"/>
    </row>
    <row r="975" spans="3:13" ht="13">
      <c r="C975" s="63"/>
      <c r="E975" s="41"/>
      <c r="F975" s="41"/>
      <c r="G975" s="41"/>
      <c r="H975" s="41"/>
      <c r="I975" s="41"/>
      <c r="K975" s="41"/>
      <c r="L975" s="64"/>
      <c r="M975" s="79"/>
    </row>
    <row r="976" spans="3:13" ht="13">
      <c r="C976" s="63"/>
      <c r="E976" s="41"/>
      <c r="F976" s="41"/>
      <c r="G976" s="41"/>
      <c r="H976" s="41"/>
      <c r="I976" s="41"/>
      <c r="K976" s="41"/>
      <c r="L976" s="64"/>
      <c r="M976" s="79"/>
    </row>
    <row r="977" spans="3:13" ht="13">
      <c r="C977" s="63"/>
      <c r="E977" s="41"/>
      <c r="F977" s="41"/>
      <c r="G977" s="41"/>
      <c r="H977" s="41"/>
      <c r="I977" s="41"/>
      <c r="K977" s="41"/>
      <c r="L977" s="64"/>
      <c r="M977" s="79"/>
    </row>
    <row r="978" spans="3:13" ht="13">
      <c r="C978" s="63"/>
      <c r="E978" s="41"/>
      <c r="F978" s="41"/>
      <c r="G978" s="41"/>
      <c r="H978" s="41"/>
      <c r="I978" s="41"/>
      <c r="K978" s="41"/>
      <c r="L978" s="64"/>
      <c r="M978" s="79"/>
    </row>
    <row r="979" spans="3:13" ht="13">
      <c r="C979" s="63"/>
      <c r="E979" s="41"/>
      <c r="F979" s="41"/>
      <c r="G979" s="41"/>
      <c r="H979" s="41"/>
      <c r="I979" s="41"/>
      <c r="K979" s="41"/>
      <c r="L979" s="64"/>
      <c r="M979" s="79"/>
    </row>
    <row r="980" spans="3:13" ht="13">
      <c r="C980" s="63"/>
      <c r="E980" s="41"/>
      <c r="F980" s="41"/>
      <c r="G980" s="41"/>
      <c r="H980" s="41"/>
      <c r="I980" s="41"/>
      <c r="K980" s="41"/>
      <c r="L980" s="64"/>
      <c r="M980" s="79"/>
    </row>
    <row r="981" spans="3:13" ht="13">
      <c r="C981" s="63"/>
      <c r="E981" s="41"/>
      <c r="F981" s="41"/>
      <c r="G981" s="41"/>
      <c r="H981" s="41"/>
      <c r="I981" s="41"/>
      <c r="K981" s="41"/>
      <c r="L981" s="64"/>
      <c r="M981" s="79"/>
    </row>
    <row r="982" spans="3:13" ht="13">
      <c r="C982" s="63"/>
      <c r="E982" s="41"/>
      <c r="F982" s="41"/>
      <c r="G982" s="41"/>
      <c r="H982" s="41"/>
      <c r="I982" s="41"/>
      <c r="K982" s="41"/>
      <c r="L982" s="64"/>
      <c r="M982" s="79"/>
    </row>
    <row r="983" spans="3:13" ht="13">
      <c r="C983" s="63"/>
      <c r="E983" s="41"/>
      <c r="F983" s="41"/>
      <c r="G983" s="41"/>
      <c r="H983" s="41"/>
      <c r="I983" s="41"/>
      <c r="K983" s="41"/>
      <c r="L983" s="64"/>
      <c r="M983" s="79"/>
    </row>
    <row r="984" spans="3:13" ht="13">
      <c r="C984" s="63"/>
      <c r="E984" s="41"/>
      <c r="F984" s="41"/>
      <c r="G984" s="41"/>
      <c r="H984" s="41"/>
      <c r="I984" s="41"/>
      <c r="K984" s="41"/>
      <c r="L984" s="64"/>
      <c r="M984" s="79"/>
    </row>
    <row r="985" spans="3:13" ht="13">
      <c r="C985" s="63"/>
      <c r="E985" s="41"/>
      <c r="F985" s="41"/>
      <c r="G985" s="41"/>
      <c r="H985" s="41"/>
      <c r="I985" s="41"/>
      <c r="K985" s="41"/>
      <c r="L985" s="64"/>
      <c r="M985" s="79"/>
    </row>
    <row r="986" spans="3:13" ht="13">
      <c r="C986" s="63"/>
      <c r="E986" s="41"/>
      <c r="F986" s="41"/>
      <c r="G986" s="41"/>
      <c r="H986" s="41"/>
      <c r="I986" s="41"/>
      <c r="K986" s="41"/>
      <c r="L986" s="64"/>
      <c r="M986" s="79"/>
    </row>
    <row r="987" spans="3:13" ht="13">
      <c r="C987" s="63"/>
      <c r="E987" s="41"/>
      <c r="F987" s="41"/>
      <c r="G987" s="41"/>
      <c r="H987" s="41"/>
      <c r="I987" s="41"/>
      <c r="K987" s="41"/>
      <c r="L987" s="64"/>
      <c r="M987" s="79"/>
    </row>
    <row r="988" spans="3:13" ht="13">
      <c r="C988" s="63"/>
      <c r="E988" s="41"/>
      <c r="F988" s="41"/>
      <c r="G988" s="41"/>
      <c r="H988" s="41"/>
      <c r="I988" s="41"/>
      <c r="K988" s="41"/>
      <c r="L988" s="64"/>
      <c r="M988" s="79"/>
    </row>
    <row r="989" spans="3:13" ht="13">
      <c r="C989" s="63"/>
      <c r="E989" s="41"/>
      <c r="F989" s="41"/>
      <c r="G989" s="41"/>
      <c r="H989" s="41"/>
      <c r="I989" s="41"/>
      <c r="K989" s="41"/>
      <c r="L989" s="64"/>
      <c r="M989" s="79"/>
    </row>
    <row r="990" spans="3:13" ht="13">
      <c r="C990" s="63"/>
      <c r="E990" s="41"/>
      <c r="F990" s="41"/>
      <c r="G990" s="41"/>
      <c r="H990" s="41"/>
      <c r="I990" s="41"/>
      <c r="K990" s="41"/>
      <c r="L990" s="64"/>
      <c r="M990" s="79"/>
    </row>
    <row r="991" spans="3:13" ht="13">
      <c r="C991" s="63"/>
      <c r="E991" s="41"/>
      <c r="F991" s="41"/>
      <c r="G991" s="41"/>
      <c r="H991" s="41"/>
      <c r="I991" s="41"/>
      <c r="K991" s="41"/>
      <c r="L991" s="64"/>
      <c r="M991" s="79"/>
    </row>
    <row r="992" spans="3:13" ht="13">
      <c r="C992" s="63"/>
      <c r="E992" s="41"/>
      <c r="F992" s="41"/>
      <c r="G992" s="41"/>
      <c r="H992" s="41"/>
      <c r="I992" s="41"/>
      <c r="K992" s="41"/>
      <c r="L992" s="64"/>
      <c r="M992" s="79"/>
    </row>
    <row r="993" spans="3:13" ht="13">
      <c r="C993" s="63"/>
      <c r="E993" s="41"/>
      <c r="F993" s="41"/>
      <c r="G993" s="41"/>
      <c r="H993" s="41"/>
      <c r="I993" s="41"/>
      <c r="K993" s="41"/>
      <c r="L993" s="64"/>
      <c r="M993" s="79"/>
    </row>
    <row r="994" spans="3:13" ht="13">
      <c r="C994" s="63"/>
      <c r="E994" s="41"/>
      <c r="F994" s="41"/>
      <c r="G994" s="41"/>
      <c r="H994" s="41"/>
      <c r="I994" s="41"/>
      <c r="K994" s="41"/>
      <c r="L994" s="64"/>
      <c r="M994" s="79"/>
    </row>
    <row r="995" spans="3:13" ht="13">
      <c r="C995" s="63"/>
      <c r="E995" s="41"/>
      <c r="F995" s="41"/>
      <c r="G995" s="41"/>
      <c r="H995" s="41"/>
      <c r="I995" s="41"/>
      <c r="K995" s="41"/>
      <c r="L995" s="64"/>
      <c r="M995" s="79"/>
    </row>
    <row r="996" spans="3:13" ht="13">
      <c r="C996" s="63"/>
      <c r="E996" s="41"/>
      <c r="F996" s="41"/>
      <c r="G996" s="41"/>
      <c r="H996" s="41"/>
      <c r="I996" s="41"/>
      <c r="K996" s="41"/>
      <c r="L996" s="64"/>
      <c r="M996" s="79"/>
    </row>
    <row r="997" spans="3:13" ht="13">
      <c r="C997" s="63"/>
      <c r="E997" s="41"/>
      <c r="F997" s="41"/>
      <c r="G997" s="41"/>
      <c r="H997" s="41"/>
      <c r="I997" s="41"/>
      <c r="K997" s="41"/>
      <c r="L997" s="64"/>
      <c r="M997" s="79"/>
    </row>
    <row r="998" spans="3:13" ht="13">
      <c r="C998" s="63"/>
      <c r="E998" s="41"/>
      <c r="F998" s="41"/>
      <c r="G998" s="41"/>
      <c r="H998" s="41"/>
      <c r="I998" s="41"/>
      <c r="K998" s="41"/>
      <c r="L998" s="64"/>
      <c r="M998" s="79"/>
    </row>
    <row r="999" spans="3:13" ht="13">
      <c r="C999" s="63"/>
      <c r="E999" s="41"/>
      <c r="F999" s="41"/>
      <c r="G999" s="41"/>
      <c r="H999" s="41"/>
      <c r="I999" s="41"/>
      <c r="K999" s="41"/>
      <c r="L999" s="64"/>
      <c r="M999" s="79"/>
    </row>
    <row r="1000" spans="3:13" ht="13">
      <c r="C1000" s="63"/>
      <c r="E1000" s="41"/>
      <c r="F1000" s="41"/>
      <c r="G1000" s="41"/>
      <c r="H1000" s="41"/>
      <c r="I1000" s="41"/>
      <c r="K1000" s="41"/>
      <c r="L1000" s="64"/>
      <c r="M1000" s="79"/>
    </row>
  </sheetData>
  <autoFilter ref="A1:M1000" xr:uid="{00000000-0009-0000-0000-000007000000}"/>
  <customSheetViews>
    <customSheetView guid="{B8519574-77FB-49A0-940D-FDADA7009AF9}" filter="1" showAutoFilter="1">
      <pageMargins left="0.7" right="0.7" top="0.75" bottom="0.75" header="0.3" footer="0.3"/>
      <autoFilter ref="A1:L27" xr:uid="{00000000-0000-0000-0000-000000000000}"/>
    </customSheetView>
  </customSheetView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outlinePr summaryBelow="0" summaryRight="0"/>
  </sheetPr>
  <dimension ref="A1:M1000"/>
  <sheetViews>
    <sheetView tabSelected="1" zoomScale="75" zoomScaleNormal="100" workbookViewId="0">
      <pane xSplit="1" ySplit="1" topLeftCell="C2" activePane="bottomRight" state="frozen"/>
      <selection pane="topRight" activeCell="B1" sqref="B1"/>
      <selection pane="bottomLeft" activeCell="A2" sqref="A2"/>
      <selection pane="bottomRight" activeCell="F5" sqref="F5"/>
    </sheetView>
  </sheetViews>
  <sheetFormatPr baseColWidth="10" defaultColWidth="14.5" defaultRowHeight="15.75" customHeight="1"/>
  <cols>
    <col min="1" max="1" width="29.1640625" customWidth="1"/>
    <col min="2" max="2" width="14.5" hidden="1"/>
    <col min="3" max="3" width="19.5" customWidth="1"/>
    <col min="5" max="5" width="15.83203125" customWidth="1"/>
    <col min="6" max="6" width="20.6640625" customWidth="1"/>
    <col min="9" max="9" width="25.5" customWidth="1"/>
    <col min="11" max="11" width="21.6640625" customWidth="1"/>
    <col min="12" max="12" width="102" customWidth="1"/>
    <col min="13" max="13" width="49.5" customWidth="1"/>
  </cols>
  <sheetData>
    <row r="1" spans="1:13" ht="15">
      <c r="A1" s="66" t="s">
        <v>175</v>
      </c>
      <c r="B1" s="13" t="s">
        <v>46</v>
      </c>
      <c r="C1" s="42" t="s">
        <v>109</v>
      </c>
      <c r="D1" s="14" t="s">
        <v>47</v>
      </c>
      <c r="E1" s="97" t="s">
        <v>48</v>
      </c>
      <c r="F1" s="97" t="s">
        <v>49</v>
      </c>
      <c r="G1" s="97" t="s">
        <v>50</v>
      </c>
      <c r="H1" s="97" t="s">
        <v>51</v>
      </c>
      <c r="I1" s="97" t="s">
        <v>52</v>
      </c>
      <c r="J1" s="98" t="s">
        <v>53</v>
      </c>
      <c r="K1" s="98" t="s">
        <v>54</v>
      </c>
      <c r="L1" s="43" t="s">
        <v>55</v>
      </c>
      <c r="M1" s="67" t="s">
        <v>399</v>
      </c>
    </row>
    <row r="2" spans="1:13" ht="15.75" customHeight="1">
      <c r="A2" s="40" t="s">
        <v>63</v>
      </c>
      <c r="B2" s="45"/>
      <c r="C2" s="40" t="s">
        <v>111</v>
      </c>
      <c r="D2" s="68" t="s">
        <v>112</v>
      </c>
      <c r="E2" s="48">
        <v>4</v>
      </c>
      <c r="F2" s="89">
        <v>3</v>
      </c>
      <c r="G2" s="89">
        <v>4</v>
      </c>
      <c r="H2" s="89">
        <v>3</v>
      </c>
      <c r="I2" s="90">
        <v>3</v>
      </c>
      <c r="J2" s="50">
        <f t="shared" ref="J2:J16" si="0">AVERAGE(E2:I2)</f>
        <v>3.4</v>
      </c>
      <c r="K2" s="99">
        <v>0.8</v>
      </c>
      <c r="L2" s="56" t="s">
        <v>400</v>
      </c>
      <c r="M2" s="44"/>
    </row>
    <row r="3" spans="1:13" ht="15.75" customHeight="1">
      <c r="A3" s="40" t="s">
        <v>85</v>
      </c>
      <c r="B3" s="45"/>
      <c r="C3" s="40" t="s">
        <v>111</v>
      </c>
      <c r="D3" s="68" t="s">
        <v>112</v>
      </c>
      <c r="E3" s="90">
        <v>5</v>
      </c>
      <c r="F3" s="90">
        <v>4</v>
      </c>
      <c r="G3" s="90">
        <v>3</v>
      </c>
      <c r="H3" s="90">
        <v>3</v>
      </c>
      <c r="I3" s="90">
        <v>4</v>
      </c>
      <c r="J3" s="50">
        <f t="shared" si="0"/>
        <v>3.8</v>
      </c>
      <c r="K3" s="72">
        <v>0.9</v>
      </c>
      <c r="L3" s="56" t="s">
        <v>401</v>
      </c>
      <c r="M3" s="100" t="s">
        <v>402</v>
      </c>
    </row>
    <row r="4" spans="1:13" ht="15.75" customHeight="1">
      <c r="A4" s="40" t="s">
        <v>91</v>
      </c>
      <c r="B4" s="45"/>
      <c r="C4" s="40" t="s">
        <v>111</v>
      </c>
      <c r="D4" s="68" t="s">
        <v>112</v>
      </c>
      <c r="E4" s="48">
        <v>5</v>
      </c>
      <c r="F4" s="89">
        <v>4</v>
      </c>
      <c r="G4" s="89">
        <v>3</v>
      </c>
      <c r="H4" s="89">
        <v>5</v>
      </c>
      <c r="I4" s="90">
        <v>4</v>
      </c>
      <c r="J4" s="50">
        <f t="shared" si="0"/>
        <v>4.2</v>
      </c>
      <c r="K4" s="72">
        <v>0.9</v>
      </c>
      <c r="L4" s="56" t="s">
        <v>403</v>
      </c>
      <c r="M4" s="100" t="s">
        <v>404</v>
      </c>
    </row>
    <row r="5" spans="1:13" ht="15.75" customHeight="1">
      <c r="A5" s="40" t="s">
        <v>93</v>
      </c>
      <c r="B5" s="45"/>
      <c r="C5" s="40" t="s">
        <v>119</v>
      </c>
      <c r="D5" s="40" t="s">
        <v>112</v>
      </c>
      <c r="E5" s="54">
        <v>4</v>
      </c>
      <c r="F5" s="54">
        <v>5</v>
      </c>
      <c r="G5" s="54">
        <v>4</v>
      </c>
      <c r="H5" s="54">
        <v>4</v>
      </c>
      <c r="I5" s="54">
        <v>4</v>
      </c>
      <c r="J5" s="50">
        <f t="shared" si="0"/>
        <v>4.2</v>
      </c>
      <c r="K5" s="72"/>
      <c r="L5" s="55" t="s">
        <v>405</v>
      </c>
      <c r="M5" s="67"/>
    </row>
    <row r="6" spans="1:13" ht="15.75" customHeight="1">
      <c r="A6" s="40" t="s">
        <v>103</v>
      </c>
      <c r="B6" s="45"/>
      <c r="C6" s="40" t="s">
        <v>186</v>
      </c>
      <c r="D6" s="68" t="s">
        <v>123</v>
      </c>
      <c r="E6" s="54">
        <v>4</v>
      </c>
      <c r="F6" s="54">
        <v>4</v>
      </c>
      <c r="G6" s="54">
        <v>3</v>
      </c>
      <c r="H6" s="54">
        <v>4</v>
      </c>
      <c r="I6" s="54">
        <v>4</v>
      </c>
      <c r="J6" s="50">
        <f t="shared" si="0"/>
        <v>3.8</v>
      </c>
      <c r="K6" s="101">
        <v>1</v>
      </c>
      <c r="L6" s="56" t="s">
        <v>406</v>
      </c>
      <c r="M6" s="44"/>
    </row>
    <row r="7" spans="1:13" ht="15.75" customHeight="1">
      <c r="A7" s="40" t="s">
        <v>105</v>
      </c>
      <c r="B7" s="45"/>
      <c r="C7" s="40" t="s">
        <v>111</v>
      </c>
      <c r="D7" s="68" t="s">
        <v>123</v>
      </c>
      <c r="E7" s="69">
        <v>4</v>
      </c>
      <c r="F7" s="70">
        <v>5</v>
      </c>
      <c r="G7" s="70">
        <v>4</v>
      </c>
      <c r="H7" s="70">
        <v>3</v>
      </c>
      <c r="I7" s="71">
        <v>4</v>
      </c>
      <c r="J7" s="50">
        <f t="shared" si="0"/>
        <v>4</v>
      </c>
      <c r="K7" s="102">
        <v>1</v>
      </c>
      <c r="L7" s="103" t="s">
        <v>407</v>
      </c>
      <c r="M7" s="44"/>
    </row>
    <row r="8" spans="1:13" ht="15.75" customHeight="1">
      <c r="A8" s="40" t="s">
        <v>59</v>
      </c>
      <c r="B8" s="45"/>
      <c r="C8" s="40" t="s">
        <v>186</v>
      </c>
      <c r="D8" s="40" t="s">
        <v>123</v>
      </c>
      <c r="E8" s="54">
        <v>4</v>
      </c>
      <c r="F8" s="49">
        <v>4</v>
      </c>
      <c r="G8" s="54">
        <v>2</v>
      </c>
      <c r="H8" s="54">
        <v>5</v>
      </c>
      <c r="I8" s="54">
        <v>3</v>
      </c>
      <c r="J8" s="50">
        <f t="shared" si="0"/>
        <v>3.6</v>
      </c>
      <c r="K8" s="72">
        <v>1</v>
      </c>
      <c r="L8" s="57" t="s">
        <v>408</v>
      </c>
      <c r="M8" s="44"/>
    </row>
    <row r="9" spans="1:13" ht="15.75" customHeight="1">
      <c r="A9" s="40" t="s">
        <v>101</v>
      </c>
      <c r="B9" s="45"/>
      <c r="C9" s="40" t="s">
        <v>186</v>
      </c>
      <c r="D9" s="40" t="s">
        <v>123</v>
      </c>
      <c r="E9" s="48">
        <v>4</v>
      </c>
      <c r="F9" s="49">
        <v>3</v>
      </c>
      <c r="G9" s="49">
        <v>3</v>
      </c>
      <c r="H9" s="49">
        <v>4</v>
      </c>
      <c r="I9" s="54">
        <v>4</v>
      </c>
      <c r="J9" s="50">
        <f t="shared" si="0"/>
        <v>3.6</v>
      </c>
      <c r="K9" s="72">
        <v>1</v>
      </c>
      <c r="L9" s="55" t="s">
        <v>409</v>
      </c>
      <c r="M9" s="44"/>
    </row>
    <row r="10" spans="1:13" ht="15.75" customHeight="1">
      <c r="A10" s="40" t="s">
        <v>79</v>
      </c>
      <c r="B10" s="45"/>
      <c r="C10" s="40" t="s">
        <v>119</v>
      </c>
      <c r="D10" s="40" t="s">
        <v>132</v>
      </c>
      <c r="E10" s="59">
        <v>4</v>
      </c>
      <c r="F10" s="54">
        <v>5</v>
      </c>
      <c r="G10" s="54">
        <v>4</v>
      </c>
      <c r="H10" s="54">
        <v>4</v>
      </c>
      <c r="I10" s="54">
        <v>5</v>
      </c>
      <c r="J10" s="50">
        <f t="shared" si="0"/>
        <v>4.4000000000000004</v>
      </c>
      <c r="K10" s="72">
        <v>1</v>
      </c>
      <c r="L10" s="55" t="s">
        <v>410</v>
      </c>
      <c r="M10" s="73"/>
    </row>
    <row r="11" spans="1:13" ht="15.75" customHeight="1">
      <c r="A11" s="40" t="s">
        <v>56</v>
      </c>
      <c r="B11" s="45"/>
      <c r="C11" s="40" t="s">
        <v>135</v>
      </c>
      <c r="D11" s="40" t="s">
        <v>132</v>
      </c>
      <c r="E11" s="54">
        <v>3</v>
      </c>
      <c r="F11" s="54">
        <v>4</v>
      </c>
      <c r="G11" s="54">
        <v>2</v>
      </c>
      <c r="H11" s="54">
        <v>3</v>
      </c>
      <c r="I11" s="54">
        <v>4</v>
      </c>
      <c r="J11" s="50">
        <f t="shared" si="0"/>
        <v>3.2</v>
      </c>
      <c r="K11" s="72">
        <v>1</v>
      </c>
      <c r="L11" s="44" t="s">
        <v>411</v>
      </c>
      <c r="M11" s="44" t="s">
        <v>412</v>
      </c>
    </row>
    <row r="12" spans="1:13" ht="15.75" customHeight="1">
      <c r="A12" s="40" t="s">
        <v>89</v>
      </c>
      <c r="B12" s="45"/>
      <c r="C12" s="40" t="s">
        <v>119</v>
      </c>
      <c r="D12" s="68" t="s">
        <v>132</v>
      </c>
      <c r="E12" s="54">
        <v>4</v>
      </c>
      <c r="F12" s="54">
        <v>4</v>
      </c>
      <c r="G12" s="54">
        <v>4</v>
      </c>
      <c r="H12" s="54">
        <v>3</v>
      </c>
      <c r="I12" s="54">
        <v>4</v>
      </c>
      <c r="J12" s="50">
        <f t="shared" si="0"/>
        <v>3.8</v>
      </c>
      <c r="K12" s="72">
        <v>1</v>
      </c>
      <c r="L12" s="55" t="s">
        <v>413</v>
      </c>
      <c r="M12" s="67"/>
    </row>
    <row r="13" spans="1:13" ht="15.75" customHeight="1">
      <c r="A13" s="40" t="s">
        <v>61</v>
      </c>
      <c r="B13" s="45"/>
      <c r="C13" s="40" t="s">
        <v>148</v>
      </c>
      <c r="D13" s="40" t="s">
        <v>132</v>
      </c>
      <c r="E13" s="59">
        <v>4</v>
      </c>
      <c r="F13" s="54">
        <v>3</v>
      </c>
      <c r="G13" s="54">
        <v>3</v>
      </c>
      <c r="H13" s="54">
        <v>4</v>
      </c>
      <c r="I13" s="54">
        <v>3</v>
      </c>
      <c r="J13" s="50">
        <f t="shared" si="0"/>
        <v>3.4</v>
      </c>
      <c r="K13" s="72"/>
      <c r="L13" s="74" t="s">
        <v>414</v>
      </c>
      <c r="M13" s="55"/>
    </row>
    <row r="14" spans="1:13" ht="15.75" customHeight="1">
      <c r="A14" s="40" t="s">
        <v>71</v>
      </c>
      <c r="B14" s="45"/>
      <c r="C14" s="40" t="s">
        <v>135</v>
      </c>
      <c r="D14" s="68" t="s">
        <v>143</v>
      </c>
      <c r="E14" s="54">
        <v>5</v>
      </c>
      <c r="F14" s="54">
        <v>5</v>
      </c>
      <c r="G14" s="54">
        <v>4</v>
      </c>
      <c r="H14" s="54">
        <v>5</v>
      </c>
      <c r="I14" s="54">
        <v>4</v>
      </c>
      <c r="J14" s="50">
        <f t="shared" si="0"/>
        <v>4.5999999999999996</v>
      </c>
      <c r="K14" s="72">
        <v>1</v>
      </c>
      <c r="L14" s="44" t="s">
        <v>415</v>
      </c>
      <c r="M14" s="44" t="s">
        <v>416</v>
      </c>
    </row>
    <row r="15" spans="1:13" ht="15.75" customHeight="1">
      <c r="A15" s="40" t="s">
        <v>73</v>
      </c>
      <c r="B15" s="45"/>
      <c r="C15" s="40" t="s">
        <v>135</v>
      </c>
      <c r="D15" s="68" t="s">
        <v>143</v>
      </c>
      <c r="E15" s="48">
        <v>3</v>
      </c>
      <c r="F15" s="49">
        <v>3</v>
      </c>
      <c r="G15" s="49">
        <v>4</v>
      </c>
      <c r="H15" s="49">
        <v>3</v>
      </c>
      <c r="I15" s="54">
        <v>3</v>
      </c>
      <c r="J15" s="50">
        <f t="shared" si="0"/>
        <v>3.2</v>
      </c>
      <c r="K15" s="72">
        <v>1</v>
      </c>
      <c r="L15" s="44" t="s">
        <v>417</v>
      </c>
      <c r="M15" s="44" t="s">
        <v>418</v>
      </c>
    </row>
    <row r="16" spans="1:13" ht="15.75" customHeight="1">
      <c r="A16" s="40" t="s">
        <v>81</v>
      </c>
      <c r="B16" s="45"/>
      <c r="C16" s="40" t="s">
        <v>148</v>
      </c>
      <c r="D16" s="40" t="s">
        <v>143</v>
      </c>
      <c r="E16" s="48">
        <v>4</v>
      </c>
      <c r="F16" s="49">
        <v>2</v>
      </c>
      <c r="G16" s="49">
        <v>3</v>
      </c>
      <c r="H16" s="49">
        <v>4</v>
      </c>
      <c r="I16" s="54">
        <v>4</v>
      </c>
      <c r="J16" s="50">
        <f t="shared" si="0"/>
        <v>3.4</v>
      </c>
      <c r="K16" s="72"/>
      <c r="L16" s="74" t="s">
        <v>419</v>
      </c>
      <c r="M16" s="55"/>
    </row>
    <row r="17" spans="1:13" ht="15.75" customHeight="1">
      <c r="A17" s="40" t="s">
        <v>65</v>
      </c>
      <c r="B17" s="45"/>
      <c r="C17" s="40" t="s">
        <v>111</v>
      </c>
      <c r="D17" s="68" t="s">
        <v>143</v>
      </c>
      <c r="E17" s="71">
        <v>4</v>
      </c>
      <c r="F17" s="71">
        <v>4</v>
      </c>
      <c r="G17" s="71">
        <v>3</v>
      </c>
      <c r="H17" s="71">
        <v>3</v>
      </c>
      <c r="I17" s="71">
        <v>4</v>
      </c>
      <c r="J17" s="50">
        <f>AVERAGE(E17:I17)</f>
        <v>3.6</v>
      </c>
      <c r="K17" s="102">
        <v>1</v>
      </c>
      <c r="L17" s="103" t="s">
        <v>420</v>
      </c>
      <c r="M17" s="61"/>
    </row>
    <row r="18" spans="1:13" ht="15.75" customHeight="1">
      <c r="A18" s="40" t="s">
        <v>99</v>
      </c>
      <c r="B18" s="45"/>
      <c r="C18" s="40" t="s">
        <v>186</v>
      </c>
      <c r="D18" s="40" t="s">
        <v>153</v>
      </c>
      <c r="E18" s="54">
        <v>4</v>
      </c>
      <c r="F18" s="54">
        <v>4</v>
      </c>
      <c r="G18" s="54">
        <v>2</v>
      </c>
      <c r="H18" s="54">
        <v>4</v>
      </c>
      <c r="I18" s="54">
        <v>3</v>
      </c>
      <c r="J18" s="50">
        <f t="shared" ref="J18:J24" si="1">AVERAGE(E18:I18)</f>
        <v>3.4</v>
      </c>
      <c r="K18" s="72">
        <v>1</v>
      </c>
      <c r="L18" s="52" t="s">
        <v>421</v>
      </c>
      <c r="M18" s="44"/>
    </row>
    <row r="19" spans="1:13" ht="15.75" customHeight="1">
      <c r="A19" s="40" t="s">
        <v>97</v>
      </c>
      <c r="B19" s="45"/>
      <c r="C19" s="40" t="s">
        <v>119</v>
      </c>
      <c r="D19" s="40" t="s">
        <v>153</v>
      </c>
      <c r="E19" s="54">
        <v>4</v>
      </c>
      <c r="F19" s="54">
        <v>4</v>
      </c>
      <c r="G19" s="54">
        <v>3</v>
      </c>
      <c r="H19" s="54">
        <v>4</v>
      </c>
      <c r="I19" s="54">
        <v>4</v>
      </c>
      <c r="J19" s="50">
        <f t="shared" si="1"/>
        <v>3.8</v>
      </c>
      <c r="K19" s="72">
        <v>1</v>
      </c>
      <c r="L19" s="55" t="s">
        <v>422</v>
      </c>
      <c r="M19" s="76"/>
    </row>
    <row r="20" spans="1:13" ht="15.75" customHeight="1">
      <c r="A20" s="40" t="s">
        <v>87</v>
      </c>
      <c r="B20" s="45"/>
      <c r="C20" s="40" t="s">
        <v>148</v>
      </c>
      <c r="D20" s="40" t="s">
        <v>153</v>
      </c>
      <c r="E20" s="54">
        <v>4</v>
      </c>
      <c r="F20" s="54">
        <v>4</v>
      </c>
      <c r="G20" s="54">
        <v>3</v>
      </c>
      <c r="H20" s="54">
        <v>4</v>
      </c>
      <c r="I20" s="54">
        <v>3</v>
      </c>
      <c r="J20" s="50">
        <f t="shared" si="1"/>
        <v>3.6</v>
      </c>
      <c r="K20" s="72"/>
      <c r="L20" s="74" t="s">
        <v>423</v>
      </c>
      <c r="M20" s="55"/>
    </row>
    <row r="21" spans="1:13" ht="15.75" customHeight="1">
      <c r="A21" s="40" t="s">
        <v>107</v>
      </c>
      <c r="B21" s="45"/>
      <c r="C21" s="40" t="s">
        <v>135</v>
      </c>
      <c r="D21" s="68" t="s">
        <v>153</v>
      </c>
      <c r="E21" s="48">
        <v>4</v>
      </c>
      <c r="F21" s="49">
        <v>5</v>
      </c>
      <c r="G21" s="49">
        <v>5</v>
      </c>
      <c r="H21" s="49">
        <v>4</v>
      </c>
      <c r="I21" s="54">
        <v>4</v>
      </c>
      <c r="J21" s="50">
        <f t="shared" si="1"/>
        <v>4.4000000000000004</v>
      </c>
      <c r="K21" s="72">
        <v>1</v>
      </c>
      <c r="L21" s="55" t="s">
        <v>424</v>
      </c>
      <c r="M21" s="44"/>
    </row>
    <row r="22" spans="1:13" ht="15.75" customHeight="1">
      <c r="A22" s="40" t="s">
        <v>69</v>
      </c>
      <c r="B22" s="45"/>
      <c r="C22" s="40" t="s">
        <v>135</v>
      </c>
      <c r="D22" s="40" t="s">
        <v>153</v>
      </c>
      <c r="E22" s="54">
        <v>4</v>
      </c>
      <c r="F22" s="54">
        <v>4</v>
      </c>
      <c r="G22" s="54">
        <v>4</v>
      </c>
      <c r="H22" s="54">
        <v>4</v>
      </c>
      <c r="I22" s="54">
        <f>4-1</f>
        <v>3</v>
      </c>
      <c r="J22" s="50">
        <f t="shared" si="1"/>
        <v>3.8</v>
      </c>
      <c r="K22" s="72">
        <v>0.6</v>
      </c>
      <c r="L22" s="96" t="s">
        <v>425</v>
      </c>
      <c r="M22" s="44"/>
    </row>
    <row r="23" spans="1:13" ht="15.75" customHeight="1">
      <c r="A23" s="40" t="s">
        <v>83</v>
      </c>
      <c r="B23" s="45"/>
      <c r="C23" s="40" t="s">
        <v>119</v>
      </c>
      <c r="D23" s="68" t="s">
        <v>164</v>
      </c>
      <c r="E23" s="54">
        <v>3</v>
      </c>
      <c r="F23" s="54">
        <v>3</v>
      </c>
      <c r="G23" s="54">
        <v>2</v>
      </c>
      <c r="H23" s="54">
        <v>4</v>
      </c>
      <c r="I23" s="54">
        <v>3</v>
      </c>
      <c r="J23" s="50">
        <f t="shared" si="1"/>
        <v>3</v>
      </c>
      <c r="K23" s="72">
        <v>1</v>
      </c>
      <c r="L23" s="52" t="s">
        <v>426</v>
      </c>
      <c r="M23" s="67"/>
    </row>
    <row r="24" spans="1:13" ht="15.75" customHeight="1">
      <c r="A24" s="40" t="s">
        <v>75</v>
      </c>
      <c r="B24" s="45"/>
      <c r="C24" s="40" t="s">
        <v>186</v>
      </c>
      <c r="D24" s="40" t="s">
        <v>164</v>
      </c>
      <c r="E24" s="54">
        <v>4</v>
      </c>
      <c r="F24" s="54">
        <v>2</v>
      </c>
      <c r="G24" s="54">
        <v>2</v>
      </c>
      <c r="H24" s="54">
        <v>3</v>
      </c>
      <c r="I24" s="54">
        <v>4</v>
      </c>
      <c r="J24" s="50">
        <f t="shared" si="1"/>
        <v>3</v>
      </c>
      <c r="K24" s="72">
        <v>0.9</v>
      </c>
      <c r="L24" s="52" t="s">
        <v>427</v>
      </c>
      <c r="M24" s="44"/>
    </row>
    <row r="25" spans="1:13" ht="15.75" customHeight="1">
      <c r="A25" s="40" t="s">
        <v>77</v>
      </c>
      <c r="B25" s="45"/>
      <c r="C25" s="40" t="s">
        <v>111</v>
      </c>
      <c r="D25" s="40" t="s">
        <v>164</v>
      </c>
      <c r="E25" s="71">
        <v>4</v>
      </c>
      <c r="F25" s="71">
        <v>4</v>
      </c>
      <c r="G25" s="71">
        <v>2</v>
      </c>
      <c r="H25" s="71">
        <v>3</v>
      </c>
      <c r="I25" s="71">
        <v>4</v>
      </c>
      <c r="J25" s="50">
        <f>AVERAGE(E25:I25)</f>
        <v>3.4</v>
      </c>
      <c r="K25" s="102">
        <v>1</v>
      </c>
      <c r="L25" s="103" t="s">
        <v>428</v>
      </c>
      <c r="M25" s="44"/>
    </row>
    <row r="26" spans="1:13" ht="15.75" customHeight="1">
      <c r="A26" s="40" t="s">
        <v>95</v>
      </c>
      <c r="B26" s="45"/>
      <c r="C26" s="40" t="s">
        <v>148</v>
      </c>
      <c r="D26" s="37" t="s">
        <v>164</v>
      </c>
      <c r="E26" s="59">
        <v>4</v>
      </c>
      <c r="F26" s="54">
        <v>4</v>
      </c>
      <c r="G26" s="54">
        <v>2</v>
      </c>
      <c r="H26" s="54">
        <v>3</v>
      </c>
      <c r="I26" s="54">
        <v>4</v>
      </c>
      <c r="J26" s="50">
        <f t="shared" ref="J26:J27" si="2">AVERAGE(E26:I26)</f>
        <v>3.4</v>
      </c>
      <c r="K26" s="72"/>
      <c r="L26" s="74" t="s">
        <v>429</v>
      </c>
      <c r="M26" s="55"/>
    </row>
    <row r="27" spans="1:13" ht="15.75" customHeight="1">
      <c r="A27" s="40" t="s">
        <v>67</v>
      </c>
      <c r="B27" s="45"/>
      <c r="C27" s="40" t="s">
        <v>148</v>
      </c>
      <c r="D27" s="40" t="s">
        <v>164</v>
      </c>
      <c r="E27" s="54">
        <v>4</v>
      </c>
      <c r="F27" s="54">
        <v>4</v>
      </c>
      <c r="G27" s="54">
        <v>3</v>
      </c>
      <c r="H27" s="54">
        <v>3</v>
      </c>
      <c r="I27" s="54">
        <v>4</v>
      </c>
      <c r="J27" s="50">
        <f t="shared" si="2"/>
        <v>3.6</v>
      </c>
      <c r="K27" s="72">
        <v>1</v>
      </c>
      <c r="L27" s="74" t="s">
        <v>430</v>
      </c>
      <c r="M27" s="55"/>
    </row>
    <row r="28" spans="1:13" ht="14">
      <c r="C28" s="45"/>
      <c r="D28" s="26" t="s">
        <v>53</v>
      </c>
      <c r="E28" s="104">
        <f>AVERAGE(E2:E27)</f>
        <v>4</v>
      </c>
      <c r="F28" s="104">
        <f t="shared" ref="F28:I28" si="3">AVERAGE(F2:F27)</f>
        <v>3.8461538461538463</v>
      </c>
      <c r="G28" s="104">
        <f t="shared" si="3"/>
        <v>3.1153846153846154</v>
      </c>
      <c r="H28" s="104">
        <f t="shared" si="3"/>
        <v>3.6923076923076925</v>
      </c>
      <c r="I28" s="104">
        <f t="shared" si="3"/>
        <v>3.7307692307692308</v>
      </c>
      <c r="J28" s="104"/>
      <c r="K28" s="104"/>
      <c r="L28" s="64"/>
      <c r="M28" s="79"/>
    </row>
    <row r="29" spans="1:13" ht="14">
      <c r="C29" s="45"/>
      <c r="D29" s="26"/>
      <c r="E29" s="104"/>
      <c r="F29" s="104"/>
      <c r="G29" s="104"/>
      <c r="H29" s="104"/>
      <c r="I29" s="104"/>
      <c r="J29" s="104"/>
      <c r="K29" s="104"/>
      <c r="L29" s="64"/>
      <c r="M29" s="79"/>
    </row>
    <row r="30" spans="1:13" ht="14">
      <c r="C30" s="45"/>
      <c r="D30" s="26"/>
      <c r="E30" s="104"/>
      <c r="F30" s="104"/>
      <c r="G30" s="104"/>
      <c r="H30" s="104"/>
      <c r="I30" s="104"/>
      <c r="J30" s="104"/>
      <c r="K30" s="104"/>
      <c r="L30" s="64"/>
      <c r="M30" s="79"/>
    </row>
    <row r="31" spans="1:13" ht="14">
      <c r="C31" s="45"/>
      <c r="D31" s="26"/>
      <c r="E31" s="104"/>
      <c r="F31" s="104"/>
      <c r="G31" s="104"/>
      <c r="H31" s="104"/>
      <c r="I31" s="104"/>
      <c r="J31" s="104"/>
      <c r="K31" s="104"/>
      <c r="L31" s="64"/>
      <c r="M31" s="79"/>
    </row>
    <row r="32" spans="1:13" ht="14">
      <c r="C32" s="45"/>
      <c r="D32" s="26"/>
      <c r="E32" s="104"/>
      <c r="F32" s="97" t="s">
        <v>48</v>
      </c>
      <c r="G32" s="97" t="s">
        <v>49</v>
      </c>
      <c r="H32" s="97" t="s">
        <v>50</v>
      </c>
      <c r="I32" s="97" t="s">
        <v>51</v>
      </c>
      <c r="J32" s="97" t="s">
        <v>52</v>
      </c>
      <c r="K32" s="104"/>
      <c r="L32" s="64"/>
      <c r="M32" s="79"/>
    </row>
    <row r="33" spans="3:13" ht="14">
      <c r="C33" s="45"/>
      <c r="D33" s="26"/>
      <c r="E33" s="104" t="s">
        <v>529</v>
      </c>
      <c r="F33" s="104">
        <f>AVERAGE(F7:F32)</f>
        <v>3.8111888111888108</v>
      </c>
      <c r="G33" s="104">
        <f t="shared" ref="G33" si="4">AVERAGE(G7:G32)</f>
        <v>3.0506993006993004</v>
      </c>
      <c r="H33" s="104">
        <f t="shared" ref="H33" si="5">AVERAGE(H7:H32)</f>
        <v>3.6678321678321679</v>
      </c>
      <c r="I33" s="104">
        <f t="shared" ref="I33" si="6">AVERAGE(I7:I32)</f>
        <v>3.715034965034965</v>
      </c>
      <c r="J33" s="104">
        <f t="shared" ref="J33" si="7">AVERAGE(J7:J32)</f>
        <v>3.6285714285714286</v>
      </c>
      <c r="K33" s="104"/>
      <c r="L33" s="64"/>
      <c r="M33" s="79"/>
    </row>
    <row r="34" spans="3:13" ht="14">
      <c r="C34" s="45"/>
      <c r="D34" s="26"/>
      <c r="E34" s="104" t="s">
        <v>527</v>
      </c>
      <c r="F34" s="54">
        <v>4</v>
      </c>
      <c r="G34" s="54">
        <v>3</v>
      </c>
      <c r="H34" s="54">
        <v>4</v>
      </c>
      <c r="I34" s="54">
        <v>4</v>
      </c>
      <c r="J34" s="54">
        <v>4</v>
      </c>
      <c r="K34" s="104"/>
      <c r="L34" s="64"/>
      <c r="M34" s="79"/>
    </row>
    <row r="35" spans="3:13" ht="14">
      <c r="C35" s="45"/>
      <c r="D35" s="26"/>
      <c r="E35" s="104" t="s">
        <v>528</v>
      </c>
      <c r="F35" s="54">
        <v>4</v>
      </c>
      <c r="G35" s="54">
        <v>4</v>
      </c>
      <c r="H35" s="54">
        <v>3</v>
      </c>
      <c r="I35" s="54">
        <v>3</v>
      </c>
      <c r="J35" s="54">
        <v>4</v>
      </c>
      <c r="K35" s="54"/>
      <c r="L35" s="64"/>
      <c r="M35" s="79"/>
    </row>
    <row r="36" spans="3:13" ht="14">
      <c r="C36" s="45"/>
      <c r="D36" s="26"/>
      <c r="E36" s="104"/>
      <c r="F36" s="104"/>
      <c r="G36" s="104"/>
      <c r="H36" s="104"/>
      <c r="I36" s="104"/>
      <c r="J36" s="104"/>
      <c r="K36" s="104"/>
      <c r="L36" s="64"/>
      <c r="M36" s="79"/>
    </row>
    <row r="37" spans="3:13" ht="14">
      <c r="C37" s="45"/>
      <c r="D37" s="26"/>
      <c r="E37" s="104"/>
      <c r="F37" s="104"/>
      <c r="G37" s="104"/>
      <c r="H37" s="104"/>
      <c r="I37" s="104"/>
      <c r="J37" s="104"/>
      <c r="K37" s="104"/>
      <c r="L37" s="64"/>
      <c r="M37" s="79"/>
    </row>
    <row r="38" spans="3:13" ht="14">
      <c r="C38" s="45"/>
      <c r="D38" s="26"/>
      <c r="E38" s="169"/>
      <c r="F38" s="169" t="s">
        <v>530</v>
      </c>
      <c r="G38" s="169" t="s">
        <v>48</v>
      </c>
      <c r="H38" s="169" t="s">
        <v>49</v>
      </c>
      <c r="I38" s="169" t="s">
        <v>50</v>
      </c>
      <c r="J38" s="169" t="s">
        <v>51</v>
      </c>
      <c r="K38" s="169" t="s">
        <v>52</v>
      </c>
      <c r="L38" s="64"/>
      <c r="M38" s="79"/>
    </row>
    <row r="39" spans="3:13" ht="14">
      <c r="C39" s="45"/>
      <c r="D39" s="26"/>
      <c r="E39" s="171" t="s">
        <v>531</v>
      </c>
      <c r="F39" s="69">
        <v>3</v>
      </c>
      <c r="G39" s="54">
        <v>1</v>
      </c>
      <c r="H39" s="54">
        <v>2</v>
      </c>
      <c r="I39" s="54">
        <v>2</v>
      </c>
      <c r="J39" s="54">
        <v>3</v>
      </c>
      <c r="K39" s="58">
        <v>2</v>
      </c>
      <c r="L39" s="64"/>
      <c r="M39" s="79"/>
    </row>
    <row r="40" spans="3:13" ht="14">
      <c r="C40" s="45"/>
      <c r="D40" s="26"/>
      <c r="E40" s="171" t="s">
        <v>532</v>
      </c>
      <c r="F40" s="171">
        <v>3</v>
      </c>
      <c r="G40" s="54">
        <v>3</v>
      </c>
      <c r="H40" s="54">
        <v>3</v>
      </c>
      <c r="I40" s="54">
        <v>2</v>
      </c>
      <c r="J40" s="54">
        <v>2</v>
      </c>
      <c r="K40" s="58">
        <v>3</v>
      </c>
      <c r="L40" s="64"/>
      <c r="M40" s="79"/>
    </row>
    <row r="41" spans="3:13" ht="14">
      <c r="C41" s="45"/>
      <c r="D41" s="26"/>
      <c r="E41" s="170" t="s">
        <v>533</v>
      </c>
      <c r="F41" s="171">
        <v>3</v>
      </c>
      <c r="G41" s="54">
        <v>3</v>
      </c>
      <c r="H41" s="54">
        <v>4</v>
      </c>
      <c r="I41" s="54">
        <v>2</v>
      </c>
      <c r="J41" s="54">
        <v>3</v>
      </c>
      <c r="K41" s="58">
        <v>3</v>
      </c>
      <c r="L41" s="64"/>
      <c r="M41" s="79"/>
    </row>
    <row r="42" spans="3:13" ht="14">
      <c r="C42" s="45"/>
      <c r="D42" s="26"/>
      <c r="E42" s="172" t="s">
        <v>534</v>
      </c>
      <c r="F42" s="104">
        <v>3</v>
      </c>
      <c r="G42" s="54">
        <v>4</v>
      </c>
      <c r="H42" s="54">
        <v>4</v>
      </c>
      <c r="I42" s="54">
        <v>3</v>
      </c>
      <c r="J42" s="54">
        <v>4</v>
      </c>
      <c r="K42" s="58">
        <v>5</v>
      </c>
      <c r="L42" s="64"/>
      <c r="M42" s="79"/>
    </row>
    <row r="43" spans="3:13" ht="14">
      <c r="C43" s="45"/>
      <c r="D43" s="26"/>
      <c r="E43" s="172" t="s">
        <v>527</v>
      </c>
      <c r="F43" s="104">
        <v>3</v>
      </c>
      <c r="G43" s="54">
        <v>4</v>
      </c>
      <c r="H43" s="54">
        <v>3</v>
      </c>
      <c r="I43" s="54">
        <v>4</v>
      </c>
      <c r="J43" s="54">
        <v>4</v>
      </c>
      <c r="K43" s="54">
        <v>4</v>
      </c>
      <c r="L43" s="64"/>
      <c r="M43" s="79"/>
    </row>
    <row r="44" spans="3:13" ht="14">
      <c r="C44" s="45"/>
      <c r="D44" s="26"/>
      <c r="E44" s="172" t="s">
        <v>528</v>
      </c>
      <c r="F44" s="104">
        <v>3</v>
      </c>
      <c r="G44" s="54">
        <v>4</v>
      </c>
      <c r="H44" s="54">
        <v>4</v>
      </c>
      <c r="I44" s="54">
        <v>3</v>
      </c>
      <c r="J44" s="54">
        <v>3</v>
      </c>
      <c r="K44" s="54">
        <v>4</v>
      </c>
      <c r="L44" s="64"/>
      <c r="M44" s="79"/>
    </row>
    <row r="45" spans="3:13" ht="14">
      <c r="C45" s="45"/>
      <c r="D45" s="26"/>
      <c r="E45" s="104"/>
      <c r="F45" s="104"/>
      <c r="G45" s="104"/>
      <c r="H45" s="104"/>
      <c r="I45" s="104"/>
      <c r="J45" s="104"/>
      <c r="K45" s="104"/>
      <c r="L45" s="64"/>
      <c r="M45" s="79"/>
    </row>
    <row r="46" spans="3:13" ht="14">
      <c r="C46" s="45"/>
      <c r="D46" s="26"/>
      <c r="E46" s="104"/>
      <c r="F46" s="104"/>
      <c r="G46" s="104"/>
      <c r="H46" s="104"/>
      <c r="I46" s="104"/>
      <c r="J46" s="104"/>
      <c r="K46" s="104"/>
      <c r="L46" s="64"/>
      <c r="M46" s="79"/>
    </row>
    <row r="47" spans="3:13" ht="14">
      <c r="C47" s="45"/>
      <c r="D47" s="26"/>
      <c r="E47" s="104"/>
      <c r="F47" s="104"/>
      <c r="G47" s="104"/>
      <c r="H47" s="104"/>
      <c r="I47" s="104"/>
      <c r="J47" s="104"/>
      <c r="K47" s="104"/>
      <c r="L47" s="64"/>
      <c r="M47" s="79"/>
    </row>
    <row r="48" spans="3:13" ht="14">
      <c r="C48" s="45"/>
      <c r="D48" s="26"/>
      <c r="E48" s="104"/>
      <c r="F48" s="104"/>
      <c r="G48" s="104"/>
      <c r="H48" s="104"/>
      <c r="I48" s="104"/>
      <c r="J48" s="104"/>
      <c r="K48" s="104"/>
      <c r="L48" s="64"/>
      <c r="M48" s="79"/>
    </row>
    <row r="49" spans="3:13" ht="14">
      <c r="C49" s="45"/>
      <c r="D49" s="26"/>
      <c r="E49" s="104"/>
      <c r="F49" s="104"/>
      <c r="G49" s="104"/>
      <c r="H49" s="104"/>
      <c r="I49" s="104"/>
      <c r="J49" s="104"/>
      <c r="K49" s="104"/>
      <c r="L49" s="64"/>
      <c r="M49" s="79"/>
    </row>
    <row r="50" spans="3:13" ht="14">
      <c r="C50" s="45"/>
      <c r="D50" s="26"/>
      <c r="E50" s="104"/>
      <c r="F50" s="104"/>
      <c r="G50" s="104"/>
      <c r="H50" s="104"/>
      <c r="I50" s="104"/>
      <c r="J50" s="104"/>
      <c r="K50" s="104"/>
      <c r="L50" s="64"/>
      <c r="M50" s="79"/>
    </row>
    <row r="51" spans="3:13" ht="14">
      <c r="C51" s="45"/>
      <c r="D51" s="26"/>
      <c r="E51" s="104"/>
      <c r="F51" s="104"/>
      <c r="G51" s="104"/>
      <c r="H51" s="104"/>
      <c r="I51" s="104"/>
      <c r="J51" s="104"/>
      <c r="K51" s="104"/>
      <c r="L51" s="64"/>
      <c r="M51" s="79"/>
    </row>
    <row r="52" spans="3:13" ht="15.75" customHeight="1">
      <c r="C52" s="63"/>
      <c r="E52" s="104"/>
      <c r="F52" s="104"/>
      <c r="G52" s="104"/>
      <c r="H52" s="104"/>
      <c r="I52" s="104"/>
      <c r="J52" s="104"/>
      <c r="K52" s="104"/>
      <c r="L52" s="64"/>
      <c r="M52" s="79"/>
    </row>
    <row r="53" spans="3:13" ht="15.75" customHeight="1">
      <c r="C53" s="63"/>
      <c r="E53" s="104"/>
      <c r="F53" s="104"/>
      <c r="G53" s="104"/>
      <c r="H53" s="104"/>
      <c r="I53" s="104"/>
      <c r="J53" s="104"/>
      <c r="K53" s="104"/>
      <c r="L53" s="64"/>
      <c r="M53" s="79"/>
    </row>
    <row r="54" spans="3:13" ht="15.75" customHeight="1">
      <c r="C54" s="63"/>
      <c r="E54" s="104"/>
      <c r="F54" s="104"/>
      <c r="G54" s="104"/>
      <c r="H54" s="104"/>
      <c r="I54" s="104"/>
      <c r="J54" s="104"/>
      <c r="K54" s="104"/>
      <c r="L54" s="64"/>
      <c r="M54" s="79"/>
    </row>
    <row r="55" spans="3:13" ht="15.75" customHeight="1">
      <c r="C55" s="63"/>
      <c r="E55" s="104"/>
      <c r="F55" s="104"/>
      <c r="G55" s="104"/>
      <c r="H55" s="104"/>
      <c r="I55" s="104"/>
      <c r="J55" s="104"/>
      <c r="K55" s="104"/>
      <c r="L55" s="64"/>
      <c r="M55" s="79"/>
    </row>
    <row r="56" spans="3:13" ht="15.75" customHeight="1">
      <c r="C56" s="63"/>
      <c r="E56" s="104"/>
      <c r="F56" s="104"/>
      <c r="G56" s="104"/>
      <c r="H56" s="104"/>
      <c r="I56" s="104"/>
      <c r="J56" s="104"/>
      <c r="K56" s="104"/>
      <c r="L56" s="64"/>
      <c r="M56" s="79"/>
    </row>
    <row r="57" spans="3:13" ht="15.75" customHeight="1">
      <c r="C57" s="63"/>
      <c r="E57" s="104"/>
      <c r="F57" s="104"/>
      <c r="G57" s="104"/>
      <c r="H57" s="104"/>
      <c r="I57" s="104"/>
      <c r="J57" s="104"/>
      <c r="K57" s="104"/>
      <c r="L57" s="64"/>
      <c r="M57" s="79"/>
    </row>
    <row r="58" spans="3:13" ht="15.75" customHeight="1">
      <c r="C58" s="63"/>
      <c r="E58" s="104"/>
      <c r="F58" s="104"/>
      <c r="G58" s="104"/>
      <c r="H58" s="104"/>
      <c r="I58" s="104"/>
      <c r="J58" s="104"/>
      <c r="K58" s="104"/>
      <c r="L58" s="64"/>
      <c r="M58" s="79"/>
    </row>
    <row r="59" spans="3:13" ht="15.75" customHeight="1">
      <c r="C59" s="63"/>
      <c r="E59" s="104"/>
      <c r="F59" s="104"/>
      <c r="G59" s="104"/>
      <c r="H59" s="104"/>
      <c r="I59" s="104"/>
      <c r="J59" s="104"/>
      <c r="K59" s="104"/>
      <c r="L59" s="64"/>
      <c r="M59" s="79"/>
    </row>
    <row r="60" spans="3:13" ht="15.75" customHeight="1">
      <c r="C60" s="63"/>
      <c r="E60" s="104"/>
      <c r="F60" s="104"/>
      <c r="G60" s="104"/>
      <c r="H60" s="104"/>
      <c r="I60" s="104"/>
      <c r="J60" s="104"/>
      <c r="K60" s="104"/>
      <c r="L60" s="64"/>
      <c r="M60" s="79"/>
    </row>
    <row r="61" spans="3:13" ht="13">
      <c r="C61" s="63"/>
      <c r="E61" s="104"/>
      <c r="F61" s="104"/>
      <c r="G61" s="104"/>
      <c r="H61" s="104"/>
      <c r="I61" s="104"/>
      <c r="J61" s="104"/>
      <c r="K61" s="104"/>
      <c r="L61" s="64"/>
      <c r="M61" s="79"/>
    </row>
    <row r="62" spans="3:13" ht="13">
      <c r="C62" s="63"/>
      <c r="E62" s="104"/>
      <c r="F62" s="104"/>
      <c r="G62" s="104"/>
      <c r="H62" s="104"/>
      <c r="I62" s="104"/>
      <c r="J62" s="104"/>
      <c r="K62" s="104"/>
      <c r="L62" s="64"/>
      <c r="M62" s="79"/>
    </row>
    <row r="63" spans="3:13" ht="13">
      <c r="C63" s="63"/>
      <c r="E63" s="104"/>
      <c r="F63" s="104"/>
      <c r="G63" s="104"/>
      <c r="H63" s="104"/>
      <c r="I63" s="104"/>
      <c r="J63" s="104"/>
      <c r="K63" s="104"/>
      <c r="L63" s="64"/>
      <c r="M63" s="79"/>
    </row>
    <row r="64" spans="3:13" ht="13">
      <c r="C64" s="63"/>
      <c r="E64" s="104"/>
      <c r="F64" s="104"/>
      <c r="G64" s="104"/>
      <c r="H64" s="104"/>
      <c r="I64" s="104"/>
      <c r="J64" s="104"/>
      <c r="K64" s="104"/>
      <c r="L64" s="64"/>
      <c r="M64" s="79"/>
    </row>
    <row r="65" spans="3:13" ht="13">
      <c r="C65" s="63"/>
      <c r="E65" s="104"/>
      <c r="F65" s="104"/>
      <c r="G65" s="104"/>
      <c r="H65" s="104"/>
      <c r="I65" s="104"/>
      <c r="J65" s="104"/>
      <c r="K65" s="104"/>
      <c r="L65" s="64"/>
      <c r="M65" s="79"/>
    </row>
    <row r="66" spans="3:13" ht="13">
      <c r="C66" s="63"/>
      <c r="E66" s="104"/>
      <c r="F66" s="104"/>
      <c r="G66" s="104"/>
      <c r="H66" s="104"/>
      <c r="I66" s="104"/>
      <c r="J66" s="104"/>
      <c r="K66" s="104"/>
      <c r="L66" s="64"/>
      <c r="M66" s="79"/>
    </row>
    <row r="67" spans="3:13" ht="13">
      <c r="C67" s="63"/>
      <c r="E67" s="104"/>
      <c r="F67" s="104"/>
      <c r="G67" s="104"/>
      <c r="H67" s="104"/>
      <c r="I67" s="104"/>
      <c r="J67" s="104"/>
      <c r="K67" s="104"/>
      <c r="L67" s="64"/>
      <c r="M67" s="79"/>
    </row>
    <row r="68" spans="3:13" ht="13">
      <c r="C68" s="63"/>
      <c r="E68" s="104"/>
      <c r="F68" s="104"/>
      <c r="G68" s="104"/>
      <c r="H68" s="104"/>
      <c r="I68" s="104"/>
      <c r="J68" s="104"/>
      <c r="K68" s="104"/>
      <c r="L68" s="64"/>
      <c r="M68" s="79"/>
    </row>
    <row r="69" spans="3:13" ht="13">
      <c r="C69" s="63"/>
      <c r="E69" s="104"/>
      <c r="F69" s="104"/>
      <c r="G69" s="104"/>
      <c r="H69" s="104"/>
      <c r="I69" s="104"/>
      <c r="J69" s="104"/>
      <c r="K69" s="104"/>
      <c r="L69" s="64"/>
      <c r="M69" s="79"/>
    </row>
    <row r="70" spans="3:13" ht="13">
      <c r="C70" s="63"/>
      <c r="E70" s="104"/>
      <c r="F70" s="104"/>
      <c r="G70" s="104"/>
      <c r="H70" s="104"/>
      <c r="I70" s="104"/>
      <c r="J70" s="104"/>
      <c r="K70" s="104"/>
      <c r="L70" s="64"/>
      <c r="M70" s="79"/>
    </row>
    <row r="71" spans="3:13" ht="13">
      <c r="C71" s="63"/>
      <c r="E71" s="104"/>
      <c r="F71" s="104"/>
      <c r="G71" s="104"/>
      <c r="H71" s="104"/>
      <c r="I71" s="104"/>
      <c r="J71" s="104"/>
      <c r="K71" s="104"/>
      <c r="L71" s="64"/>
      <c r="M71" s="79"/>
    </row>
    <row r="72" spans="3:13" ht="13">
      <c r="C72" s="63"/>
      <c r="E72" s="104"/>
      <c r="F72" s="104"/>
      <c r="G72" s="104"/>
      <c r="H72" s="104"/>
      <c r="I72" s="104"/>
      <c r="J72" s="104"/>
      <c r="K72" s="104"/>
      <c r="L72" s="64"/>
      <c r="M72" s="79"/>
    </row>
    <row r="73" spans="3:13" ht="13">
      <c r="C73" s="63"/>
      <c r="E73" s="104"/>
      <c r="F73" s="104"/>
      <c r="G73" s="104"/>
      <c r="H73" s="104"/>
      <c r="I73" s="104"/>
      <c r="J73" s="104"/>
      <c r="K73" s="104"/>
      <c r="L73" s="64"/>
      <c r="M73" s="79"/>
    </row>
    <row r="74" spans="3:13" ht="13">
      <c r="C74" s="63"/>
      <c r="E74" s="104"/>
      <c r="F74" s="104"/>
      <c r="G74" s="104"/>
      <c r="H74" s="104"/>
      <c r="I74" s="104"/>
      <c r="J74" s="104"/>
      <c r="K74" s="104"/>
      <c r="L74" s="64"/>
      <c r="M74" s="79"/>
    </row>
    <row r="75" spans="3:13" ht="13">
      <c r="C75" s="63"/>
      <c r="E75" s="104"/>
      <c r="F75" s="104"/>
      <c r="G75" s="104"/>
      <c r="H75" s="104"/>
      <c r="I75" s="104"/>
      <c r="J75" s="104"/>
      <c r="K75" s="104"/>
      <c r="L75" s="64"/>
      <c r="M75" s="79"/>
    </row>
    <row r="76" spans="3:13" ht="13">
      <c r="C76" s="63"/>
      <c r="E76" s="104"/>
      <c r="F76" s="104"/>
      <c r="G76" s="104"/>
      <c r="H76" s="104"/>
      <c r="I76" s="104"/>
      <c r="J76" s="104"/>
      <c r="K76" s="104"/>
      <c r="L76" s="64"/>
      <c r="M76" s="79"/>
    </row>
    <row r="77" spans="3:13" ht="13">
      <c r="C77" s="63"/>
      <c r="E77" s="104"/>
      <c r="F77" s="104"/>
      <c r="G77" s="104"/>
      <c r="H77" s="104"/>
      <c r="I77" s="104"/>
      <c r="J77" s="104"/>
      <c r="K77" s="104"/>
      <c r="L77" s="64"/>
      <c r="M77" s="79"/>
    </row>
    <row r="78" spans="3:13" ht="13">
      <c r="C78" s="63"/>
      <c r="E78" s="104"/>
      <c r="F78" s="104"/>
      <c r="G78" s="104"/>
      <c r="H78" s="104"/>
      <c r="I78" s="104"/>
      <c r="J78" s="104"/>
      <c r="K78" s="104"/>
      <c r="L78" s="64"/>
      <c r="M78" s="79"/>
    </row>
    <row r="79" spans="3:13" ht="13">
      <c r="C79" s="63"/>
      <c r="E79" s="104"/>
      <c r="F79" s="104"/>
      <c r="G79" s="104"/>
      <c r="H79" s="104"/>
      <c r="I79" s="104"/>
      <c r="J79" s="104"/>
      <c r="K79" s="104"/>
      <c r="L79" s="64"/>
      <c r="M79" s="79"/>
    </row>
    <row r="80" spans="3:13" ht="13">
      <c r="C80" s="63"/>
      <c r="E80" s="104"/>
      <c r="F80" s="104"/>
      <c r="G80" s="104"/>
      <c r="H80" s="104"/>
      <c r="I80" s="104"/>
      <c r="J80" s="104"/>
      <c r="K80" s="104"/>
      <c r="L80" s="64"/>
      <c r="M80" s="79"/>
    </row>
    <row r="81" spans="3:13" ht="13">
      <c r="C81" s="63"/>
      <c r="E81" s="104"/>
      <c r="F81" s="104"/>
      <c r="G81" s="104"/>
      <c r="H81" s="104"/>
      <c r="I81" s="104"/>
      <c r="J81" s="104"/>
      <c r="K81" s="104"/>
      <c r="L81" s="64"/>
      <c r="M81" s="79"/>
    </row>
    <row r="82" spans="3:13" ht="13">
      <c r="C82" s="63"/>
      <c r="E82" s="104"/>
      <c r="F82" s="104"/>
      <c r="G82" s="104"/>
      <c r="H82" s="104"/>
      <c r="I82" s="104"/>
      <c r="J82" s="104"/>
      <c r="K82" s="104"/>
      <c r="L82" s="64"/>
      <c r="M82" s="79"/>
    </row>
    <row r="83" spans="3:13" ht="13">
      <c r="C83" s="63"/>
      <c r="E83" s="104"/>
      <c r="F83" s="104"/>
      <c r="G83" s="104"/>
      <c r="H83" s="104"/>
      <c r="I83" s="104"/>
      <c r="J83" s="104"/>
      <c r="K83" s="104"/>
      <c r="L83" s="64"/>
      <c r="M83" s="79"/>
    </row>
    <row r="84" spans="3:13" ht="13">
      <c r="C84" s="63"/>
      <c r="E84" s="104"/>
      <c r="F84" s="104"/>
      <c r="G84" s="104"/>
      <c r="H84" s="104"/>
      <c r="I84" s="104"/>
      <c r="J84" s="104"/>
      <c r="K84" s="104"/>
      <c r="L84" s="64"/>
      <c r="M84" s="79"/>
    </row>
    <row r="85" spans="3:13" ht="13">
      <c r="C85" s="63"/>
      <c r="E85" s="104"/>
      <c r="F85" s="104"/>
      <c r="G85" s="104"/>
      <c r="H85" s="104"/>
      <c r="I85" s="104"/>
      <c r="J85" s="104"/>
      <c r="K85" s="104"/>
      <c r="L85" s="64"/>
      <c r="M85" s="79"/>
    </row>
    <row r="86" spans="3:13" ht="13">
      <c r="C86" s="63"/>
      <c r="E86" s="104"/>
      <c r="F86" s="104"/>
      <c r="G86" s="104"/>
      <c r="H86" s="104"/>
      <c r="I86" s="104"/>
      <c r="J86" s="104"/>
      <c r="K86" s="104"/>
      <c r="L86" s="64"/>
      <c r="M86" s="79"/>
    </row>
    <row r="87" spans="3:13" ht="13">
      <c r="C87" s="63"/>
      <c r="E87" s="104"/>
      <c r="F87" s="104"/>
      <c r="G87" s="104"/>
      <c r="H87" s="104"/>
      <c r="I87" s="104"/>
      <c r="J87" s="104"/>
      <c r="K87" s="104"/>
      <c r="L87" s="64"/>
      <c r="M87" s="79"/>
    </row>
    <row r="88" spans="3:13" ht="13">
      <c r="C88" s="63"/>
      <c r="E88" s="104"/>
      <c r="F88" s="104"/>
      <c r="G88" s="104"/>
      <c r="H88" s="104"/>
      <c r="I88" s="104"/>
      <c r="J88" s="104"/>
      <c r="K88" s="104"/>
      <c r="L88" s="64"/>
      <c r="M88" s="79"/>
    </row>
    <row r="89" spans="3:13" ht="13">
      <c r="C89" s="63"/>
      <c r="E89" s="104"/>
      <c r="F89" s="104"/>
      <c r="G89" s="104"/>
      <c r="H89" s="104"/>
      <c r="I89" s="104"/>
      <c r="J89" s="104"/>
      <c r="K89" s="104"/>
      <c r="L89" s="64"/>
      <c r="M89" s="79"/>
    </row>
    <row r="90" spans="3:13" ht="13">
      <c r="C90" s="63"/>
      <c r="E90" s="104"/>
      <c r="F90" s="104"/>
      <c r="G90" s="104"/>
      <c r="H90" s="104"/>
      <c r="I90" s="104"/>
      <c r="J90" s="104"/>
      <c r="K90" s="104"/>
      <c r="L90" s="64"/>
      <c r="M90" s="79"/>
    </row>
    <row r="91" spans="3:13" ht="13">
      <c r="C91" s="63"/>
      <c r="E91" s="104"/>
      <c r="F91" s="104"/>
      <c r="G91" s="104"/>
      <c r="H91" s="104"/>
      <c r="I91" s="104"/>
      <c r="J91" s="104"/>
      <c r="K91" s="104"/>
      <c r="L91" s="64"/>
      <c r="M91" s="79"/>
    </row>
    <row r="92" spans="3:13" ht="13">
      <c r="C92" s="63"/>
      <c r="E92" s="104"/>
      <c r="F92" s="104"/>
      <c r="G92" s="104"/>
      <c r="H92" s="104"/>
      <c r="I92" s="104"/>
      <c r="J92" s="104"/>
      <c r="K92" s="104"/>
      <c r="L92" s="64"/>
      <c r="M92" s="79"/>
    </row>
    <row r="93" spans="3:13" ht="13">
      <c r="C93" s="63"/>
      <c r="E93" s="104"/>
      <c r="F93" s="104"/>
      <c r="G93" s="104"/>
      <c r="H93" s="104"/>
      <c r="I93" s="104"/>
      <c r="J93" s="104"/>
      <c r="K93" s="104"/>
      <c r="L93" s="64"/>
      <c r="M93" s="79"/>
    </row>
    <row r="94" spans="3:13" ht="13">
      <c r="C94" s="63"/>
      <c r="E94" s="104"/>
      <c r="F94" s="104"/>
      <c r="G94" s="104"/>
      <c r="H94" s="104"/>
      <c r="I94" s="104"/>
      <c r="J94" s="104"/>
      <c r="K94" s="104"/>
      <c r="L94" s="64"/>
      <c r="M94" s="79"/>
    </row>
    <row r="95" spans="3:13" ht="13">
      <c r="C95" s="63"/>
      <c r="E95" s="104"/>
      <c r="F95" s="104"/>
      <c r="G95" s="104"/>
      <c r="H95" s="104"/>
      <c r="I95" s="104"/>
      <c r="J95" s="104"/>
      <c r="K95" s="104"/>
      <c r="L95" s="64"/>
      <c r="M95" s="79"/>
    </row>
    <row r="96" spans="3:13" ht="13">
      <c r="C96" s="63"/>
      <c r="E96" s="104"/>
      <c r="F96" s="104"/>
      <c r="G96" s="104"/>
      <c r="H96" s="104"/>
      <c r="I96" s="104"/>
      <c r="J96" s="104"/>
      <c r="K96" s="104"/>
      <c r="L96" s="64"/>
      <c r="M96" s="79"/>
    </row>
    <row r="97" spans="3:13" ht="13">
      <c r="C97" s="63"/>
      <c r="E97" s="104"/>
      <c r="F97" s="104"/>
      <c r="G97" s="104"/>
      <c r="H97" s="104"/>
      <c r="I97" s="104"/>
      <c r="J97" s="104"/>
      <c r="K97" s="104"/>
      <c r="L97" s="64"/>
      <c r="M97" s="79"/>
    </row>
    <row r="98" spans="3:13" ht="13">
      <c r="C98" s="63"/>
      <c r="E98" s="104"/>
      <c r="F98" s="104"/>
      <c r="G98" s="104"/>
      <c r="H98" s="104"/>
      <c r="I98" s="104"/>
      <c r="J98" s="104"/>
      <c r="K98" s="104"/>
      <c r="L98" s="64"/>
      <c r="M98" s="79"/>
    </row>
    <row r="99" spans="3:13" ht="13">
      <c r="C99" s="63"/>
      <c r="E99" s="104"/>
      <c r="F99" s="104"/>
      <c r="G99" s="104"/>
      <c r="H99" s="104"/>
      <c r="I99" s="104"/>
      <c r="J99" s="104"/>
      <c r="K99" s="104"/>
      <c r="L99" s="64"/>
      <c r="M99" s="79"/>
    </row>
    <row r="100" spans="3:13" ht="13">
      <c r="C100" s="63"/>
      <c r="E100" s="104"/>
      <c r="F100" s="104"/>
      <c r="G100" s="104"/>
      <c r="H100" s="104"/>
      <c r="I100" s="104"/>
      <c r="J100" s="104"/>
      <c r="K100" s="104"/>
      <c r="L100" s="64"/>
      <c r="M100" s="79"/>
    </row>
    <row r="101" spans="3:13" ht="13">
      <c r="C101" s="63"/>
      <c r="E101" s="104"/>
      <c r="F101" s="104"/>
      <c r="G101" s="104"/>
      <c r="H101" s="104"/>
      <c r="I101" s="104"/>
      <c r="J101" s="104"/>
      <c r="K101" s="104"/>
      <c r="L101" s="64"/>
      <c r="M101" s="79"/>
    </row>
    <row r="102" spans="3:13" ht="13">
      <c r="C102" s="63"/>
      <c r="E102" s="104"/>
      <c r="F102" s="104"/>
      <c r="G102" s="104"/>
      <c r="H102" s="104"/>
      <c r="I102" s="104"/>
      <c r="J102" s="104"/>
      <c r="K102" s="104"/>
      <c r="L102" s="64"/>
      <c r="M102" s="79"/>
    </row>
    <row r="103" spans="3:13" ht="13">
      <c r="C103" s="63"/>
      <c r="E103" s="104"/>
      <c r="F103" s="104"/>
      <c r="G103" s="104"/>
      <c r="H103" s="104"/>
      <c r="I103" s="104"/>
      <c r="J103" s="104"/>
      <c r="K103" s="104"/>
      <c r="L103" s="64"/>
      <c r="M103" s="79"/>
    </row>
    <row r="104" spans="3:13" ht="13">
      <c r="C104" s="63"/>
      <c r="E104" s="104"/>
      <c r="F104" s="104"/>
      <c r="G104" s="104"/>
      <c r="H104" s="104"/>
      <c r="I104" s="104"/>
      <c r="J104" s="104"/>
      <c r="K104" s="104"/>
      <c r="L104" s="64"/>
      <c r="M104" s="79"/>
    </row>
    <row r="105" spans="3:13" ht="13">
      <c r="C105" s="63"/>
      <c r="E105" s="104"/>
      <c r="F105" s="104"/>
      <c r="G105" s="104"/>
      <c r="H105" s="104"/>
      <c r="I105" s="104"/>
      <c r="J105" s="104"/>
      <c r="K105" s="104"/>
      <c r="L105" s="64"/>
      <c r="M105" s="79"/>
    </row>
    <row r="106" spans="3:13" ht="13">
      <c r="C106" s="63"/>
      <c r="E106" s="104"/>
      <c r="F106" s="104"/>
      <c r="G106" s="104"/>
      <c r="H106" s="104"/>
      <c r="I106" s="104"/>
      <c r="J106" s="104"/>
      <c r="K106" s="104"/>
      <c r="L106" s="64"/>
      <c r="M106" s="79"/>
    </row>
    <row r="107" spans="3:13" ht="13">
      <c r="C107" s="63"/>
      <c r="E107" s="104"/>
      <c r="F107" s="104"/>
      <c r="G107" s="104"/>
      <c r="H107" s="104"/>
      <c r="I107" s="104"/>
      <c r="J107" s="104"/>
      <c r="K107" s="104"/>
      <c r="L107" s="64"/>
      <c r="M107" s="79"/>
    </row>
    <row r="108" spans="3:13" ht="13">
      <c r="C108" s="63"/>
      <c r="E108" s="104"/>
      <c r="F108" s="104"/>
      <c r="G108" s="104"/>
      <c r="H108" s="104"/>
      <c r="I108" s="104"/>
      <c r="J108" s="104"/>
      <c r="K108" s="104"/>
      <c r="L108" s="64"/>
      <c r="M108" s="79"/>
    </row>
    <row r="109" spans="3:13" ht="13">
      <c r="C109" s="63"/>
      <c r="E109" s="104"/>
      <c r="F109" s="104"/>
      <c r="G109" s="104"/>
      <c r="H109" s="104"/>
      <c r="I109" s="104"/>
      <c r="J109" s="104"/>
      <c r="K109" s="104"/>
      <c r="L109" s="64"/>
      <c r="M109" s="79"/>
    </row>
    <row r="110" spans="3:13" ht="13">
      <c r="C110" s="63"/>
      <c r="E110" s="104"/>
      <c r="F110" s="104"/>
      <c r="G110" s="104"/>
      <c r="H110" s="104"/>
      <c r="I110" s="104"/>
      <c r="J110" s="104"/>
      <c r="K110" s="104"/>
      <c r="L110" s="64"/>
      <c r="M110" s="79"/>
    </row>
    <row r="111" spans="3:13" ht="13">
      <c r="C111" s="63"/>
      <c r="E111" s="104"/>
      <c r="F111" s="104"/>
      <c r="G111" s="104"/>
      <c r="H111" s="104"/>
      <c r="I111" s="104"/>
      <c r="J111" s="104"/>
      <c r="K111" s="104"/>
      <c r="L111" s="64"/>
      <c r="M111" s="79"/>
    </row>
    <row r="112" spans="3:13" ht="13">
      <c r="C112" s="63"/>
      <c r="E112" s="104"/>
      <c r="F112" s="104"/>
      <c r="G112" s="104"/>
      <c r="H112" s="104"/>
      <c r="I112" s="104"/>
      <c r="J112" s="104"/>
      <c r="K112" s="104"/>
      <c r="L112" s="64"/>
      <c r="M112" s="79"/>
    </row>
    <row r="113" spans="3:13" ht="13">
      <c r="C113" s="63"/>
      <c r="E113" s="104"/>
      <c r="F113" s="104"/>
      <c r="G113" s="104"/>
      <c r="H113" s="104"/>
      <c r="I113" s="104"/>
      <c r="J113" s="104"/>
      <c r="K113" s="104"/>
      <c r="L113" s="64"/>
      <c r="M113" s="79"/>
    </row>
    <row r="114" spans="3:13" ht="13">
      <c r="C114" s="63"/>
      <c r="E114" s="104"/>
      <c r="F114" s="104"/>
      <c r="G114" s="104"/>
      <c r="H114" s="104"/>
      <c r="I114" s="104"/>
      <c r="J114" s="104"/>
      <c r="K114" s="104"/>
      <c r="L114" s="64"/>
      <c r="M114" s="79"/>
    </row>
    <row r="115" spans="3:13" ht="13">
      <c r="C115" s="63"/>
      <c r="E115" s="104"/>
      <c r="F115" s="104"/>
      <c r="G115" s="104"/>
      <c r="H115" s="104"/>
      <c r="I115" s="104"/>
      <c r="J115" s="104"/>
      <c r="K115" s="104"/>
      <c r="L115" s="64"/>
      <c r="M115" s="79"/>
    </row>
    <row r="116" spans="3:13" ht="13">
      <c r="C116" s="63"/>
      <c r="E116" s="104"/>
      <c r="F116" s="104"/>
      <c r="G116" s="104"/>
      <c r="H116" s="104"/>
      <c r="I116" s="104"/>
      <c r="J116" s="104"/>
      <c r="K116" s="104"/>
      <c r="L116" s="64"/>
      <c r="M116" s="79"/>
    </row>
    <row r="117" spans="3:13" ht="13">
      <c r="C117" s="63"/>
      <c r="E117" s="104"/>
      <c r="F117" s="104"/>
      <c r="G117" s="104"/>
      <c r="H117" s="104"/>
      <c r="I117" s="104"/>
      <c r="J117" s="104"/>
      <c r="K117" s="104"/>
      <c r="L117" s="64"/>
      <c r="M117" s="79"/>
    </row>
    <row r="118" spans="3:13" ht="13">
      <c r="C118" s="63"/>
      <c r="E118" s="104"/>
      <c r="F118" s="104"/>
      <c r="G118" s="104"/>
      <c r="H118" s="104"/>
      <c r="I118" s="104"/>
      <c r="J118" s="104"/>
      <c r="K118" s="104"/>
      <c r="L118" s="64"/>
      <c r="M118" s="79"/>
    </row>
    <row r="119" spans="3:13" ht="13">
      <c r="C119" s="63"/>
      <c r="E119" s="104"/>
      <c r="F119" s="104"/>
      <c r="G119" s="104"/>
      <c r="H119" s="104"/>
      <c r="I119" s="104"/>
      <c r="J119" s="104"/>
      <c r="K119" s="104"/>
      <c r="L119" s="64"/>
      <c r="M119" s="79"/>
    </row>
    <row r="120" spans="3:13" ht="13">
      <c r="C120" s="63"/>
      <c r="E120" s="104"/>
      <c r="F120" s="104"/>
      <c r="G120" s="104"/>
      <c r="H120" s="104"/>
      <c r="I120" s="104"/>
      <c r="J120" s="104"/>
      <c r="K120" s="104"/>
      <c r="L120" s="64"/>
      <c r="M120" s="79"/>
    </row>
    <row r="121" spans="3:13" ht="13">
      <c r="C121" s="63"/>
      <c r="E121" s="104"/>
      <c r="F121" s="104"/>
      <c r="G121" s="104"/>
      <c r="H121" s="104"/>
      <c r="I121" s="104"/>
      <c r="J121" s="104"/>
      <c r="K121" s="104"/>
      <c r="L121" s="64"/>
      <c r="M121" s="79"/>
    </row>
    <row r="122" spans="3:13" ht="13">
      <c r="C122" s="63"/>
      <c r="E122" s="104"/>
      <c r="F122" s="104"/>
      <c r="G122" s="104"/>
      <c r="H122" s="104"/>
      <c r="I122" s="104"/>
      <c r="J122" s="104"/>
      <c r="K122" s="104"/>
      <c r="L122" s="64"/>
      <c r="M122" s="79"/>
    </row>
    <row r="123" spans="3:13" ht="13">
      <c r="C123" s="63"/>
      <c r="E123" s="104"/>
      <c r="F123" s="104"/>
      <c r="G123" s="104"/>
      <c r="H123" s="104"/>
      <c r="I123" s="104"/>
      <c r="J123" s="104"/>
      <c r="K123" s="104"/>
      <c r="L123" s="64"/>
      <c r="M123" s="79"/>
    </row>
    <row r="124" spans="3:13" ht="13">
      <c r="C124" s="63"/>
      <c r="E124" s="104"/>
      <c r="F124" s="104"/>
      <c r="G124" s="104"/>
      <c r="H124" s="104"/>
      <c r="I124" s="104"/>
      <c r="J124" s="104"/>
      <c r="K124" s="104"/>
      <c r="L124" s="64"/>
      <c r="M124" s="79"/>
    </row>
    <row r="125" spans="3:13" ht="13">
      <c r="C125" s="63"/>
      <c r="E125" s="104"/>
      <c r="F125" s="104"/>
      <c r="G125" s="104"/>
      <c r="H125" s="104"/>
      <c r="I125" s="104"/>
      <c r="J125" s="104"/>
      <c r="K125" s="104"/>
      <c r="L125" s="64"/>
      <c r="M125" s="79"/>
    </row>
    <row r="126" spans="3:13" ht="13">
      <c r="C126" s="63"/>
      <c r="E126" s="104"/>
      <c r="F126" s="104"/>
      <c r="G126" s="104"/>
      <c r="H126" s="104"/>
      <c r="I126" s="104"/>
      <c r="J126" s="104"/>
      <c r="K126" s="104"/>
      <c r="L126" s="64"/>
      <c r="M126" s="79"/>
    </row>
    <row r="127" spans="3:13" ht="13">
      <c r="C127" s="63"/>
      <c r="E127" s="104"/>
      <c r="F127" s="104"/>
      <c r="G127" s="104"/>
      <c r="H127" s="104"/>
      <c r="I127" s="104"/>
      <c r="J127" s="104"/>
      <c r="K127" s="104"/>
      <c r="L127" s="64"/>
      <c r="M127" s="79"/>
    </row>
    <row r="128" spans="3:13" ht="13">
      <c r="C128" s="63"/>
      <c r="E128" s="104"/>
      <c r="F128" s="104"/>
      <c r="G128" s="104"/>
      <c r="H128" s="104"/>
      <c r="I128" s="104"/>
      <c r="J128" s="104"/>
      <c r="K128" s="104"/>
      <c r="L128" s="64"/>
      <c r="M128" s="79"/>
    </row>
    <row r="129" spans="3:13" ht="13">
      <c r="C129" s="63"/>
      <c r="E129" s="104"/>
      <c r="F129" s="104"/>
      <c r="G129" s="104"/>
      <c r="H129" s="104"/>
      <c r="I129" s="104"/>
      <c r="J129" s="104"/>
      <c r="K129" s="104"/>
      <c r="L129" s="64"/>
      <c r="M129" s="79"/>
    </row>
    <row r="130" spans="3:13" ht="13">
      <c r="C130" s="63"/>
      <c r="E130" s="104"/>
      <c r="F130" s="104"/>
      <c r="G130" s="104"/>
      <c r="H130" s="104"/>
      <c r="I130" s="104"/>
      <c r="J130" s="104"/>
      <c r="K130" s="104"/>
      <c r="L130" s="64"/>
      <c r="M130" s="79"/>
    </row>
    <row r="131" spans="3:13" ht="13">
      <c r="C131" s="63"/>
      <c r="E131" s="104"/>
      <c r="F131" s="104"/>
      <c r="G131" s="104"/>
      <c r="H131" s="104"/>
      <c r="I131" s="104"/>
      <c r="J131" s="104"/>
      <c r="K131" s="104"/>
      <c r="L131" s="64"/>
      <c r="M131" s="79"/>
    </row>
    <row r="132" spans="3:13" ht="13">
      <c r="C132" s="63"/>
      <c r="E132" s="104"/>
      <c r="F132" s="104"/>
      <c r="G132" s="104"/>
      <c r="H132" s="104"/>
      <c r="I132" s="104"/>
      <c r="J132" s="104"/>
      <c r="K132" s="104"/>
      <c r="L132" s="64"/>
      <c r="M132" s="79"/>
    </row>
    <row r="133" spans="3:13" ht="13">
      <c r="C133" s="63"/>
      <c r="E133" s="104"/>
      <c r="F133" s="104"/>
      <c r="G133" s="104"/>
      <c r="H133" s="104"/>
      <c r="I133" s="104"/>
      <c r="J133" s="104"/>
      <c r="K133" s="104"/>
      <c r="L133" s="64"/>
      <c r="M133" s="79"/>
    </row>
    <row r="134" spans="3:13" ht="13">
      <c r="C134" s="63"/>
      <c r="E134" s="104"/>
      <c r="F134" s="104"/>
      <c r="G134" s="104"/>
      <c r="H134" s="104"/>
      <c r="I134" s="104"/>
      <c r="J134" s="104"/>
      <c r="K134" s="104"/>
      <c r="L134" s="64"/>
      <c r="M134" s="79"/>
    </row>
    <row r="135" spans="3:13" ht="13">
      <c r="C135" s="63"/>
      <c r="E135" s="104"/>
      <c r="F135" s="104"/>
      <c r="G135" s="104"/>
      <c r="H135" s="104"/>
      <c r="I135" s="104"/>
      <c r="J135" s="104"/>
      <c r="K135" s="104"/>
      <c r="L135" s="64"/>
      <c r="M135" s="79"/>
    </row>
    <row r="136" spans="3:13" ht="13">
      <c r="C136" s="63"/>
      <c r="E136" s="104"/>
      <c r="F136" s="104"/>
      <c r="G136" s="104"/>
      <c r="H136" s="104"/>
      <c r="I136" s="104"/>
      <c r="J136" s="104"/>
      <c r="K136" s="104"/>
      <c r="L136" s="64"/>
      <c r="M136" s="79"/>
    </row>
    <row r="137" spans="3:13" ht="13">
      <c r="C137" s="63"/>
      <c r="E137" s="104"/>
      <c r="F137" s="104"/>
      <c r="G137" s="104"/>
      <c r="H137" s="104"/>
      <c r="I137" s="104"/>
      <c r="J137" s="104"/>
      <c r="K137" s="104"/>
      <c r="L137" s="64"/>
      <c r="M137" s="79"/>
    </row>
    <row r="138" spans="3:13" ht="13">
      <c r="C138" s="63"/>
      <c r="E138" s="104"/>
      <c r="F138" s="104"/>
      <c r="G138" s="104"/>
      <c r="H138" s="104"/>
      <c r="I138" s="104"/>
      <c r="J138" s="104"/>
      <c r="K138" s="104"/>
      <c r="L138" s="64"/>
      <c r="M138" s="79"/>
    </row>
    <row r="139" spans="3:13" ht="13">
      <c r="C139" s="63"/>
      <c r="E139" s="104"/>
      <c r="F139" s="104"/>
      <c r="G139" s="104"/>
      <c r="H139" s="104"/>
      <c r="I139" s="104"/>
      <c r="J139" s="104"/>
      <c r="K139" s="104"/>
      <c r="L139" s="64"/>
      <c r="M139" s="79"/>
    </row>
    <row r="140" spans="3:13" ht="13">
      <c r="C140" s="63"/>
      <c r="E140" s="104"/>
      <c r="F140" s="104"/>
      <c r="G140" s="104"/>
      <c r="H140" s="104"/>
      <c r="I140" s="104"/>
      <c r="J140" s="104"/>
      <c r="K140" s="104"/>
      <c r="L140" s="64"/>
      <c r="M140" s="79"/>
    </row>
    <row r="141" spans="3:13" ht="13">
      <c r="C141" s="63"/>
      <c r="E141" s="104"/>
      <c r="F141" s="104"/>
      <c r="G141" s="104"/>
      <c r="H141" s="104"/>
      <c r="I141" s="104"/>
      <c r="J141" s="104"/>
      <c r="K141" s="104"/>
      <c r="L141" s="64"/>
      <c r="M141" s="79"/>
    </row>
    <row r="142" spans="3:13" ht="13">
      <c r="C142" s="63"/>
      <c r="E142" s="104"/>
      <c r="F142" s="104"/>
      <c r="G142" s="104"/>
      <c r="H142" s="104"/>
      <c r="I142" s="104"/>
      <c r="J142" s="104"/>
      <c r="K142" s="104"/>
      <c r="L142" s="64"/>
      <c r="M142" s="79"/>
    </row>
    <row r="143" spans="3:13" ht="13">
      <c r="C143" s="63"/>
      <c r="E143" s="104"/>
      <c r="F143" s="104"/>
      <c r="G143" s="104"/>
      <c r="H143" s="104"/>
      <c r="I143" s="104"/>
      <c r="J143" s="104"/>
      <c r="K143" s="104"/>
      <c r="L143" s="64"/>
      <c r="M143" s="79"/>
    </row>
    <row r="144" spans="3:13" ht="13">
      <c r="C144" s="63"/>
      <c r="E144" s="104"/>
      <c r="F144" s="104"/>
      <c r="G144" s="104"/>
      <c r="H144" s="104"/>
      <c r="I144" s="104"/>
      <c r="J144" s="104"/>
      <c r="K144" s="104"/>
      <c r="L144" s="64"/>
      <c r="M144" s="79"/>
    </row>
    <row r="145" spans="3:13" ht="13">
      <c r="C145" s="63"/>
      <c r="E145" s="104"/>
      <c r="F145" s="104"/>
      <c r="G145" s="104"/>
      <c r="H145" s="104"/>
      <c r="I145" s="104"/>
      <c r="J145" s="104"/>
      <c r="K145" s="104"/>
      <c r="L145" s="64"/>
      <c r="M145" s="79"/>
    </row>
    <row r="146" spans="3:13" ht="13">
      <c r="C146" s="63"/>
      <c r="E146" s="104"/>
      <c r="F146" s="104"/>
      <c r="G146" s="104"/>
      <c r="H146" s="104"/>
      <c r="I146" s="104"/>
      <c r="J146" s="104"/>
      <c r="K146" s="104"/>
      <c r="L146" s="64"/>
      <c r="M146" s="79"/>
    </row>
    <row r="147" spans="3:13" ht="13">
      <c r="C147" s="63"/>
      <c r="E147" s="104"/>
      <c r="F147" s="104"/>
      <c r="G147" s="104"/>
      <c r="H147" s="104"/>
      <c r="I147" s="104"/>
      <c r="J147" s="104"/>
      <c r="K147" s="104"/>
      <c r="L147" s="64"/>
      <c r="M147" s="79"/>
    </row>
    <row r="148" spans="3:13" ht="13">
      <c r="C148" s="63"/>
      <c r="E148" s="104"/>
      <c r="F148" s="104"/>
      <c r="G148" s="104"/>
      <c r="H148" s="104"/>
      <c r="I148" s="104"/>
      <c r="J148" s="104"/>
      <c r="K148" s="104"/>
      <c r="L148" s="64"/>
      <c r="M148" s="79"/>
    </row>
    <row r="149" spans="3:13" ht="13">
      <c r="C149" s="63"/>
      <c r="E149" s="104"/>
      <c r="F149" s="104"/>
      <c r="G149" s="104"/>
      <c r="H149" s="104"/>
      <c r="I149" s="104"/>
      <c r="J149" s="104"/>
      <c r="K149" s="104"/>
      <c r="L149" s="64"/>
      <c r="M149" s="79"/>
    </row>
    <row r="150" spans="3:13" ht="13">
      <c r="C150" s="63"/>
      <c r="E150" s="104"/>
      <c r="F150" s="104"/>
      <c r="G150" s="104"/>
      <c r="H150" s="104"/>
      <c r="I150" s="104"/>
      <c r="J150" s="104"/>
      <c r="K150" s="104"/>
      <c r="L150" s="64"/>
      <c r="M150" s="79"/>
    </row>
    <row r="151" spans="3:13" ht="13">
      <c r="C151" s="63"/>
      <c r="E151" s="104"/>
      <c r="F151" s="104"/>
      <c r="G151" s="104"/>
      <c r="H151" s="104"/>
      <c r="I151" s="104"/>
      <c r="J151" s="104"/>
      <c r="K151" s="104"/>
      <c r="L151" s="64"/>
      <c r="M151" s="79"/>
    </row>
    <row r="152" spans="3:13" ht="13">
      <c r="C152" s="63"/>
      <c r="E152" s="104"/>
      <c r="F152" s="104"/>
      <c r="G152" s="104"/>
      <c r="H152" s="104"/>
      <c r="I152" s="104"/>
      <c r="J152" s="104"/>
      <c r="K152" s="104"/>
      <c r="L152" s="64"/>
      <c r="M152" s="79"/>
    </row>
    <row r="153" spans="3:13" ht="13">
      <c r="C153" s="63"/>
      <c r="E153" s="104"/>
      <c r="F153" s="104"/>
      <c r="G153" s="104"/>
      <c r="H153" s="104"/>
      <c r="I153" s="104"/>
      <c r="J153" s="104"/>
      <c r="K153" s="104"/>
      <c r="L153" s="64"/>
      <c r="M153" s="79"/>
    </row>
    <row r="154" spans="3:13" ht="13">
      <c r="C154" s="63"/>
      <c r="E154" s="104"/>
      <c r="F154" s="104"/>
      <c r="G154" s="104"/>
      <c r="H154" s="104"/>
      <c r="I154" s="104"/>
      <c r="J154" s="104"/>
      <c r="K154" s="104"/>
      <c r="L154" s="64"/>
      <c r="M154" s="79"/>
    </row>
    <row r="155" spans="3:13" ht="13">
      <c r="C155" s="63"/>
      <c r="E155" s="104"/>
      <c r="F155" s="104"/>
      <c r="G155" s="104"/>
      <c r="H155" s="104"/>
      <c r="I155" s="104"/>
      <c r="J155" s="104"/>
      <c r="K155" s="104"/>
      <c r="L155" s="64"/>
      <c r="M155" s="79"/>
    </row>
    <row r="156" spans="3:13" ht="13">
      <c r="C156" s="63"/>
      <c r="E156" s="104"/>
      <c r="F156" s="104"/>
      <c r="G156" s="104"/>
      <c r="H156" s="104"/>
      <c r="I156" s="104"/>
      <c r="J156" s="104"/>
      <c r="K156" s="104"/>
      <c r="L156" s="64"/>
      <c r="M156" s="79"/>
    </row>
    <row r="157" spans="3:13" ht="13">
      <c r="C157" s="63"/>
      <c r="E157" s="104"/>
      <c r="F157" s="104"/>
      <c r="G157" s="104"/>
      <c r="H157" s="104"/>
      <c r="I157" s="104"/>
      <c r="J157" s="104"/>
      <c r="K157" s="104"/>
      <c r="L157" s="64"/>
      <c r="M157" s="79"/>
    </row>
    <row r="158" spans="3:13" ht="13">
      <c r="C158" s="63"/>
      <c r="E158" s="104"/>
      <c r="F158" s="104"/>
      <c r="G158" s="104"/>
      <c r="H158" s="104"/>
      <c r="I158" s="104"/>
      <c r="J158" s="104"/>
      <c r="K158" s="104"/>
      <c r="L158" s="64"/>
      <c r="M158" s="79"/>
    </row>
    <row r="159" spans="3:13" ht="13">
      <c r="C159" s="63"/>
      <c r="E159" s="104"/>
      <c r="F159" s="104"/>
      <c r="G159" s="104"/>
      <c r="H159" s="104"/>
      <c r="I159" s="104"/>
      <c r="J159" s="104"/>
      <c r="K159" s="104"/>
      <c r="L159" s="64"/>
      <c r="M159" s="79"/>
    </row>
    <row r="160" spans="3:13" ht="13">
      <c r="C160" s="63"/>
      <c r="E160" s="104"/>
      <c r="F160" s="104"/>
      <c r="G160" s="104"/>
      <c r="H160" s="104"/>
      <c r="I160" s="104"/>
      <c r="J160" s="104"/>
      <c r="K160" s="104"/>
      <c r="L160" s="64"/>
      <c r="M160" s="79"/>
    </row>
    <row r="161" spans="3:13" ht="13">
      <c r="C161" s="63"/>
      <c r="E161" s="104"/>
      <c r="F161" s="104"/>
      <c r="G161" s="104"/>
      <c r="H161" s="104"/>
      <c r="I161" s="104"/>
      <c r="J161" s="104"/>
      <c r="K161" s="104"/>
      <c r="L161" s="64"/>
      <c r="M161" s="79"/>
    </row>
    <row r="162" spans="3:13" ht="13">
      <c r="C162" s="63"/>
      <c r="E162" s="104"/>
      <c r="F162" s="104"/>
      <c r="G162" s="104"/>
      <c r="H162" s="104"/>
      <c r="I162" s="104"/>
      <c r="J162" s="104"/>
      <c r="K162" s="104"/>
      <c r="L162" s="64"/>
      <c r="M162" s="79"/>
    </row>
    <row r="163" spans="3:13" ht="13">
      <c r="C163" s="63"/>
      <c r="E163" s="104"/>
      <c r="F163" s="104"/>
      <c r="G163" s="104"/>
      <c r="H163" s="104"/>
      <c r="I163" s="104"/>
      <c r="J163" s="104"/>
      <c r="K163" s="104"/>
      <c r="L163" s="64"/>
      <c r="M163" s="79"/>
    </row>
    <row r="164" spans="3:13" ht="13">
      <c r="C164" s="63"/>
      <c r="E164" s="104"/>
      <c r="F164" s="104"/>
      <c r="G164" s="104"/>
      <c r="H164" s="104"/>
      <c r="I164" s="104"/>
      <c r="J164" s="104"/>
      <c r="K164" s="104"/>
      <c r="L164" s="64"/>
      <c r="M164" s="79"/>
    </row>
    <row r="165" spans="3:13" ht="13">
      <c r="C165" s="63"/>
      <c r="E165" s="104"/>
      <c r="F165" s="104"/>
      <c r="G165" s="104"/>
      <c r="H165" s="104"/>
      <c r="I165" s="104"/>
      <c r="J165" s="104"/>
      <c r="K165" s="104"/>
      <c r="L165" s="64"/>
      <c r="M165" s="79"/>
    </row>
    <row r="166" spans="3:13" ht="13">
      <c r="C166" s="63"/>
      <c r="E166" s="104"/>
      <c r="F166" s="104"/>
      <c r="G166" s="104"/>
      <c r="H166" s="104"/>
      <c r="I166" s="104"/>
      <c r="J166" s="104"/>
      <c r="K166" s="104"/>
      <c r="L166" s="64"/>
      <c r="M166" s="79"/>
    </row>
    <row r="167" spans="3:13" ht="13">
      <c r="C167" s="63"/>
      <c r="E167" s="104"/>
      <c r="F167" s="104"/>
      <c r="G167" s="104"/>
      <c r="H167" s="104"/>
      <c r="I167" s="104"/>
      <c r="J167" s="104"/>
      <c r="K167" s="104"/>
      <c r="L167" s="64"/>
      <c r="M167" s="79"/>
    </row>
    <row r="168" spans="3:13" ht="13">
      <c r="C168" s="63"/>
      <c r="E168" s="104"/>
      <c r="F168" s="104"/>
      <c r="G168" s="104"/>
      <c r="H168" s="104"/>
      <c r="I168" s="104"/>
      <c r="J168" s="104"/>
      <c r="K168" s="104"/>
      <c r="L168" s="64"/>
      <c r="M168" s="79"/>
    </row>
    <row r="169" spans="3:13" ht="13">
      <c r="C169" s="63"/>
      <c r="E169" s="104"/>
      <c r="F169" s="104"/>
      <c r="G169" s="104"/>
      <c r="H169" s="104"/>
      <c r="I169" s="104"/>
      <c r="J169" s="104"/>
      <c r="K169" s="104"/>
      <c r="L169" s="64"/>
      <c r="M169" s="79"/>
    </row>
    <row r="170" spans="3:13" ht="13">
      <c r="C170" s="63"/>
      <c r="E170" s="104"/>
      <c r="F170" s="104"/>
      <c r="G170" s="104"/>
      <c r="H170" s="104"/>
      <c r="I170" s="104"/>
      <c r="J170" s="104"/>
      <c r="K170" s="104"/>
      <c r="L170" s="64"/>
      <c r="M170" s="79"/>
    </row>
    <row r="171" spans="3:13" ht="13">
      <c r="C171" s="63"/>
      <c r="E171" s="104"/>
      <c r="F171" s="104"/>
      <c r="G171" s="104"/>
      <c r="H171" s="104"/>
      <c r="I171" s="104"/>
      <c r="J171" s="104"/>
      <c r="K171" s="104"/>
      <c r="L171" s="64"/>
      <c r="M171" s="79"/>
    </row>
    <row r="172" spans="3:13" ht="13">
      <c r="C172" s="63"/>
      <c r="E172" s="104"/>
      <c r="F172" s="104"/>
      <c r="G172" s="104"/>
      <c r="H172" s="104"/>
      <c r="I172" s="104"/>
      <c r="J172" s="104"/>
      <c r="K172" s="104"/>
      <c r="L172" s="64"/>
      <c r="M172" s="79"/>
    </row>
    <row r="173" spans="3:13" ht="13">
      <c r="C173" s="63"/>
      <c r="E173" s="104"/>
      <c r="F173" s="104"/>
      <c r="G173" s="104"/>
      <c r="H173" s="104"/>
      <c r="I173" s="104"/>
      <c r="J173" s="104"/>
      <c r="K173" s="104"/>
      <c r="L173" s="64"/>
      <c r="M173" s="79"/>
    </row>
    <row r="174" spans="3:13" ht="13">
      <c r="C174" s="63"/>
      <c r="E174" s="104"/>
      <c r="F174" s="104"/>
      <c r="G174" s="104"/>
      <c r="H174" s="104"/>
      <c r="I174" s="104"/>
      <c r="J174" s="104"/>
      <c r="K174" s="104"/>
      <c r="L174" s="64"/>
      <c r="M174" s="79"/>
    </row>
    <row r="175" spans="3:13" ht="13">
      <c r="C175" s="63"/>
      <c r="E175" s="104"/>
      <c r="F175" s="104"/>
      <c r="G175" s="104"/>
      <c r="H175" s="104"/>
      <c r="I175" s="104"/>
      <c r="J175" s="104"/>
      <c r="K175" s="104"/>
      <c r="L175" s="64"/>
      <c r="M175" s="79"/>
    </row>
    <row r="176" spans="3:13" ht="13">
      <c r="C176" s="63"/>
      <c r="E176" s="104"/>
      <c r="F176" s="104"/>
      <c r="G176" s="104"/>
      <c r="H176" s="104"/>
      <c r="I176" s="104"/>
      <c r="J176" s="104"/>
      <c r="K176" s="104"/>
      <c r="L176" s="64"/>
      <c r="M176" s="79"/>
    </row>
    <row r="177" spans="3:13" ht="13">
      <c r="C177" s="63"/>
      <c r="E177" s="104"/>
      <c r="F177" s="104"/>
      <c r="G177" s="104"/>
      <c r="H177" s="104"/>
      <c r="I177" s="104"/>
      <c r="J177" s="104"/>
      <c r="K177" s="104"/>
      <c r="L177" s="64"/>
      <c r="M177" s="79"/>
    </row>
    <row r="178" spans="3:13" ht="13">
      <c r="C178" s="63"/>
      <c r="E178" s="104"/>
      <c r="F178" s="104"/>
      <c r="G178" s="104"/>
      <c r="H178" s="104"/>
      <c r="I178" s="104"/>
      <c r="J178" s="104"/>
      <c r="K178" s="104"/>
      <c r="L178" s="64"/>
      <c r="M178" s="79"/>
    </row>
    <row r="179" spans="3:13" ht="13">
      <c r="C179" s="63"/>
      <c r="E179" s="104"/>
      <c r="F179" s="104"/>
      <c r="G179" s="104"/>
      <c r="H179" s="104"/>
      <c r="I179" s="104"/>
      <c r="J179" s="104"/>
      <c r="K179" s="104"/>
      <c r="L179" s="64"/>
      <c r="M179" s="79"/>
    </row>
    <row r="180" spans="3:13" ht="13">
      <c r="C180" s="63"/>
      <c r="E180" s="104"/>
      <c r="F180" s="104"/>
      <c r="G180" s="104"/>
      <c r="H180" s="104"/>
      <c r="I180" s="104"/>
      <c r="J180" s="104"/>
      <c r="K180" s="104"/>
      <c r="L180" s="64"/>
      <c r="M180" s="79"/>
    </row>
    <row r="181" spans="3:13" ht="13">
      <c r="C181" s="63"/>
      <c r="E181" s="104"/>
      <c r="F181" s="104"/>
      <c r="G181" s="104"/>
      <c r="H181" s="104"/>
      <c r="I181" s="104"/>
      <c r="J181" s="104"/>
      <c r="K181" s="104"/>
      <c r="L181" s="64"/>
      <c r="M181" s="79"/>
    </row>
    <row r="182" spans="3:13" ht="13">
      <c r="C182" s="63"/>
      <c r="E182" s="104"/>
      <c r="F182" s="104"/>
      <c r="G182" s="104"/>
      <c r="H182" s="104"/>
      <c r="I182" s="104"/>
      <c r="J182" s="104"/>
      <c r="K182" s="104"/>
      <c r="L182" s="64"/>
      <c r="M182" s="79"/>
    </row>
    <row r="183" spans="3:13" ht="13">
      <c r="C183" s="63"/>
      <c r="E183" s="104"/>
      <c r="F183" s="104"/>
      <c r="G183" s="104"/>
      <c r="H183" s="104"/>
      <c r="I183" s="104"/>
      <c r="J183" s="104"/>
      <c r="K183" s="104"/>
      <c r="L183" s="64"/>
      <c r="M183" s="79"/>
    </row>
    <row r="184" spans="3:13" ht="13">
      <c r="C184" s="63"/>
      <c r="E184" s="104"/>
      <c r="F184" s="104"/>
      <c r="G184" s="104"/>
      <c r="H184" s="104"/>
      <c r="I184" s="104"/>
      <c r="J184" s="104"/>
      <c r="K184" s="104"/>
      <c r="L184" s="64"/>
      <c r="M184" s="79"/>
    </row>
    <row r="185" spans="3:13" ht="13">
      <c r="C185" s="63"/>
      <c r="E185" s="104"/>
      <c r="F185" s="104"/>
      <c r="G185" s="104"/>
      <c r="H185" s="104"/>
      <c r="I185" s="104"/>
      <c r="J185" s="104"/>
      <c r="K185" s="104"/>
      <c r="L185" s="64"/>
      <c r="M185" s="79"/>
    </row>
    <row r="186" spans="3:13" ht="13">
      <c r="C186" s="63"/>
      <c r="E186" s="104"/>
      <c r="F186" s="104"/>
      <c r="G186" s="104"/>
      <c r="H186" s="104"/>
      <c r="I186" s="104"/>
      <c r="J186" s="104"/>
      <c r="K186" s="104"/>
      <c r="L186" s="64"/>
      <c r="M186" s="79"/>
    </row>
    <row r="187" spans="3:13" ht="13">
      <c r="C187" s="63"/>
      <c r="E187" s="104"/>
      <c r="F187" s="104"/>
      <c r="G187" s="104"/>
      <c r="H187" s="104"/>
      <c r="I187" s="104"/>
      <c r="J187" s="104"/>
      <c r="K187" s="104"/>
      <c r="L187" s="64"/>
      <c r="M187" s="79"/>
    </row>
    <row r="188" spans="3:13" ht="13">
      <c r="C188" s="63"/>
      <c r="E188" s="104"/>
      <c r="F188" s="104"/>
      <c r="G188" s="104"/>
      <c r="H188" s="104"/>
      <c r="I188" s="104"/>
      <c r="J188" s="104"/>
      <c r="K188" s="104"/>
      <c r="L188" s="64"/>
      <c r="M188" s="79"/>
    </row>
    <row r="189" spans="3:13" ht="13">
      <c r="C189" s="63"/>
      <c r="E189" s="104"/>
      <c r="F189" s="104"/>
      <c r="G189" s="104"/>
      <c r="H189" s="104"/>
      <c r="I189" s="104"/>
      <c r="J189" s="104"/>
      <c r="K189" s="104"/>
      <c r="L189" s="64"/>
      <c r="M189" s="79"/>
    </row>
    <row r="190" spans="3:13" ht="13">
      <c r="C190" s="63"/>
      <c r="E190" s="104"/>
      <c r="F190" s="104"/>
      <c r="G190" s="104"/>
      <c r="H190" s="104"/>
      <c r="I190" s="104"/>
      <c r="J190" s="104"/>
      <c r="K190" s="104"/>
      <c r="L190" s="64"/>
      <c r="M190" s="79"/>
    </row>
    <row r="191" spans="3:13" ht="13">
      <c r="C191" s="63"/>
      <c r="E191" s="104"/>
      <c r="F191" s="104"/>
      <c r="G191" s="104"/>
      <c r="H191" s="104"/>
      <c r="I191" s="104"/>
      <c r="J191" s="104"/>
      <c r="K191" s="104"/>
      <c r="L191" s="64"/>
      <c r="M191" s="79"/>
    </row>
    <row r="192" spans="3:13" ht="13">
      <c r="C192" s="63"/>
      <c r="E192" s="104"/>
      <c r="F192" s="104"/>
      <c r="G192" s="104"/>
      <c r="H192" s="104"/>
      <c r="I192" s="104"/>
      <c r="J192" s="104"/>
      <c r="K192" s="104"/>
      <c r="L192" s="64"/>
      <c r="M192" s="79"/>
    </row>
    <row r="193" spans="3:13" ht="13">
      <c r="C193" s="63"/>
      <c r="E193" s="104"/>
      <c r="F193" s="104"/>
      <c r="G193" s="104"/>
      <c r="H193" s="104"/>
      <c r="I193" s="104"/>
      <c r="J193" s="104"/>
      <c r="K193" s="104"/>
      <c r="L193" s="64"/>
      <c r="M193" s="79"/>
    </row>
    <row r="194" spans="3:13" ht="13">
      <c r="C194" s="63"/>
      <c r="E194" s="104"/>
      <c r="F194" s="104"/>
      <c r="G194" s="104"/>
      <c r="H194" s="104"/>
      <c r="I194" s="104"/>
      <c r="J194" s="104"/>
      <c r="K194" s="104"/>
      <c r="L194" s="64"/>
      <c r="M194" s="79"/>
    </row>
    <row r="195" spans="3:13" ht="13">
      <c r="C195" s="63"/>
      <c r="E195" s="104"/>
      <c r="F195" s="104"/>
      <c r="G195" s="104"/>
      <c r="H195" s="104"/>
      <c r="I195" s="104"/>
      <c r="J195" s="104"/>
      <c r="K195" s="104"/>
      <c r="L195" s="64"/>
      <c r="M195" s="79"/>
    </row>
    <row r="196" spans="3:13" ht="13">
      <c r="C196" s="63"/>
      <c r="E196" s="104"/>
      <c r="F196" s="104"/>
      <c r="G196" s="104"/>
      <c r="H196" s="104"/>
      <c r="I196" s="104"/>
      <c r="J196" s="104"/>
      <c r="K196" s="104"/>
      <c r="L196" s="64"/>
      <c r="M196" s="79"/>
    </row>
    <row r="197" spans="3:13" ht="13">
      <c r="C197" s="63"/>
      <c r="E197" s="104"/>
      <c r="F197" s="104"/>
      <c r="G197" s="104"/>
      <c r="H197" s="104"/>
      <c r="I197" s="104"/>
      <c r="J197" s="104"/>
      <c r="K197" s="104"/>
      <c r="L197" s="64"/>
      <c r="M197" s="79"/>
    </row>
    <row r="198" spans="3:13" ht="13">
      <c r="C198" s="63"/>
      <c r="E198" s="104"/>
      <c r="F198" s="104"/>
      <c r="G198" s="104"/>
      <c r="H198" s="104"/>
      <c r="I198" s="104"/>
      <c r="J198" s="104"/>
      <c r="K198" s="104"/>
      <c r="L198" s="64"/>
      <c r="M198" s="79"/>
    </row>
    <row r="199" spans="3:13" ht="13">
      <c r="C199" s="63"/>
      <c r="E199" s="104"/>
      <c r="F199" s="104"/>
      <c r="G199" s="104"/>
      <c r="H199" s="104"/>
      <c r="I199" s="104"/>
      <c r="J199" s="104"/>
      <c r="K199" s="104"/>
      <c r="L199" s="64"/>
      <c r="M199" s="79"/>
    </row>
    <row r="200" spans="3:13" ht="13">
      <c r="C200" s="63"/>
      <c r="E200" s="104"/>
      <c r="F200" s="104"/>
      <c r="G200" s="104"/>
      <c r="H200" s="104"/>
      <c r="I200" s="104"/>
      <c r="J200" s="104"/>
      <c r="K200" s="104"/>
      <c r="L200" s="64"/>
      <c r="M200" s="79"/>
    </row>
    <row r="201" spans="3:13" ht="13">
      <c r="C201" s="63"/>
      <c r="E201" s="104"/>
      <c r="F201" s="104"/>
      <c r="G201" s="104"/>
      <c r="H201" s="104"/>
      <c r="I201" s="104"/>
      <c r="J201" s="104"/>
      <c r="K201" s="104"/>
      <c r="L201" s="64"/>
      <c r="M201" s="79"/>
    </row>
    <row r="202" spans="3:13" ht="13">
      <c r="C202" s="63"/>
      <c r="E202" s="104"/>
      <c r="F202" s="104"/>
      <c r="G202" s="104"/>
      <c r="H202" s="104"/>
      <c r="I202" s="104"/>
      <c r="J202" s="104"/>
      <c r="K202" s="104"/>
      <c r="L202" s="64"/>
      <c r="M202" s="79"/>
    </row>
    <row r="203" spans="3:13" ht="13">
      <c r="C203" s="63"/>
      <c r="E203" s="104"/>
      <c r="F203" s="104"/>
      <c r="G203" s="104"/>
      <c r="H203" s="104"/>
      <c r="I203" s="104"/>
      <c r="J203" s="104"/>
      <c r="K203" s="104"/>
      <c r="L203" s="64"/>
      <c r="M203" s="79"/>
    </row>
    <row r="204" spans="3:13" ht="13">
      <c r="C204" s="63"/>
      <c r="E204" s="104"/>
      <c r="F204" s="104"/>
      <c r="G204" s="104"/>
      <c r="H204" s="104"/>
      <c r="I204" s="104"/>
      <c r="J204" s="104"/>
      <c r="K204" s="104"/>
      <c r="L204" s="64"/>
      <c r="M204" s="79"/>
    </row>
    <row r="205" spans="3:13" ht="13">
      <c r="C205" s="63"/>
      <c r="E205" s="104"/>
      <c r="F205" s="104"/>
      <c r="G205" s="104"/>
      <c r="H205" s="104"/>
      <c r="I205" s="104"/>
      <c r="J205" s="104"/>
      <c r="K205" s="104"/>
      <c r="L205" s="64"/>
      <c r="M205" s="79"/>
    </row>
    <row r="206" spans="3:13" ht="13">
      <c r="C206" s="63"/>
      <c r="E206" s="104"/>
      <c r="F206" s="104"/>
      <c r="G206" s="104"/>
      <c r="H206" s="104"/>
      <c r="I206" s="104"/>
      <c r="J206" s="104"/>
      <c r="K206" s="104"/>
      <c r="L206" s="64"/>
      <c r="M206" s="79"/>
    </row>
    <row r="207" spans="3:13" ht="13">
      <c r="C207" s="63"/>
      <c r="E207" s="104"/>
      <c r="F207" s="104"/>
      <c r="G207" s="104"/>
      <c r="H207" s="104"/>
      <c r="I207" s="104"/>
      <c r="J207" s="104"/>
      <c r="K207" s="104"/>
      <c r="L207" s="64"/>
      <c r="M207" s="79"/>
    </row>
    <row r="208" spans="3:13" ht="13">
      <c r="C208" s="63"/>
      <c r="E208" s="104"/>
      <c r="F208" s="104"/>
      <c r="G208" s="104"/>
      <c r="H208" s="104"/>
      <c r="I208" s="104"/>
      <c r="J208" s="104"/>
      <c r="K208" s="104"/>
      <c r="L208" s="64"/>
      <c r="M208" s="79"/>
    </row>
    <row r="209" spans="3:13" ht="13">
      <c r="C209" s="63"/>
      <c r="E209" s="104"/>
      <c r="F209" s="104"/>
      <c r="G209" s="104"/>
      <c r="H209" s="104"/>
      <c r="I209" s="104"/>
      <c r="J209" s="104"/>
      <c r="K209" s="104"/>
      <c r="L209" s="64"/>
      <c r="M209" s="79"/>
    </row>
    <row r="210" spans="3:13" ht="13">
      <c r="C210" s="63"/>
      <c r="E210" s="104"/>
      <c r="F210" s="104"/>
      <c r="G210" s="104"/>
      <c r="H210" s="104"/>
      <c r="I210" s="104"/>
      <c r="J210" s="104"/>
      <c r="K210" s="104"/>
      <c r="L210" s="64"/>
      <c r="M210" s="79"/>
    </row>
    <row r="211" spans="3:13" ht="13">
      <c r="C211" s="63"/>
      <c r="E211" s="104"/>
      <c r="F211" s="104"/>
      <c r="G211" s="104"/>
      <c r="H211" s="104"/>
      <c r="I211" s="104"/>
      <c r="J211" s="104"/>
      <c r="K211" s="104"/>
      <c r="L211" s="64"/>
      <c r="M211" s="79"/>
    </row>
    <row r="212" spans="3:13" ht="13">
      <c r="C212" s="63"/>
      <c r="E212" s="104"/>
      <c r="F212" s="104"/>
      <c r="G212" s="104"/>
      <c r="H212" s="104"/>
      <c r="I212" s="104"/>
      <c r="J212" s="104"/>
      <c r="K212" s="104"/>
      <c r="L212" s="64"/>
      <c r="M212" s="79"/>
    </row>
    <row r="213" spans="3:13" ht="13">
      <c r="C213" s="63"/>
      <c r="E213" s="104"/>
      <c r="F213" s="104"/>
      <c r="G213" s="104"/>
      <c r="H213" s="104"/>
      <c r="I213" s="104"/>
      <c r="J213" s="104"/>
      <c r="K213" s="104"/>
      <c r="L213" s="64"/>
      <c r="M213" s="79"/>
    </row>
    <row r="214" spans="3:13" ht="13">
      <c r="C214" s="63"/>
      <c r="E214" s="104"/>
      <c r="F214" s="104"/>
      <c r="G214" s="104"/>
      <c r="H214" s="104"/>
      <c r="I214" s="104"/>
      <c r="J214" s="104"/>
      <c r="K214" s="104"/>
      <c r="L214" s="64"/>
      <c r="M214" s="79"/>
    </row>
    <row r="215" spans="3:13" ht="13">
      <c r="C215" s="63"/>
      <c r="E215" s="104"/>
      <c r="F215" s="104"/>
      <c r="G215" s="104"/>
      <c r="H215" s="104"/>
      <c r="I215" s="104"/>
      <c r="J215" s="104"/>
      <c r="K215" s="104"/>
      <c r="L215" s="64"/>
      <c r="M215" s="79"/>
    </row>
    <row r="216" spans="3:13" ht="13">
      <c r="C216" s="63"/>
      <c r="E216" s="104"/>
      <c r="F216" s="104"/>
      <c r="G216" s="104"/>
      <c r="H216" s="104"/>
      <c r="I216" s="104"/>
      <c r="J216" s="104"/>
      <c r="K216" s="104"/>
      <c r="L216" s="64"/>
      <c r="M216" s="79"/>
    </row>
    <row r="217" spans="3:13" ht="13">
      <c r="C217" s="63"/>
      <c r="E217" s="104"/>
      <c r="F217" s="104"/>
      <c r="G217" s="104"/>
      <c r="H217" s="104"/>
      <c r="I217" s="104"/>
      <c r="J217" s="104"/>
      <c r="K217" s="104"/>
      <c r="L217" s="64"/>
      <c r="M217" s="79"/>
    </row>
    <row r="218" spans="3:13" ht="13">
      <c r="C218" s="63"/>
      <c r="E218" s="104"/>
      <c r="F218" s="104"/>
      <c r="G218" s="104"/>
      <c r="H218" s="104"/>
      <c r="I218" s="104"/>
      <c r="J218" s="104"/>
      <c r="K218" s="104"/>
      <c r="L218" s="64"/>
      <c r="M218" s="79"/>
    </row>
    <row r="219" spans="3:13" ht="13">
      <c r="C219" s="63"/>
      <c r="E219" s="104"/>
      <c r="F219" s="104"/>
      <c r="G219" s="104"/>
      <c r="H219" s="104"/>
      <c r="I219" s="104"/>
      <c r="J219" s="104"/>
      <c r="K219" s="104"/>
      <c r="L219" s="64"/>
      <c r="M219" s="79"/>
    </row>
    <row r="220" spans="3:13" ht="13">
      <c r="C220" s="63"/>
      <c r="E220" s="104"/>
      <c r="F220" s="104"/>
      <c r="G220" s="104"/>
      <c r="H220" s="104"/>
      <c r="I220" s="104"/>
      <c r="J220" s="104"/>
      <c r="K220" s="104"/>
      <c r="L220" s="64"/>
      <c r="M220" s="79"/>
    </row>
    <row r="221" spans="3:13" ht="13">
      <c r="C221" s="63"/>
      <c r="E221" s="104"/>
      <c r="F221" s="104"/>
      <c r="G221" s="104"/>
      <c r="H221" s="104"/>
      <c r="I221" s="104"/>
      <c r="J221" s="104"/>
      <c r="K221" s="104"/>
      <c r="L221" s="64"/>
      <c r="M221" s="79"/>
    </row>
    <row r="222" spans="3:13" ht="13">
      <c r="C222" s="63"/>
      <c r="E222" s="104"/>
      <c r="F222" s="104"/>
      <c r="G222" s="104"/>
      <c r="H222" s="104"/>
      <c r="I222" s="104"/>
      <c r="J222" s="104"/>
      <c r="K222" s="104"/>
      <c r="L222" s="64"/>
      <c r="M222" s="79"/>
    </row>
    <row r="223" spans="3:13" ht="13">
      <c r="C223" s="63"/>
      <c r="E223" s="104"/>
      <c r="F223" s="104"/>
      <c r="G223" s="104"/>
      <c r="H223" s="104"/>
      <c r="I223" s="104"/>
      <c r="J223" s="104"/>
      <c r="K223" s="104"/>
      <c r="L223" s="64"/>
      <c r="M223" s="79"/>
    </row>
    <row r="224" spans="3:13" ht="13">
      <c r="C224" s="63"/>
      <c r="E224" s="104"/>
      <c r="F224" s="104"/>
      <c r="G224" s="104"/>
      <c r="H224" s="104"/>
      <c r="I224" s="104"/>
      <c r="J224" s="104"/>
      <c r="K224" s="104"/>
      <c r="L224" s="64"/>
      <c r="M224" s="79"/>
    </row>
    <row r="225" spans="3:13" ht="13">
      <c r="C225" s="63"/>
      <c r="E225" s="104"/>
      <c r="F225" s="104"/>
      <c r="G225" s="104"/>
      <c r="H225" s="104"/>
      <c r="I225" s="104"/>
      <c r="J225" s="104"/>
      <c r="K225" s="104"/>
      <c r="L225" s="64"/>
      <c r="M225" s="79"/>
    </row>
    <row r="226" spans="3:13" ht="13">
      <c r="C226" s="63"/>
      <c r="E226" s="104"/>
      <c r="F226" s="104"/>
      <c r="G226" s="104"/>
      <c r="H226" s="104"/>
      <c r="I226" s="104"/>
      <c r="J226" s="104"/>
      <c r="K226" s="104"/>
      <c r="L226" s="64"/>
      <c r="M226" s="79"/>
    </row>
    <row r="227" spans="3:13" ht="13">
      <c r="C227" s="63"/>
      <c r="E227" s="104"/>
      <c r="F227" s="104"/>
      <c r="G227" s="104"/>
      <c r="H227" s="104"/>
      <c r="I227" s="104"/>
      <c r="J227" s="104"/>
      <c r="K227" s="104"/>
      <c r="L227" s="64"/>
      <c r="M227" s="79"/>
    </row>
    <row r="228" spans="3:13" ht="13">
      <c r="C228" s="63"/>
      <c r="E228" s="104"/>
      <c r="F228" s="104"/>
      <c r="G228" s="104"/>
      <c r="H228" s="104"/>
      <c r="I228" s="104"/>
      <c r="J228" s="104"/>
      <c r="K228" s="104"/>
      <c r="L228" s="64"/>
      <c r="M228" s="79"/>
    </row>
    <row r="229" spans="3:13" ht="13">
      <c r="C229" s="63"/>
      <c r="E229" s="104"/>
      <c r="F229" s="104"/>
      <c r="G229" s="104"/>
      <c r="H229" s="104"/>
      <c r="I229" s="104"/>
      <c r="J229" s="104"/>
      <c r="K229" s="104"/>
      <c r="L229" s="64"/>
      <c r="M229" s="79"/>
    </row>
    <row r="230" spans="3:13" ht="13">
      <c r="C230" s="63"/>
      <c r="E230" s="104"/>
      <c r="F230" s="104"/>
      <c r="G230" s="104"/>
      <c r="H230" s="104"/>
      <c r="I230" s="104"/>
      <c r="J230" s="104"/>
      <c r="K230" s="104"/>
      <c r="L230" s="64"/>
      <c r="M230" s="79"/>
    </row>
    <row r="231" spans="3:13" ht="13">
      <c r="C231" s="63"/>
      <c r="E231" s="104"/>
      <c r="F231" s="104"/>
      <c r="G231" s="104"/>
      <c r="H231" s="104"/>
      <c r="I231" s="104"/>
      <c r="J231" s="104"/>
      <c r="K231" s="104"/>
      <c r="L231" s="64"/>
      <c r="M231" s="79"/>
    </row>
    <row r="232" spans="3:13" ht="13">
      <c r="C232" s="63"/>
      <c r="E232" s="104"/>
      <c r="F232" s="104"/>
      <c r="G232" s="104"/>
      <c r="H232" s="104"/>
      <c r="I232" s="104"/>
      <c r="J232" s="104"/>
      <c r="K232" s="104"/>
      <c r="L232" s="64"/>
      <c r="M232" s="79"/>
    </row>
    <row r="233" spans="3:13" ht="13">
      <c r="C233" s="63"/>
      <c r="E233" s="104"/>
      <c r="F233" s="104"/>
      <c r="G233" s="104"/>
      <c r="H233" s="104"/>
      <c r="I233" s="104"/>
      <c r="J233" s="104"/>
      <c r="K233" s="104"/>
      <c r="L233" s="64"/>
      <c r="M233" s="79"/>
    </row>
    <row r="234" spans="3:13" ht="13">
      <c r="C234" s="63"/>
      <c r="E234" s="104"/>
      <c r="F234" s="104"/>
      <c r="G234" s="104"/>
      <c r="H234" s="104"/>
      <c r="I234" s="104"/>
      <c r="J234" s="104"/>
      <c r="K234" s="104"/>
      <c r="L234" s="64"/>
      <c r="M234" s="79"/>
    </row>
    <row r="235" spans="3:13" ht="13">
      <c r="C235" s="63"/>
      <c r="E235" s="104"/>
      <c r="F235" s="104"/>
      <c r="G235" s="104"/>
      <c r="H235" s="104"/>
      <c r="I235" s="104"/>
      <c r="J235" s="104"/>
      <c r="K235" s="104"/>
      <c r="L235" s="64"/>
      <c r="M235" s="79"/>
    </row>
    <row r="236" spans="3:13" ht="13">
      <c r="C236" s="63"/>
      <c r="E236" s="104"/>
      <c r="F236" s="104"/>
      <c r="G236" s="104"/>
      <c r="H236" s="104"/>
      <c r="I236" s="104"/>
      <c r="J236" s="104"/>
      <c r="K236" s="104"/>
      <c r="L236" s="64"/>
      <c r="M236" s="79"/>
    </row>
    <row r="237" spans="3:13" ht="13">
      <c r="C237" s="63"/>
      <c r="E237" s="104"/>
      <c r="F237" s="104"/>
      <c r="G237" s="104"/>
      <c r="H237" s="104"/>
      <c r="I237" s="104"/>
      <c r="J237" s="104"/>
      <c r="K237" s="104"/>
      <c r="L237" s="64"/>
      <c r="M237" s="79"/>
    </row>
    <row r="238" spans="3:13" ht="13">
      <c r="C238" s="63"/>
      <c r="E238" s="104"/>
      <c r="F238" s="104"/>
      <c r="G238" s="104"/>
      <c r="H238" s="104"/>
      <c r="I238" s="104"/>
      <c r="J238" s="104"/>
      <c r="K238" s="104"/>
      <c r="L238" s="64"/>
      <c r="M238" s="79"/>
    </row>
    <row r="239" spans="3:13" ht="13">
      <c r="C239" s="63"/>
      <c r="E239" s="104"/>
      <c r="F239" s="104"/>
      <c r="G239" s="104"/>
      <c r="H239" s="104"/>
      <c r="I239" s="104"/>
      <c r="J239" s="104"/>
      <c r="K239" s="104"/>
      <c r="L239" s="64"/>
      <c r="M239" s="79"/>
    </row>
    <row r="240" spans="3:13" ht="13">
      <c r="C240" s="63"/>
      <c r="E240" s="104"/>
      <c r="F240" s="104"/>
      <c r="G240" s="104"/>
      <c r="H240" s="104"/>
      <c r="I240" s="104"/>
      <c r="J240" s="104"/>
      <c r="K240" s="104"/>
      <c r="L240" s="64"/>
      <c r="M240" s="79"/>
    </row>
    <row r="241" spans="3:13" ht="13">
      <c r="C241" s="63"/>
      <c r="E241" s="104"/>
      <c r="F241" s="104"/>
      <c r="G241" s="104"/>
      <c r="H241" s="104"/>
      <c r="I241" s="104"/>
      <c r="J241" s="104"/>
      <c r="K241" s="104"/>
      <c r="L241" s="64"/>
      <c r="M241" s="79"/>
    </row>
    <row r="242" spans="3:13" ht="13">
      <c r="C242" s="63"/>
      <c r="E242" s="104"/>
      <c r="F242" s="104"/>
      <c r="G242" s="104"/>
      <c r="H242" s="104"/>
      <c r="I242" s="104"/>
      <c r="J242" s="104"/>
      <c r="K242" s="104"/>
      <c r="L242" s="64"/>
      <c r="M242" s="79"/>
    </row>
    <row r="243" spans="3:13" ht="13">
      <c r="C243" s="63"/>
      <c r="E243" s="104"/>
      <c r="F243" s="104"/>
      <c r="G243" s="104"/>
      <c r="H243" s="104"/>
      <c r="I243" s="104"/>
      <c r="J243" s="104"/>
      <c r="K243" s="104"/>
      <c r="L243" s="64"/>
      <c r="M243" s="79"/>
    </row>
    <row r="244" spans="3:13" ht="13">
      <c r="C244" s="63"/>
      <c r="E244" s="104"/>
      <c r="F244" s="104"/>
      <c r="G244" s="104"/>
      <c r="H244" s="104"/>
      <c r="I244" s="104"/>
      <c r="J244" s="104"/>
      <c r="K244" s="104"/>
      <c r="L244" s="64"/>
      <c r="M244" s="79"/>
    </row>
    <row r="245" spans="3:13" ht="13">
      <c r="C245" s="63"/>
      <c r="E245" s="104"/>
      <c r="F245" s="104"/>
      <c r="G245" s="104"/>
      <c r="H245" s="104"/>
      <c r="I245" s="104"/>
      <c r="J245" s="104"/>
      <c r="K245" s="104"/>
      <c r="L245" s="64"/>
      <c r="M245" s="79"/>
    </row>
    <row r="246" spans="3:13" ht="13">
      <c r="C246" s="63"/>
      <c r="E246" s="104"/>
      <c r="F246" s="104"/>
      <c r="G246" s="104"/>
      <c r="H246" s="104"/>
      <c r="I246" s="104"/>
      <c r="J246" s="104"/>
      <c r="K246" s="104"/>
      <c r="L246" s="64"/>
      <c r="M246" s="79"/>
    </row>
    <row r="247" spans="3:13" ht="13">
      <c r="C247" s="63"/>
      <c r="E247" s="104"/>
      <c r="F247" s="104"/>
      <c r="G247" s="104"/>
      <c r="H247" s="104"/>
      <c r="I247" s="104"/>
      <c r="J247" s="104"/>
      <c r="K247" s="104"/>
      <c r="L247" s="64"/>
      <c r="M247" s="79"/>
    </row>
    <row r="248" spans="3:13" ht="13">
      <c r="C248" s="63"/>
      <c r="E248" s="104"/>
      <c r="F248" s="104"/>
      <c r="G248" s="104"/>
      <c r="H248" s="104"/>
      <c r="I248" s="104"/>
      <c r="J248" s="104"/>
      <c r="K248" s="104"/>
      <c r="L248" s="64"/>
      <c r="M248" s="79"/>
    </row>
    <row r="249" spans="3:13" ht="13">
      <c r="C249" s="63"/>
      <c r="E249" s="104"/>
      <c r="F249" s="104"/>
      <c r="G249" s="104"/>
      <c r="H249" s="104"/>
      <c r="I249" s="104"/>
      <c r="J249" s="104"/>
      <c r="K249" s="104"/>
      <c r="L249" s="64"/>
      <c r="M249" s="79"/>
    </row>
    <row r="250" spans="3:13" ht="13">
      <c r="C250" s="63"/>
      <c r="E250" s="104"/>
      <c r="F250" s="104"/>
      <c r="G250" s="104"/>
      <c r="H250" s="104"/>
      <c r="I250" s="104"/>
      <c r="J250" s="104"/>
      <c r="K250" s="104"/>
      <c r="L250" s="64"/>
      <c r="M250" s="79"/>
    </row>
    <row r="251" spans="3:13" ht="13">
      <c r="C251" s="63"/>
      <c r="E251" s="104"/>
      <c r="F251" s="104"/>
      <c r="G251" s="104"/>
      <c r="H251" s="104"/>
      <c r="I251" s="104"/>
      <c r="J251" s="104"/>
      <c r="K251" s="104"/>
      <c r="L251" s="64"/>
      <c r="M251" s="79"/>
    </row>
    <row r="252" spans="3:13" ht="13">
      <c r="C252" s="63"/>
      <c r="E252" s="104"/>
      <c r="F252" s="104"/>
      <c r="G252" s="104"/>
      <c r="H252" s="104"/>
      <c r="I252" s="104"/>
      <c r="J252" s="104"/>
      <c r="K252" s="104"/>
      <c r="L252" s="64"/>
      <c r="M252" s="79"/>
    </row>
    <row r="253" spans="3:13" ht="13">
      <c r="C253" s="63"/>
      <c r="E253" s="104"/>
      <c r="F253" s="104"/>
      <c r="G253" s="104"/>
      <c r="H253" s="104"/>
      <c r="I253" s="104"/>
      <c r="J253" s="104"/>
      <c r="K253" s="104"/>
      <c r="L253" s="64"/>
      <c r="M253" s="79"/>
    </row>
    <row r="254" spans="3:13" ht="13">
      <c r="C254" s="63"/>
      <c r="E254" s="104"/>
      <c r="F254" s="104"/>
      <c r="G254" s="104"/>
      <c r="H254" s="104"/>
      <c r="I254" s="104"/>
      <c r="J254" s="104"/>
      <c r="K254" s="104"/>
      <c r="L254" s="64"/>
      <c r="M254" s="79"/>
    </row>
    <row r="255" spans="3:13" ht="13">
      <c r="C255" s="63"/>
      <c r="E255" s="104"/>
      <c r="F255" s="104"/>
      <c r="G255" s="104"/>
      <c r="H255" s="104"/>
      <c r="I255" s="104"/>
      <c r="J255" s="104"/>
      <c r="K255" s="104"/>
      <c r="L255" s="64"/>
      <c r="M255" s="79"/>
    </row>
    <row r="256" spans="3:13" ht="13">
      <c r="C256" s="63"/>
      <c r="E256" s="104"/>
      <c r="F256" s="104"/>
      <c r="G256" s="104"/>
      <c r="H256" s="104"/>
      <c r="I256" s="104"/>
      <c r="J256" s="104"/>
      <c r="K256" s="104"/>
      <c r="L256" s="64"/>
      <c r="M256" s="79"/>
    </row>
    <row r="257" spans="3:13" ht="13">
      <c r="C257" s="63"/>
      <c r="E257" s="104"/>
      <c r="F257" s="104"/>
      <c r="G257" s="104"/>
      <c r="H257" s="104"/>
      <c r="I257" s="104"/>
      <c r="J257" s="104"/>
      <c r="K257" s="104"/>
      <c r="L257" s="64"/>
      <c r="M257" s="79"/>
    </row>
    <row r="258" spans="3:13" ht="13">
      <c r="C258" s="63"/>
      <c r="E258" s="104"/>
      <c r="F258" s="104"/>
      <c r="G258" s="104"/>
      <c r="H258" s="104"/>
      <c r="I258" s="104"/>
      <c r="J258" s="104"/>
      <c r="K258" s="104"/>
      <c r="L258" s="64"/>
      <c r="M258" s="79"/>
    </row>
    <row r="259" spans="3:13" ht="13">
      <c r="C259" s="63"/>
      <c r="E259" s="104"/>
      <c r="F259" s="104"/>
      <c r="G259" s="104"/>
      <c r="H259" s="104"/>
      <c r="I259" s="104"/>
      <c r="J259" s="104"/>
      <c r="K259" s="104"/>
      <c r="L259" s="64"/>
      <c r="M259" s="79"/>
    </row>
    <row r="260" spans="3:13" ht="13">
      <c r="C260" s="63"/>
      <c r="E260" s="104"/>
      <c r="F260" s="104"/>
      <c r="G260" s="104"/>
      <c r="H260" s="104"/>
      <c r="I260" s="104"/>
      <c r="J260" s="104"/>
      <c r="K260" s="104"/>
      <c r="L260" s="64"/>
      <c r="M260" s="79"/>
    </row>
    <row r="261" spans="3:13" ht="13">
      <c r="C261" s="63"/>
      <c r="E261" s="104"/>
      <c r="F261" s="104"/>
      <c r="G261" s="104"/>
      <c r="H261" s="104"/>
      <c r="I261" s="104"/>
      <c r="J261" s="104"/>
      <c r="K261" s="104"/>
      <c r="L261" s="64"/>
      <c r="M261" s="79"/>
    </row>
    <row r="262" spans="3:13" ht="13">
      <c r="C262" s="63"/>
      <c r="E262" s="104"/>
      <c r="F262" s="104"/>
      <c r="G262" s="104"/>
      <c r="H262" s="104"/>
      <c r="I262" s="104"/>
      <c r="J262" s="104"/>
      <c r="K262" s="104"/>
      <c r="L262" s="64"/>
      <c r="M262" s="79"/>
    </row>
    <row r="263" spans="3:13" ht="13">
      <c r="C263" s="63"/>
      <c r="E263" s="104"/>
      <c r="F263" s="104"/>
      <c r="G263" s="104"/>
      <c r="H263" s="104"/>
      <c r="I263" s="104"/>
      <c r="J263" s="104"/>
      <c r="K263" s="104"/>
      <c r="L263" s="64"/>
      <c r="M263" s="79"/>
    </row>
    <row r="264" spans="3:13" ht="13">
      <c r="C264" s="63"/>
      <c r="E264" s="104"/>
      <c r="F264" s="104"/>
      <c r="G264" s="104"/>
      <c r="H264" s="104"/>
      <c r="I264" s="104"/>
      <c r="J264" s="104"/>
      <c r="K264" s="104"/>
      <c r="L264" s="64"/>
      <c r="M264" s="79"/>
    </row>
    <row r="265" spans="3:13" ht="13">
      <c r="C265" s="63"/>
      <c r="E265" s="104"/>
      <c r="F265" s="104"/>
      <c r="G265" s="104"/>
      <c r="H265" s="104"/>
      <c r="I265" s="104"/>
      <c r="J265" s="104"/>
      <c r="K265" s="104"/>
      <c r="L265" s="64"/>
      <c r="M265" s="79"/>
    </row>
    <row r="266" spans="3:13" ht="13">
      <c r="C266" s="63"/>
      <c r="E266" s="104"/>
      <c r="F266" s="104"/>
      <c r="G266" s="104"/>
      <c r="H266" s="104"/>
      <c r="I266" s="104"/>
      <c r="J266" s="104"/>
      <c r="K266" s="104"/>
      <c r="L266" s="64"/>
      <c r="M266" s="79"/>
    </row>
    <row r="267" spans="3:13" ht="13">
      <c r="C267" s="63"/>
      <c r="E267" s="104"/>
      <c r="F267" s="104"/>
      <c r="G267" s="104"/>
      <c r="H267" s="104"/>
      <c r="I267" s="104"/>
      <c r="J267" s="104"/>
      <c r="K267" s="104"/>
      <c r="L267" s="64"/>
      <c r="M267" s="79"/>
    </row>
    <row r="268" spans="3:13" ht="13">
      <c r="C268" s="63"/>
      <c r="E268" s="104"/>
      <c r="F268" s="104"/>
      <c r="G268" s="104"/>
      <c r="H268" s="104"/>
      <c r="I268" s="104"/>
      <c r="J268" s="104"/>
      <c r="K268" s="104"/>
      <c r="L268" s="64"/>
      <c r="M268" s="79"/>
    </row>
    <row r="269" spans="3:13" ht="13">
      <c r="C269" s="63"/>
      <c r="E269" s="104"/>
      <c r="F269" s="104"/>
      <c r="G269" s="104"/>
      <c r="H269" s="104"/>
      <c r="I269" s="104"/>
      <c r="J269" s="104"/>
      <c r="K269" s="104"/>
      <c r="L269" s="64"/>
      <c r="M269" s="79"/>
    </row>
    <row r="270" spans="3:13" ht="13">
      <c r="C270" s="63"/>
      <c r="E270" s="104"/>
      <c r="F270" s="104"/>
      <c r="G270" s="104"/>
      <c r="H270" s="104"/>
      <c r="I270" s="104"/>
      <c r="J270" s="104"/>
      <c r="K270" s="104"/>
      <c r="L270" s="64"/>
      <c r="M270" s="79"/>
    </row>
    <row r="271" spans="3:13" ht="13">
      <c r="C271" s="63"/>
      <c r="E271" s="104"/>
      <c r="F271" s="104"/>
      <c r="G271" s="104"/>
      <c r="H271" s="104"/>
      <c r="I271" s="104"/>
      <c r="J271" s="104"/>
      <c r="K271" s="104"/>
      <c r="L271" s="64"/>
      <c r="M271" s="79"/>
    </row>
    <row r="272" spans="3:13" ht="13">
      <c r="C272" s="63"/>
      <c r="E272" s="104"/>
      <c r="F272" s="104"/>
      <c r="G272" s="104"/>
      <c r="H272" s="104"/>
      <c r="I272" s="104"/>
      <c r="J272" s="104"/>
      <c r="K272" s="104"/>
      <c r="L272" s="64"/>
      <c r="M272" s="79"/>
    </row>
    <row r="273" spans="3:13" ht="13">
      <c r="C273" s="63"/>
      <c r="E273" s="104"/>
      <c r="F273" s="104"/>
      <c r="G273" s="104"/>
      <c r="H273" s="104"/>
      <c r="I273" s="104"/>
      <c r="J273" s="104"/>
      <c r="K273" s="104"/>
      <c r="L273" s="64"/>
      <c r="M273" s="79"/>
    </row>
    <row r="274" spans="3:13" ht="13">
      <c r="C274" s="63"/>
      <c r="E274" s="104"/>
      <c r="F274" s="104"/>
      <c r="G274" s="104"/>
      <c r="H274" s="104"/>
      <c r="I274" s="104"/>
      <c r="J274" s="104"/>
      <c r="K274" s="104"/>
      <c r="L274" s="64"/>
      <c r="M274" s="79"/>
    </row>
    <row r="275" spans="3:13" ht="13">
      <c r="C275" s="63"/>
      <c r="E275" s="104"/>
      <c r="F275" s="104"/>
      <c r="G275" s="104"/>
      <c r="H275" s="104"/>
      <c r="I275" s="104"/>
      <c r="J275" s="104"/>
      <c r="K275" s="104"/>
      <c r="L275" s="64"/>
      <c r="M275" s="79"/>
    </row>
    <row r="276" spans="3:13" ht="13">
      <c r="C276" s="63"/>
      <c r="E276" s="104"/>
      <c r="F276" s="104"/>
      <c r="G276" s="104"/>
      <c r="H276" s="104"/>
      <c r="I276" s="104"/>
      <c r="J276" s="104"/>
      <c r="K276" s="104"/>
      <c r="L276" s="64"/>
      <c r="M276" s="79"/>
    </row>
    <row r="277" spans="3:13" ht="13">
      <c r="C277" s="63"/>
      <c r="E277" s="104"/>
      <c r="F277" s="104"/>
      <c r="G277" s="104"/>
      <c r="H277" s="104"/>
      <c r="I277" s="104"/>
      <c r="J277" s="104"/>
      <c r="K277" s="104"/>
      <c r="L277" s="64"/>
      <c r="M277" s="79"/>
    </row>
    <row r="278" spans="3:13" ht="13">
      <c r="C278" s="63"/>
      <c r="E278" s="104"/>
      <c r="F278" s="104"/>
      <c r="G278" s="104"/>
      <c r="H278" s="104"/>
      <c r="I278" s="104"/>
      <c r="J278" s="104"/>
      <c r="K278" s="104"/>
      <c r="L278" s="64"/>
      <c r="M278" s="79"/>
    </row>
    <row r="279" spans="3:13" ht="13">
      <c r="C279" s="63"/>
      <c r="E279" s="104"/>
      <c r="F279" s="104"/>
      <c r="G279" s="104"/>
      <c r="H279" s="104"/>
      <c r="I279" s="104"/>
      <c r="J279" s="104"/>
      <c r="K279" s="104"/>
      <c r="L279" s="64"/>
      <c r="M279" s="79"/>
    </row>
    <row r="280" spans="3:13" ht="13">
      <c r="C280" s="63"/>
      <c r="E280" s="104"/>
      <c r="F280" s="104"/>
      <c r="G280" s="104"/>
      <c r="H280" s="104"/>
      <c r="I280" s="104"/>
      <c r="J280" s="104"/>
      <c r="K280" s="104"/>
      <c r="L280" s="64"/>
      <c r="M280" s="79"/>
    </row>
    <row r="281" spans="3:13" ht="13">
      <c r="C281" s="63"/>
      <c r="E281" s="104"/>
      <c r="F281" s="104"/>
      <c r="G281" s="104"/>
      <c r="H281" s="104"/>
      <c r="I281" s="104"/>
      <c r="J281" s="104"/>
      <c r="K281" s="104"/>
      <c r="L281" s="64"/>
      <c r="M281" s="79"/>
    </row>
    <row r="282" spans="3:13" ht="13">
      <c r="C282" s="63"/>
      <c r="E282" s="104"/>
      <c r="F282" s="104"/>
      <c r="G282" s="104"/>
      <c r="H282" s="104"/>
      <c r="I282" s="104"/>
      <c r="J282" s="104"/>
      <c r="K282" s="104"/>
      <c r="L282" s="64"/>
      <c r="M282" s="79"/>
    </row>
    <row r="283" spans="3:13" ht="13">
      <c r="C283" s="63"/>
      <c r="E283" s="104"/>
      <c r="F283" s="104"/>
      <c r="G283" s="104"/>
      <c r="H283" s="104"/>
      <c r="I283" s="104"/>
      <c r="J283" s="104"/>
      <c r="K283" s="104"/>
      <c r="L283" s="64"/>
      <c r="M283" s="79"/>
    </row>
    <row r="284" spans="3:13" ht="13">
      <c r="C284" s="63"/>
      <c r="E284" s="104"/>
      <c r="F284" s="104"/>
      <c r="G284" s="104"/>
      <c r="H284" s="104"/>
      <c r="I284" s="104"/>
      <c r="J284" s="104"/>
      <c r="K284" s="104"/>
      <c r="L284" s="64"/>
      <c r="M284" s="79"/>
    </row>
    <row r="285" spans="3:13" ht="13">
      <c r="C285" s="63"/>
      <c r="E285" s="104"/>
      <c r="F285" s="104"/>
      <c r="G285" s="104"/>
      <c r="H285" s="104"/>
      <c r="I285" s="104"/>
      <c r="J285" s="104"/>
      <c r="K285" s="104"/>
      <c r="L285" s="64"/>
      <c r="M285" s="79"/>
    </row>
    <row r="286" spans="3:13" ht="13">
      <c r="C286" s="63"/>
      <c r="E286" s="104"/>
      <c r="F286" s="104"/>
      <c r="G286" s="104"/>
      <c r="H286" s="104"/>
      <c r="I286" s="104"/>
      <c r="J286" s="104"/>
      <c r="K286" s="104"/>
      <c r="L286" s="64"/>
      <c r="M286" s="79"/>
    </row>
    <row r="287" spans="3:13" ht="13">
      <c r="C287" s="63"/>
      <c r="E287" s="104"/>
      <c r="F287" s="104"/>
      <c r="G287" s="104"/>
      <c r="H287" s="104"/>
      <c r="I287" s="104"/>
      <c r="J287" s="104"/>
      <c r="K287" s="104"/>
      <c r="L287" s="64"/>
      <c r="M287" s="79"/>
    </row>
    <row r="288" spans="3:13" ht="13">
      <c r="C288" s="63"/>
      <c r="E288" s="104"/>
      <c r="F288" s="104"/>
      <c r="G288" s="104"/>
      <c r="H288" s="104"/>
      <c r="I288" s="104"/>
      <c r="J288" s="104"/>
      <c r="K288" s="104"/>
      <c r="L288" s="64"/>
      <c r="M288" s="79"/>
    </row>
    <row r="289" spans="3:13" ht="13">
      <c r="C289" s="63"/>
      <c r="E289" s="104"/>
      <c r="F289" s="104"/>
      <c r="G289" s="104"/>
      <c r="H289" s="104"/>
      <c r="I289" s="104"/>
      <c r="J289" s="104"/>
      <c r="K289" s="104"/>
      <c r="L289" s="64"/>
      <c r="M289" s="79"/>
    </row>
    <row r="290" spans="3:13" ht="13">
      <c r="C290" s="63"/>
      <c r="E290" s="104"/>
      <c r="F290" s="104"/>
      <c r="G290" s="104"/>
      <c r="H290" s="104"/>
      <c r="I290" s="104"/>
      <c r="J290" s="104"/>
      <c r="K290" s="104"/>
      <c r="L290" s="64"/>
      <c r="M290" s="79"/>
    </row>
    <row r="291" spans="3:13" ht="13">
      <c r="C291" s="63"/>
      <c r="E291" s="104"/>
      <c r="F291" s="104"/>
      <c r="G291" s="104"/>
      <c r="H291" s="104"/>
      <c r="I291" s="104"/>
      <c r="J291" s="104"/>
      <c r="K291" s="104"/>
      <c r="L291" s="64"/>
      <c r="M291" s="79"/>
    </row>
    <row r="292" spans="3:13" ht="13">
      <c r="C292" s="63"/>
      <c r="E292" s="104"/>
      <c r="F292" s="104"/>
      <c r="G292" s="104"/>
      <c r="H292" s="104"/>
      <c r="I292" s="104"/>
      <c r="J292" s="104"/>
      <c r="K292" s="104"/>
      <c r="L292" s="64"/>
      <c r="M292" s="79"/>
    </row>
    <row r="293" spans="3:13" ht="13">
      <c r="C293" s="63"/>
      <c r="E293" s="104"/>
      <c r="F293" s="104"/>
      <c r="G293" s="104"/>
      <c r="H293" s="104"/>
      <c r="I293" s="104"/>
      <c r="J293" s="104"/>
      <c r="K293" s="104"/>
      <c r="L293" s="64"/>
      <c r="M293" s="79"/>
    </row>
    <row r="294" spans="3:13" ht="13">
      <c r="C294" s="63"/>
      <c r="E294" s="104"/>
      <c r="F294" s="104"/>
      <c r="G294" s="104"/>
      <c r="H294" s="104"/>
      <c r="I294" s="104"/>
      <c r="J294" s="104"/>
      <c r="K294" s="104"/>
      <c r="L294" s="64"/>
      <c r="M294" s="79"/>
    </row>
    <row r="295" spans="3:13" ht="13">
      <c r="C295" s="63"/>
      <c r="E295" s="104"/>
      <c r="F295" s="104"/>
      <c r="G295" s="104"/>
      <c r="H295" s="104"/>
      <c r="I295" s="104"/>
      <c r="J295" s="104"/>
      <c r="K295" s="104"/>
      <c r="L295" s="64"/>
      <c r="M295" s="79"/>
    </row>
    <row r="296" spans="3:13" ht="13">
      <c r="C296" s="63"/>
      <c r="E296" s="104"/>
      <c r="F296" s="104"/>
      <c r="G296" s="104"/>
      <c r="H296" s="104"/>
      <c r="I296" s="104"/>
      <c r="J296" s="104"/>
      <c r="K296" s="104"/>
      <c r="L296" s="64"/>
      <c r="M296" s="79"/>
    </row>
    <row r="297" spans="3:13" ht="13">
      <c r="C297" s="63"/>
      <c r="E297" s="104"/>
      <c r="F297" s="104"/>
      <c r="G297" s="104"/>
      <c r="H297" s="104"/>
      <c r="I297" s="104"/>
      <c r="J297" s="104"/>
      <c r="K297" s="104"/>
      <c r="L297" s="64"/>
      <c r="M297" s="79"/>
    </row>
    <row r="298" spans="3:13" ht="13">
      <c r="C298" s="63"/>
      <c r="E298" s="104"/>
      <c r="F298" s="104"/>
      <c r="G298" s="104"/>
      <c r="H298" s="104"/>
      <c r="I298" s="104"/>
      <c r="J298" s="104"/>
      <c r="K298" s="104"/>
      <c r="L298" s="64"/>
      <c r="M298" s="79"/>
    </row>
    <row r="299" spans="3:13" ht="13">
      <c r="C299" s="63"/>
      <c r="E299" s="104"/>
      <c r="F299" s="104"/>
      <c r="G299" s="104"/>
      <c r="H299" s="104"/>
      <c r="I299" s="104"/>
      <c r="J299" s="104"/>
      <c r="K299" s="104"/>
      <c r="L299" s="64"/>
      <c r="M299" s="79"/>
    </row>
    <row r="300" spans="3:13" ht="13">
      <c r="C300" s="63"/>
      <c r="E300" s="104"/>
      <c r="F300" s="104"/>
      <c r="G300" s="104"/>
      <c r="H300" s="104"/>
      <c r="I300" s="104"/>
      <c r="J300" s="104"/>
      <c r="K300" s="104"/>
      <c r="L300" s="64"/>
      <c r="M300" s="79"/>
    </row>
    <row r="301" spans="3:13" ht="13">
      <c r="C301" s="63"/>
      <c r="E301" s="104"/>
      <c r="F301" s="104"/>
      <c r="G301" s="104"/>
      <c r="H301" s="104"/>
      <c r="I301" s="104"/>
      <c r="J301" s="104"/>
      <c r="K301" s="104"/>
      <c r="L301" s="64"/>
      <c r="M301" s="79"/>
    </row>
    <row r="302" spans="3:13" ht="13">
      <c r="C302" s="63"/>
      <c r="E302" s="104"/>
      <c r="F302" s="104"/>
      <c r="G302" s="104"/>
      <c r="H302" s="104"/>
      <c r="I302" s="104"/>
      <c r="J302" s="104"/>
      <c r="K302" s="104"/>
      <c r="L302" s="64"/>
      <c r="M302" s="79"/>
    </row>
    <row r="303" spans="3:13" ht="13">
      <c r="C303" s="63"/>
      <c r="E303" s="104"/>
      <c r="F303" s="104"/>
      <c r="G303" s="104"/>
      <c r="H303" s="104"/>
      <c r="I303" s="104"/>
      <c r="J303" s="104"/>
      <c r="K303" s="104"/>
      <c r="L303" s="64"/>
      <c r="M303" s="79"/>
    </row>
    <row r="304" spans="3:13" ht="13">
      <c r="C304" s="63"/>
      <c r="E304" s="104"/>
      <c r="F304" s="104"/>
      <c r="G304" s="104"/>
      <c r="H304" s="104"/>
      <c r="I304" s="104"/>
      <c r="J304" s="104"/>
      <c r="K304" s="104"/>
      <c r="L304" s="64"/>
      <c r="M304" s="79"/>
    </row>
    <row r="305" spans="3:13" ht="13">
      <c r="C305" s="63"/>
      <c r="E305" s="104"/>
      <c r="F305" s="104"/>
      <c r="G305" s="104"/>
      <c r="H305" s="104"/>
      <c r="I305" s="104"/>
      <c r="J305" s="104"/>
      <c r="K305" s="104"/>
      <c r="L305" s="64"/>
      <c r="M305" s="79"/>
    </row>
    <row r="306" spans="3:13" ht="13">
      <c r="C306" s="63"/>
      <c r="E306" s="104"/>
      <c r="F306" s="104"/>
      <c r="G306" s="104"/>
      <c r="H306" s="104"/>
      <c r="I306" s="104"/>
      <c r="J306" s="104"/>
      <c r="K306" s="104"/>
      <c r="L306" s="64"/>
      <c r="M306" s="79"/>
    </row>
    <row r="307" spans="3:13" ht="13">
      <c r="C307" s="63"/>
      <c r="E307" s="104"/>
      <c r="F307" s="104"/>
      <c r="G307" s="104"/>
      <c r="H307" s="104"/>
      <c r="I307" s="104"/>
      <c r="J307" s="104"/>
      <c r="K307" s="104"/>
      <c r="L307" s="64"/>
      <c r="M307" s="79"/>
    </row>
    <row r="308" spans="3:13" ht="13">
      <c r="C308" s="63"/>
      <c r="E308" s="104"/>
      <c r="F308" s="104"/>
      <c r="G308" s="104"/>
      <c r="H308" s="104"/>
      <c r="I308" s="104"/>
      <c r="J308" s="104"/>
      <c r="K308" s="104"/>
      <c r="L308" s="64"/>
      <c r="M308" s="79"/>
    </row>
    <row r="309" spans="3:13" ht="13">
      <c r="C309" s="63"/>
      <c r="E309" s="104"/>
      <c r="F309" s="104"/>
      <c r="G309" s="104"/>
      <c r="H309" s="104"/>
      <c r="I309" s="104"/>
      <c r="J309" s="104"/>
      <c r="K309" s="104"/>
      <c r="L309" s="64"/>
      <c r="M309" s="79"/>
    </row>
    <row r="310" spans="3:13" ht="13">
      <c r="C310" s="63"/>
      <c r="E310" s="104"/>
      <c r="F310" s="104"/>
      <c r="G310" s="104"/>
      <c r="H310" s="104"/>
      <c r="I310" s="104"/>
      <c r="J310" s="104"/>
      <c r="K310" s="104"/>
      <c r="L310" s="64"/>
      <c r="M310" s="79"/>
    </row>
    <row r="311" spans="3:13" ht="13">
      <c r="C311" s="63"/>
      <c r="E311" s="104"/>
      <c r="F311" s="104"/>
      <c r="G311" s="104"/>
      <c r="H311" s="104"/>
      <c r="I311" s="104"/>
      <c r="J311" s="104"/>
      <c r="K311" s="104"/>
      <c r="L311" s="64"/>
      <c r="M311" s="79"/>
    </row>
    <row r="312" spans="3:13" ht="13">
      <c r="C312" s="63"/>
      <c r="E312" s="104"/>
      <c r="F312" s="104"/>
      <c r="G312" s="104"/>
      <c r="H312" s="104"/>
      <c r="I312" s="104"/>
      <c r="J312" s="104"/>
      <c r="K312" s="104"/>
      <c r="L312" s="64"/>
      <c r="M312" s="79"/>
    </row>
    <row r="313" spans="3:13" ht="13">
      <c r="C313" s="63"/>
      <c r="E313" s="104"/>
      <c r="F313" s="104"/>
      <c r="G313" s="104"/>
      <c r="H313" s="104"/>
      <c r="I313" s="104"/>
      <c r="J313" s="104"/>
      <c r="K313" s="104"/>
      <c r="L313" s="64"/>
      <c r="M313" s="79"/>
    </row>
    <row r="314" spans="3:13" ht="13">
      <c r="C314" s="63"/>
      <c r="E314" s="104"/>
      <c r="F314" s="104"/>
      <c r="G314" s="104"/>
      <c r="H314" s="104"/>
      <c r="I314" s="104"/>
      <c r="J314" s="104"/>
      <c r="K314" s="104"/>
      <c r="L314" s="64"/>
      <c r="M314" s="79"/>
    </row>
    <row r="315" spans="3:13" ht="13">
      <c r="C315" s="63"/>
      <c r="E315" s="104"/>
      <c r="F315" s="104"/>
      <c r="G315" s="104"/>
      <c r="H315" s="104"/>
      <c r="I315" s="104"/>
      <c r="J315" s="104"/>
      <c r="K315" s="104"/>
      <c r="L315" s="64"/>
      <c r="M315" s="79"/>
    </row>
    <row r="316" spans="3:13" ht="13">
      <c r="C316" s="63"/>
      <c r="E316" s="104"/>
      <c r="F316" s="104"/>
      <c r="G316" s="104"/>
      <c r="H316" s="104"/>
      <c r="I316" s="104"/>
      <c r="J316" s="104"/>
      <c r="K316" s="104"/>
      <c r="L316" s="64"/>
      <c r="M316" s="79"/>
    </row>
    <row r="317" spans="3:13" ht="13">
      <c r="C317" s="63"/>
      <c r="E317" s="104"/>
      <c r="F317" s="104"/>
      <c r="G317" s="104"/>
      <c r="H317" s="104"/>
      <c r="I317" s="104"/>
      <c r="J317" s="104"/>
      <c r="K317" s="104"/>
      <c r="L317" s="64"/>
      <c r="M317" s="79"/>
    </row>
    <row r="318" spans="3:13" ht="13">
      <c r="C318" s="63"/>
      <c r="E318" s="104"/>
      <c r="F318" s="104"/>
      <c r="G318" s="104"/>
      <c r="H318" s="104"/>
      <c r="I318" s="104"/>
      <c r="J318" s="104"/>
      <c r="K318" s="104"/>
      <c r="L318" s="64"/>
      <c r="M318" s="79"/>
    </row>
    <row r="319" spans="3:13" ht="13">
      <c r="C319" s="63"/>
      <c r="E319" s="104"/>
      <c r="F319" s="104"/>
      <c r="G319" s="104"/>
      <c r="H319" s="104"/>
      <c r="I319" s="104"/>
      <c r="J319" s="104"/>
      <c r="K319" s="104"/>
      <c r="L319" s="64"/>
      <c r="M319" s="79"/>
    </row>
    <row r="320" spans="3:13" ht="13">
      <c r="C320" s="63"/>
      <c r="E320" s="104"/>
      <c r="F320" s="104"/>
      <c r="G320" s="104"/>
      <c r="H320" s="104"/>
      <c r="I320" s="104"/>
      <c r="J320" s="104"/>
      <c r="K320" s="104"/>
      <c r="L320" s="64"/>
      <c r="M320" s="79"/>
    </row>
    <row r="321" spans="3:13" ht="13">
      <c r="C321" s="63"/>
      <c r="E321" s="104"/>
      <c r="F321" s="104"/>
      <c r="G321" s="104"/>
      <c r="H321" s="104"/>
      <c r="I321" s="104"/>
      <c r="J321" s="104"/>
      <c r="K321" s="104"/>
      <c r="L321" s="64"/>
      <c r="M321" s="79"/>
    </row>
    <row r="322" spans="3:13" ht="13">
      <c r="C322" s="63"/>
      <c r="E322" s="104"/>
      <c r="F322" s="104"/>
      <c r="G322" s="104"/>
      <c r="H322" s="104"/>
      <c r="I322" s="104"/>
      <c r="J322" s="104"/>
      <c r="K322" s="104"/>
      <c r="L322" s="64"/>
      <c r="M322" s="79"/>
    </row>
    <row r="323" spans="3:13" ht="13">
      <c r="C323" s="63"/>
      <c r="E323" s="104"/>
      <c r="F323" s="104"/>
      <c r="G323" s="104"/>
      <c r="H323" s="104"/>
      <c r="I323" s="104"/>
      <c r="J323" s="104"/>
      <c r="K323" s="104"/>
      <c r="L323" s="64"/>
      <c r="M323" s="79"/>
    </row>
    <row r="324" spans="3:13" ht="13">
      <c r="C324" s="63"/>
      <c r="E324" s="104"/>
      <c r="F324" s="104"/>
      <c r="G324" s="104"/>
      <c r="H324" s="104"/>
      <c r="I324" s="104"/>
      <c r="J324" s="104"/>
      <c r="K324" s="104"/>
      <c r="L324" s="64"/>
      <c r="M324" s="79"/>
    </row>
    <row r="325" spans="3:13" ht="13">
      <c r="C325" s="63"/>
      <c r="E325" s="104"/>
      <c r="F325" s="104"/>
      <c r="G325" s="104"/>
      <c r="H325" s="104"/>
      <c r="I325" s="104"/>
      <c r="J325" s="104"/>
      <c r="K325" s="104"/>
      <c r="L325" s="64"/>
      <c r="M325" s="79"/>
    </row>
    <row r="326" spans="3:13" ht="13">
      <c r="C326" s="63"/>
      <c r="E326" s="104"/>
      <c r="F326" s="104"/>
      <c r="G326" s="104"/>
      <c r="H326" s="104"/>
      <c r="I326" s="104"/>
      <c r="J326" s="104"/>
      <c r="K326" s="104"/>
      <c r="L326" s="64"/>
      <c r="M326" s="79"/>
    </row>
    <row r="327" spans="3:13" ht="13">
      <c r="C327" s="63"/>
      <c r="E327" s="104"/>
      <c r="F327" s="104"/>
      <c r="G327" s="104"/>
      <c r="H327" s="104"/>
      <c r="I327" s="104"/>
      <c r="J327" s="104"/>
      <c r="K327" s="104"/>
      <c r="L327" s="64"/>
      <c r="M327" s="79"/>
    </row>
    <row r="328" spans="3:13" ht="13">
      <c r="C328" s="63"/>
      <c r="E328" s="104"/>
      <c r="F328" s="104"/>
      <c r="G328" s="104"/>
      <c r="H328" s="104"/>
      <c r="I328" s="104"/>
      <c r="J328" s="104"/>
      <c r="K328" s="104"/>
      <c r="L328" s="64"/>
      <c r="M328" s="79"/>
    </row>
    <row r="329" spans="3:13" ht="13">
      <c r="C329" s="63"/>
      <c r="E329" s="104"/>
      <c r="F329" s="104"/>
      <c r="G329" s="104"/>
      <c r="H329" s="104"/>
      <c r="I329" s="104"/>
      <c r="J329" s="104"/>
      <c r="K329" s="104"/>
      <c r="L329" s="64"/>
      <c r="M329" s="79"/>
    </row>
    <row r="330" spans="3:13" ht="13">
      <c r="C330" s="63"/>
      <c r="E330" s="104"/>
      <c r="F330" s="104"/>
      <c r="G330" s="104"/>
      <c r="H330" s="104"/>
      <c r="I330" s="104"/>
      <c r="J330" s="104"/>
      <c r="K330" s="104"/>
      <c r="L330" s="64"/>
      <c r="M330" s="79"/>
    </row>
    <row r="331" spans="3:13" ht="13">
      <c r="C331" s="63"/>
      <c r="E331" s="104"/>
      <c r="F331" s="104"/>
      <c r="G331" s="104"/>
      <c r="H331" s="104"/>
      <c r="I331" s="104"/>
      <c r="J331" s="104"/>
      <c r="K331" s="104"/>
      <c r="L331" s="64"/>
      <c r="M331" s="79"/>
    </row>
    <row r="332" spans="3:13" ht="13">
      <c r="C332" s="63"/>
      <c r="E332" s="104"/>
      <c r="F332" s="104"/>
      <c r="G332" s="104"/>
      <c r="H332" s="104"/>
      <c r="I332" s="104"/>
      <c r="J332" s="104"/>
      <c r="K332" s="104"/>
      <c r="L332" s="64"/>
      <c r="M332" s="79"/>
    </row>
    <row r="333" spans="3:13" ht="13">
      <c r="C333" s="63"/>
      <c r="E333" s="104"/>
      <c r="F333" s="104"/>
      <c r="G333" s="104"/>
      <c r="H333" s="104"/>
      <c r="I333" s="104"/>
      <c r="J333" s="104"/>
      <c r="K333" s="104"/>
      <c r="L333" s="64"/>
      <c r="M333" s="79"/>
    </row>
    <row r="334" spans="3:13" ht="13">
      <c r="C334" s="63"/>
      <c r="E334" s="104"/>
      <c r="F334" s="104"/>
      <c r="G334" s="104"/>
      <c r="H334" s="104"/>
      <c r="I334" s="104"/>
      <c r="J334" s="104"/>
      <c r="K334" s="104"/>
      <c r="L334" s="64"/>
      <c r="M334" s="79"/>
    </row>
    <row r="335" spans="3:13" ht="13">
      <c r="C335" s="63"/>
      <c r="E335" s="104"/>
      <c r="F335" s="104"/>
      <c r="G335" s="104"/>
      <c r="H335" s="104"/>
      <c r="I335" s="104"/>
      <c r="J335" s="104"/>
      <c r="K335" s="104"/>
      <c r="L335" s="64"/>
      <c r="M335" s="79"/>
    </row>
    <row r="336" spans="3:13" ht="13">
      <c r="C336" s="63"/>
      <c r="E336" s="104"/>
      <c r="F336" s="104"/>
      <c r="G336" s="104"/>
      <c r="H336" s="104"/>
      <c r="I336" s="104"/>
      <c r="J336" s="104"/>
      <c r="K336" s="104"/>
      <c r="L336" s="64"/>
      <c r="M336" s="79"/>
    </row>
    <row r="337" spans="3:13" ht="13">
      <c r="C337" s="63"/>
      <c r="E337" s="104"/>
      <c r="F337" s="104"/>
      <c r="G337" s="104"/>
      <c r="H337" s="104"/>
      <c r="I337" s="104"/>
      <c r="J337" s="104"/>
      <c r="K337" s="104"/>
      <c r="L337" s="64"/>
      <c r="M337" s="79"/>
    </row>
    <row r="338" spans="3:13" ht="13">
      <c r="C338" s="63"/>
      <c r="E338" s="104"/>
      <c r="F338" s="104"/>
      <c r="G338" s="104"/>
      <c r="H338" s="104"/>
      <c r="I338" s="104"/>
      <c r="J338" s="104"/>
      <c r="K338" s="104"/>
      <c r="L338" s="64"/>
      <c r="M338" s="79"/>
    </row>
    <row r="339" spans="3:13" ht="13">
      <c r="C339" s="63"/>
      <c r="E339" s="104"/>
      <c r="F339" s="104"/>
      <c r="G339" s="104"/>
      <c r="H339" s="104"/>
      <c r="I339" s="104"/>
      <c r="J339" s="104"/>
      <c r="K339" s="104"/>
      <c r="L339" s="64"/>
      <c r="M339" s="79"/>
    </row>
    <row r="340" spans="3:13" ht="13">
      <c r="C340" s="63"/>
      <c r="E340" s="104"/>
      <c r="F340" s="104"/>
      <c r="G340" s="104"/>
      <c r="H340" s="104"/>
      <c r="I340" s="104"/>
      <c r="J340" s="104"/>
      <c r="K340" s="104"/>
      <c r="L340" s="64"/>
      <c r="M340" s="79"/>
    </row>
    <row r="341" spans="3:13" ht="13">
      <c r="C341" s="63"/>
      <c r="E341" s="104"/>
      <c r="F341" s="104"/>
      <c r="G341" s="104"/>
      <c r="H341" s="104"/>
      <c r="I341" s="104"/>
      <c r="J341" s="104"/>
      <c r="K341" s="104"/>
      <c r="L341" s="64"/>
      <c r="M341" s="79"/>
    </row>
    <row r="342" spans="3:13" ht="13">
      <c r="C342" s="63"/>
      <c r="E342" s="104"/>
      <c r="F342" s="104"/>
      <c r="G342" s="104"/>
      <c r="H342" s="104"/>
      <c r="I342" s="104"/>
      <c r="J342" s="104"/>
      <c r="K342" s="104"/>
      <c r="L342" s="64"/>
      <c r="M342" s="79"/>
    </row>
    <row r="343" spans="3:13" ht="13">
      <c r="C343" s="63"/>
      <c r="E343" s="104"/>
      <c r="F343" s="104"/>
      <c r="G343" s="104"/>
      <c r="H343" s="104"/>
      <c r="I343" s="104"/>
      <c r="J343" s="104"/>
      <c r="K343" s="104"/>
      <c r="L343" s="64"/>
      <c r="M343" s="79"/>
    </row>
    <row r="344" spans="3:13" ht="13">
      <c r="C344" s="63"/>
      <c r="E344" s="104"/>
      <c r="F344" s="104"/>
      <c r="G344" s="104"/>
      <c r="H344" s="104"/>
      <c r="I344" s="104"/>
      <c r="J344" s="104"/>
      <c r="K344" s="104"/>
      <c r="L344" s="64"/>
      <c r="M344" s="79"/>
    </row>
    <row r="345" spans="3:13" ht="13">
      <c r="C345" s="63"/>
      <c r="E345" s="104"/>
      <c r="F345" s="104"/>
      <c r="G345" s="104"/>
      <c r="H345" s="104"/>
      <c r="I345" s="104"/>
      <c r="J345" s="104"/>
      <c r="K345" s="104"/>
      <c r="L345" s="64"/>
      <c r="M345" s="79"/>
    </row>
    <row r="346" spans="3:13" ht="13">
      <c r="C346" s="63"/>
      <c r="E346" s="104"/>
      <c r="F346" s="104"/>
      <c r="G346" s="104"/>
      <c r="H346" s="104"/>
      <c r="I346" s="104"/>
      <c r="J346" s="104"/>
      <c r="K346" s="104"/>
      <c r="L346" s="64"/>
      <c r="M346" s="79"/>
    </row>
    <row r="347" spans="3:13" ht="13">
      <c r="C347" s="63"/>
      <c r="E347" s="104"/>
      <c r="F347" s="104"/>
      <c r="G347" s="104"/>
      <c r="H347" s="104"/>
      <c r="I347" s="104"/>
      <c r="J347" s="104"/>
      <c r="K347" s="104"/>
      <c r="L347" s="64"/>
      <c r="M347" s="79"/>
    </row>
    <row r="348" spans="3:13" ht="13">
      <c r="C348" s="63"/>
      <c r="E348" s="104"/>
      <c r="F348" s="104"/>
      <c r="G348" s="104"/>
      <c r="H348" s="104"/>
      <c r="I348" s="104"/>
      <c r="J348" s="104"/>
      <c r="K348" s="104"/>
      <c r="L348" s="64"/>
      <c r="M348" s="79"/>
    </row>
    <row r="349" spans="3:13" ht="13">
      <c r="C349" s="63"/>
      <c r="E349" s="104"/>
      <c r="F349" s="104"/>
      <c r="G349" s="104"/>
      <c r="H349" s="104"/>
      <c r="I349" s="104"/>
      <c r="J349" s="104"/>
      <c r="K349" s="104"/>
      <c r="L349" s="64"/>
      <c r="M349" s="79"/>
    </row>
    <row r="350" spans="3:13" ht="13">
      <c r="C350" s="63"/>
      <c r="E350" s="104"/>
      <c r="F350" s="104"/>
      <c r="G350" s="104"/>
      <c r="H350" s="104"/>
      <c r="I350" s="104"/>
      <c r="J350" s="104"/>
      <c r="K350" s="104"/>
      <c r="L350" s="64"/>
      <c r="M350" s="79"/>
    </row>
    <row r="351" spans="3:13" ht="13">
      <c r="C351" s="63"/>
      <c r="E351" s="104"/>
      <c r="F351" s="104"/>
      <c r="G351" s="104"/>
      <c r="H351" s="104"/>
      <c r="I351" s="104"/>
      <c r="J351" s="104"/>
      <c r="K351" s="104"/>
      <c r="L351" s="64"/>
      <c r="M351" s="79"/>
    </row>
    <row r="352" spans="3:13" ht="13">
      <c r="C352" s="63"/>
      <c r="E352" s="104"/>
      <c r="F352" s="104"/>
      <c r="G352" s="104"/>
      <c r="H352" s="104"/>
      <c r="I352" s="104"/>
      <c r="J352" s="104"/>
      <c r="K352" s="104"/>
      <c r="L352" s="64"/>
      <c r="M352" s="79"/>
    </row>
    <row r="353" spans="3:13" ht="13">
      <c r="C353" s="63"/>
      <c r="E353" s="104"/>
      <c r="F353" s="104"/>
      <c r="G353" s="104"/>
      <c r="H353" s="104"/>
      <c r="I353" s="104"/>
      <c r="J353" s="104"/>
      <c r="K353" s="104"/>
      <c r="L353" s="64"/>
      <c r="M353" s="79"/>
    </row>
    <row r="354" spans="3:13" ht="13">
      <c r="C354" s="63"/>
      <c r="E354" s="104"/>
      <c r="F354" s="104"/>
      <c r="G354" s="104"/>
      <c r="H354" s="104"/>
      <c r="I354" s="104"/>
      <c r="J354" s="104"/>
      <c r="K354" s="104"/>
      <c r="L354" s="64"/>
      <c r="M354" s="79"/>
    </row>
    <row r="355" spans="3:13" ht="13">
      <c r="C355" s="63"/>
      <c r="E355" s="104"/>
      <c r="F355" s="104"/>
      <c r="G355" s="104"/>
      <c r="H355" s="104"/>
      <c r="I355" s="104"/>
      <c r="J355" s="104"/>
      <c r="K355" s="104"/>
      <c r="L355" s="64"/>
      <c r="M355" s="79"/>
    </row>
    <row r="356" spans="3:13" ht="13">
      <c r="C356" s="63"/>
      <c r="E356" s="104"/>
      <c r="F356" s="104"/>
      <c r="G356" s="104"/>
      <c r="H356" s="104"/>
      <c r="I356" s="104"/>
      <c r="J356" s="104"/>
      <c r="K356" s="104"/>
      <c r="L356" s="64"/>
      <c r="M356" s="79"/>
    </row>
    <row r="357" spans="3:13" ht="13">
      <c r="C357" s="63"/>
      <c r="E357" s="104"/>
      <c r="F357" s="104"/>
      <c r="G357" s="104"/>
      <c r="H357" s="104"/>
      <c r="I357" s="104"/>
      <c r="J357" s="104"/>
      <c r="K357" s="104"/>
      <c r="L357" s="64"/>
      <c r="M357" s="79"/>
    </row>
    <row r="358" spans="3:13" ht="13">
      <c r="C358" s="63"/>
      <c r="E358" s="104"/>
      <c r="F358" s="104"/>
      <c r="G358" s="104"/>
      <c r="H358" s="104"/>
      <c r="I358" s="104"/>
      <c r="J358" s="104"/>
      <c r="K358" s="104"/>
      <c r="L358" s="64"/>
      <c r="M358" s="79"/>
    </row>
    <row r="359" spans="3:13" ht="13">
      <c r="C359" s="63"/>
      <c r="E359" s="104"/>
      <c r="F359" s="104"/>
      <c r="G359" s="104"/>
      <c r="H359" s="104"/>
      <c r="I359" s="104"/>
      <c r="J359" s="104"/>
      <c r="K359" s="104"/>
      <c r="L359" s="64"/>
      <c r="M359" s="79"/>
    </row>
    <row r="360" spans="3:13" ht="13">
      <c r="C360" s="63"/>
      <c r="E360" s="104"/>
      <c r="F360" s="104"/>
      <c r="G360" s="104"/>
      <c r="H360" s="104"/>
      <c r="I360" s="104"/>
      <c r="J360" s="104"/>
      <c r="K360" s="104"/>
      <c r="L360" s="64"/>
      <c r="M360" s="79"/>
    </row>
    <row r="361" spans="3:13" ht="13">
      <c r="C361" s="63"/>
      <c r="E361" s="104"/>
      <c r="F361" s="104"/>
      <c r="G361" s="104"/>
      <c r="H361" s="104"/>
      <c r="I361" s="104"/>
      <c r="J361" s="104"/>
      <c r="K361" s="104"/>
      <c r="L361" s="64"/>
      <c r="M361" s="79"/>
    </row>
    <row r="362" spans="3:13" ht="13">
      <c r="C362" s="63"/>
      <c r="E362" s="104"/>
      <c r="F362" s="104"/>
      <c r="G362" s="104"/>
      <c r="H362" s="104"/>
      <c r="I362" s="104"/>
      <c r="J362" s="104"/>
      <c r="K362" s="104"/>
      <c r="L362" s="64"/>
      <c r="M362" s="79"/>
    </row>
    <row r="363" spans="3:13" ht="13">
      <c r="C363" s="63"/>
      <c r="E363" s="104"/>
      <c r="F363" s="104"/>
      <c r="G363" s="104"/>
      <c r="H363" s="104"/>
      <c r="I363" s="104"/>
      <c r="J363" s="104"/>
      <c r="K363" s="104"/>
      <c r="L363" s="64"/>
      <c r="M363" s="79"/>
    </row>
    <row r="364" spans="3:13" ht="13">
      <c r="C364" s="63"/>
      <c r="E364" s="104"/>
      <c r="F364" s="104"/>
      <c r="G364" s="104"/>
      <c r="H364" s="104"/>
      <c r="I364" s="104"/>
      <c r="J364" s="104"/>
      <c r="K364" s="104"/>
      <c r="L364" s="64"/>
      <c r="M364" s="79"/>
    </row>
    <row r="365" spans="3:13" ht="13">
      <c r="C365" s="63"/>
      <c r="E365" s="104"/>
      <c r="F365" s="104"/>
      <c r="G365" s="104"/>
      <c r="H365" s="104"/>
      <c r="I365" s="104"/>
      <c r="J365" s="104"/>
      <c r="K365" s="104"/>
      <c r="L365" s="64"/>
      <c r="M365" s="79"/>
    </row>
    <row r="366" spans="3:13" ht="13">
      <c r="C366" s="63"/>
      <c r="E366" s="104"/>
      <c r="F366" s="104"/>
      <c r="G366" s="104"/>
      <c r="H366" s="104"/>
      <c r="I366" s="104"/>
      <c r="J366" s="104"/>
      <c r="K366" s="104"/>
      <c r="L366" s="64"/>
      <c r="M366" s="79"/>
    </row>
    <row r="367" spans="3:13" ht="13">
      <c r="C367" s="63"/>
      <c r="E367" s="104"/>
      <c r="F367" s="104"/>
      <c r="G367" s="104"/>
      <c r="H367" s="104"/>
      <c r="I367" s="104"/>
      <c r="J367" s="104"/>
      <c r="K367" s="104"/>
      <c r="L367" s="64"/>
      <c r="M367" s="79"/>
    </row>
    <row r="368" spans="3:13" ht="13">
      <c r="C368" s="63"/>
      <c r="E368" s="104"/>
      <c r="F368" s="104"/>
      <c r="G368" s="104"/>
      <c r="H368" s="104"/>
      <c r="I368" s="104"/>
      <c r="J368" s="104"/>
      <c r="K368" s="104"/>
      <c r="L368" s="64"/>
      <c r="M368" s="79"/>
    </row>
    <row r="369" spans="3:13" ht="13">
      <c r="C369" s="63"/>
      <c r="E369" s="104"/>
      <c r="F369" s="104"/>
      <c r="G369" s="104"/>
      <c r="H369" s="104"/>
      <c r="I369" s="104"/>
      <c r="J369" s="104"/>
      <c r="K369" s="104"/>
      <c r="L369" s="64"/>
      <c r="M369" s="79"/>
    </row>
    <row r="370" spans="3:13" ht="13">
      <c r="C370" s="63"/>
      <c r="E370" s="104"/>
      <c r="F370" s="104"/>
      <c r="G370" s="104"/>
      <c r="H370" s="104"/>
      <c r="I370" s="104"/>
      <c r="J370" s="104"/>
      <c r="K370" s="104"/>
      <c r="L370" s="64"/>
      <c r="M370" s="79"/>
    </row>
    <row r="371" spans="3:13" ht="13">
      <c r="C371" s="63"/>
      <c r="E371" s="104"/>
      <c r="F371" s="104"/>
      <c r="G371" s="104"/>
      <c r="H371" s="104"/>
      <c r="I371" s="104"/>
      <c r="J371" s="104"/>
      <c r="K371" s="104"/>
      <c r="L371" s="64"/>
      <c r="M371" s="79"/>
    </row>
    <row r="372" spans="3:13" ht="13">
      <c r="C372" s="63"/>
      <c r="E372" s="104"/>
      <c r="F372" s="104"/>
      <c r="G372" s="104"/>
      <c r="H372" s="104"/>
      <c r="I372" s="104"/>
      <c r="J372" s="104"/>
      <c r="K372" s="104"/>
      <c r="L372" s="64"/>
      <c r="M372" s="79"/>
    </row>
    <row r="373" spans="3:13" ht="13">
      <c r="C373" s="63"/>
      <c r="E373" s="104"/>
      <c r="F373" s="104"/>
      <c r="G373" s="104"/>
      <c r="H373" s="104"/>
      <c r="I373" s="104"/>
      <c r="J373" s="104"/>
      <c r="K373" s="104"/>
      <c r="L373" s="64"/>
      <c r="M373" s="79"/>
    </row>
    <row r="374" spans="3:13" ht="13">
      <c r="C374" s="63"/>
      <c r="E374" s="104"/>
      <c r="F374" s="104"/>
      <c r="G374" s="104"/>
      <c r="H374" s="104"/>
      <c r="I374" s="104"/>
      <c r="J374" s="104"/>
      <c r="K374" s="104"/>
      <c r="L374" s="64"/>
      <c r="M374" s="79"/>
    </row>
    <row r="375" spans="3:13" ht="13">
      <c r="C375" s="63"/>
      <c r="E375" s="104"/>
      <c r="F375" s="104"/>
      <c r="G375" s="104"/>
      <c r="H375" s="104"/>
      <c r="I375" s="104"/>
      <c r="J375" s="104"/>
      <c r="K375" s="104"/>
      <c r="L375" s="64"/>
      <c r="M375" s="79"/>
    </row>
    <row r="376" spans="3:13" ht="13">
      <c r="C376" s="63"/>
      <c r="E376" s="104"/>
      <c r="F376" s="104"/>
      <c r="G376" s="104"/>
      <c r="H376" s="104"/>
      <c r="I376" s="104"/>
      <c r="J376" s="104"/>
      <c r="K376" s="104"/>
      <c r="L376" s="64"/>
      <c r="M376" s="79"/>
    </row>
    <row r="377" spans="3:13" ht="13">
      <c r="C377" s="63"/>
      <c r="E377" s="104"/>
      <c r="F377" s="104"/>
      <c r="G377" s="104"/>
      <c r="H377" s="104"/>
      <c r="I377" s="104"/>
      <c r="J377" s="104"/>
      <c r="K377" s="104"/>
      <c r="L377" s="64"/>
      <c r="M377" s="79"/>
    </row>
    <row r="378" spans="3:13" ht="13">
      <c r="C378" s="63"/>
      <c r="E378" s="104"/>
      <c r="F378" s="104"/>
      <c r="G378" s="104"/>
      <c r="H378" s="104"/>
      <c r="I378" s="104"/>
      <c r="J378" s="104"/>
      <c r="K378" s="104"/>
      <c r="L378" s="64"/>
      <c r="M378" s="79"/>
    </row>
    <row r="379" spans="3:13" ht="13">
      <c r="C379" s="63"/>
      <c r="E379" s="104"/>
      <c r="F379" s="104"/>
      <c r="G379" s="104"/>
      <c r="H379" s="104"/>
      <c r="I379" s="104"/>
      <c r="J379" s="104"/>
      <c r="K379" s="104"/>
      <c r="L379" s="64"/>
      <c r="M379" s="79"/>
    </row>
    <row r="380" spans="3:13" ht="13">
      <c r="C380" s="63"/>
      <c r="E380" s="104"/>
      <c r="F380" s="104"/>
      <c r="G380" s="104"/>
      <c r="H380" s="104"/>
      <c r="I380" s="104"/>
      <c r="J380" s="104"/>
      <c r="K380" s="104"/>
      <c r="L380" s="64"/>
      <c r="M380" s="79"/>
    </row>
    <row r="381" spans="3:13" ht="13">
      <c r="C381" s="63"/>
      <c r="E381" s="104"/>
      <c r="F381" s="104"/>
      <c r="G381" s="104"/>
      <c r="H381" s="104"/>
      <c r="I381" s="104"/>
      <c r="J381" s="104"/>
      <c r="K381" s="104"/>
      <c r="L381" s="64"/>
      <c r="M381" s="79"/>
    </row>
    <row r="382" spans="3:13" ht="13">
      <c r="C382" s="63"/>
      <c r="E382" s="104"/>
      <c r="F382" s="104"/>
      <c r="G382" s="104"/>
      <c r="H382" s="104"/>
      <c r="I382" s="104"/>
      <c r="J382" s="104"/>
      <c r="K382" s="104"/>
      <c r="L382" s="64"/>
      <c r="M382" s="79"/>
    </row>
    <row r="383" spans="3:13" ht="13">
      <c r="C383" s="63"/>
      <c r="E383" s="104"/>
      <c r="F383" s="104"/>
      <c r="G383" s="104"/>
      <c r="H383" s="104"/>
      <c r="I383" s="104"/>
      <c r="J383" s="104"/>
      <c r="K383" s="104"/>
      <c r="L383" s="64"/>
      <c r="M383" s="79"/>
    </row>
    <row r="384" spans="3:13" ht="13">
      <c r="C384" s="63"/>
      <c r="E384" s="104"/>
      <c r="F384" s="104"/>
      <c r="G384" s="104"/>
      <c r="H384" s="104"/>
      <c r="I384" s="104"/>
      <c r="J384" s="104"/>
      <c r="K384" s="104"/>
      <c r="L384" s="64"/>
      <c r="M384" s="79"/>
    </row>
    <row r="385" spans="3:13" ht="13">
      <c r="C385" s="63"/>
      <c r="E385" s="104"/>
      <c r="F385" s="104"/>
      <c r="G385" s="104"/>
      <c r="H385" s="104"/>
      <c r="I385" s="104"/>
      <c r="J385" s="104"/>
      <c r="K385" s="104"/>
      <c r="L385" s="64"/>
      <c r="M385" s="79"/>
    </row>
    <row r="386" spans="3:13" ht="13">
      <c r="C386" s="63"/>
      <c r="E386" s="104"/>
      <c r="F386" s="104"/>
      <c r="G386" s="104"/>
      <c r="H386" s="104"/>
      <c r="I386" s="104"/>
      <c r="J386" s="104"/>
      <c r="K386" s="104"/>
      <c r="L386" s="64"/>
      <c r="M386" s="79"/>
    </row>
    <row r="387" spans="3:13" ht="13">
      <c r="C387" s="63"/>
      <c r="E387" s="104"/>
      <c r="F387" s="104"/>
      <c r="G387" s="104"/>
      <c r="H387" s="104"/>
      <c r="I387" s="104"/>
      <c r="J387" s="104"/>
      <c r="K387" s="104"/>
      <c r="L387" s="64"/>
      <c r="M387" s="79"/>
    </row>
    <row r="388" spans="3:13" ht="13">
      <c r="C388" s="63"/>
      <c r="E388" s="104"/>
      <c r="F388" s="104"/>
      <c r="G388" s="104"/>
      <c r="H388" s="104"/>
      <c r="I388" s="104"/>
      <c r="J388" s="104"/>
      <c r="K388" s="104"/>
      <c r="L388" s="64"/>
      <c r="M388" s="79"/>
    </row>
    <row r="389" spans="3:13" ht="13">
      <c r="C389" s="63"/>
      <c r="E389" s="104"/>
      <c r="F389" s="104"/>
      <c r="G389" s="104"/>
      <c r="H389" s="104"/>
      <c r="I389" s="104"/>
      <c r="J389" s="104"/>
      <c r="K389" s="104"/>
      <c r="L389" s="64"/>
      <c r="M389" s="79"/>
    </row>
    <row r="390" spans="3:13" ht="13">
      <c r="C390" s="63"/>
      <c r="E390" s="104"/>
      <c r="F390" s="104"/>
      <c r="G390" s="104"/>
      <c r="H390" s="104"/>
      <c r="I390" s="104"/>
      <c r="J390" s="104"/>
      <c r="K390" s="104"/>
      <c r="L390" s="64"/>
      <c r="M390" s="79"/>
    </row>
    <row r="391" spans="3:13" ht="13">
      <c r="C391" s="63"/>
      <c r="E391" s="104"/>
      <c r="F391" s="104"/>
      <c r="G391" s="104"/>
      <c r="H391" s="104"/>
      <c r="I391" s="104"/>
      <c r="J391" s="104"/>
      <c r="K391" s="104"/>
      <c r="L391" s="64"/>
      <c r="M391" s="79"/>
    </row>
    <row r="392" spans="3:13" ht="13">
      <c r="C392" s="63"/>
      <c r="E392" s="104"/>
      <c r="F392" s="104"/>
      <c r="G392" s="104"/>
      <c r="H392" s="104"/>
      <c r="I392" s="104"/>
      <c r="J392" s="104"/>
      <c r="K392" s="104"/>
      <c r="L392" s="64"/>
      <c r="M392" s="79"/>
    </row>
    <row r="393" spans="3:13" ht="13">
      <c r="C393" s="63"/>
      <c r="E393" s="104"/>
      <c r="F393" s="104"/>
      <c r="G393" s="104"/>
      <c r="H393" s="104"/>
      <c r="I393" s="104"/>
      <c r="J393" s="104"/>
      <c r="K393" s="104"/>
      <c r="L393" s="64"/>
      <c r="M393" s="79"/>
    </row>
    <row r="394" spans="3:13" ht="13">
      <c r="C394" s="63"/>
      <c r="E394" s="104"/>
      <c r="F394" s="104"/>
      <c r="G394" s="104"/>
      <c r="H394" s="104"/>
      <c r="I394" s="104"/>
      <c r="J394" s="104"/>
      <c r="K394" s="104"/>
      <c r="L394" s="64"/>
      <c r="M394" s="79"/>
    </row>
    <row r="395" spans="3:13" ht="13">
      <c r="C395" s="63"/>
      <c r="E395" s="104"/>
      <c r="F395" s="104"/>
      <c r="G395" s="104"/>
      <c r="H395" s="104"/>
      <c r="I395" s="104"/>
      <c r="J395" s="104"/>
      <c r="K395" s="104"/>
      <c r="L395" s="64"/>
      <c r="M395" s="79"/>
    </row>
    <row r="396" spans="3:13" ht="13">
      <c r="C396" s="63"/>
      <c r="E396" s="104"/>
      <c r="F396" s="104"/>
      <c r="G396" s="104"/>
      <c r="H396" s="104"/>
      <c r="I396" s="104"/>
      <c r="J396" s="104"/>
      <c r="K396" s="104"/>
      <c r="L396" s="64"/>
      <c r="M396" s="79"/>
    </row>
    <row r="397" spans="3:13" ht="13">
      <c r="C397" s="63"/>
      <c r="E397" s="104"/>
      <c r="F397" s="104"/>
      <c r="G397" s="104"/>
      <c r="H397" s="104"/>
      <c r="I397" s="104"/>
      <c r="J397" s="104"/>
      <c r="K397" s="104"/>
      <c r="L397" s="64"/>
      <c r="M397" s="79"/>
    </row>
    <row r="398" spans="3:13" ht="13">
      <c r="C398" s="63"/>
      <c r="E398" s="104"/>
      <c r="F398" s="104"/>
      <c r="G398" s="104"/>
      <c r="H398" s="104"/>
      <c r="I398" s="104"/>
      <c r="J398" s="104"/>
      <c r="K398" s="104"/>
      <c r="L398" s="64"/>
      <c r="M398" s="79"/>
    </row>
    <row r="399" spans="3:13" ht="13">
      <c r="C399" s="63"/>
      <c r="E399" s="104"/>
      <c r="F399" s="104"/>
      <c r="G399" s="104"/>
      <c r="H399" s="104"/>
      <c r="I399" s="104"/>
      <c r="J399" s="104"/>
      <c r="K399" s="104"/>
      <c r="L399" s="64"/>
      <c r="M399" s="79"/>
    </row>
    <row r="400" spans="3:13" ht="13">
      <c r="C400" s="63"/>
      <c r="E400" s="104"/>
      <c r="F400" s="104"/>
      <c r="G400" s="104"/>
      <c r="H400" s="104"/>
      <c r="I400" s="104"/>
      <c r="J400" s="104"/>
      <c r="K400" s="104"/>
      <c r="L400" s="64"/>
      <c r="M400" s="79"/>
    </row>
    <row r="401" spans="3:13" ht="13">
      <c r="C401" s="63"/>
      <c r="E401" s="104"/>
      <c r="F401" s="104"/>
      <c r="G401" s="104"/>
      <c r="H401" s="104"/>
      <c r="I401" s="104"/>
      <c r="J401" s="104"/>
      <c r="K401" s="104"/>
      <c r="L401" s="64"/>
      <c r="M401" s="79"/>
    </row>
    <row r="402" spans="3:13" ht="13">
      <c r="C402" s="63"/>
      <c r="E402" s="104"/>
      <c r="F402" s="104"/>
      <c r="G402" s="104"/>
      <c r="H402" s="104"/>
      <c r="I402" s="104"/>
      <c r="J402" s="104"/>
      <c r="K402" s="104"/>
      <c r="L402" s="64"/>
      <c r="M402" s="79"/>
    </row>
    <row r="403" spans="3:13" ht="13">
      <c r="C403" s="63"/>
      <c r="E403" s="104"/>
      <c r="F403" s="104"/>
      <c r="G403" s="104"/>
      <c r="H403" s="104"/>
      <c r="I403" s="104"/>
      <c r="J403" s="104"/>
      <c r="K403" s="104"/>
      <c r="L403" s="64"/>
      <c r="M403" s="79"/>
    </row>
    <row r="404" spans="3:13" ht="13">
      <c r="C404" s="63"/>
      <c r="E404" s="104"/>
      <c r="F404" s="104"/>
      <c r="G404" s="104"/>
      <c r="H404" s="104"/>
      <c r="I404" s="104"/>
      <c r="J404" s="104"/>
      <c r="K404" s="104"/>
      <c r="L404" s="64"/>
      <c r="M404" s="79"/>
    </row>
    <row r="405" spans="3:13" ht="13">
      <c r="C405" s="63"/>
      <c r="E405" s="104"/>
      <c r="F405" s="104"/>
      <c r="G405" s="104"/>
      <c r="H405" s="104"/>
      <c r="I405" s="104"/>
      <c r="J405" s="104"/>
      <c r="K405" s="104"/>
      <c r="L405" s="64"/>
      <c r="M405" s="79"/>
    </row>
    <row r="406" spans="3:13" ht="13">
      <c r="C406" s="63"/>
      <c r="E406" s="104"/>
      <c r="F406" s="104"/>
      <c r="G406" s="104"/>
      <c r="H406" s="104"/>
      <c r="I406" s="104"/>
      <c r="J406" s="104"/>
      <c r="K406" s="104"/>
      <c r="L406" s="64"/>
      <c r="M406" s="79"/>
    </row>
    <row r="407" spans="3:13" ht="13">
      <c r="C407" s="63"/>
      <c r="E407" s="104"/>
      <c r="F407" s="104"/>
      <c r="G407" s="104"/>
      <c r="H407" s="104"/>
      <c r="I407" s="104"/>
      <c r="J407" s="104"/>
      <c r="K407" s="104"/>
      <c r="L407" s="64"/>
      <c r="M407" s="79"/>
    </row>
    <row r="408" spans="3:13" ht="13">
      <c r="C408" s="63"/>
      <c r="E408" s="104"/>
      <c r="F408" s="104"/>
      <c r="G408" s="104"/>
      <c r="H408" s="104"/>
      <c r="I408" s="104"/>
      <c r="J408" s="104"/>
      <c r="K408" s="104"/>
      <c r="L408" s="64"/>
      <c r="M408" s="79"/>
    </row>
    <row r="409" spans="3:13" ht="13">
      <c r="C409" s="63"/>
      <c r="E409" s="104"/>
      <c r="F409" s="104"/>
      <c r="G409" s="104"/>
      <c r="H409" s="104"/>
      <c r="I409" s="104"/>
      <c r="J409" s="104"/>
      <c r="K409" s="104"/>
      <c r="L409" s="64"/>
      <c r="M409" s="79"/>
    </row>
    <row r="410" spans="3:13" ht="13">
      <c r="C410" s="63"/>
      <c r="E410" s="104"/>
      <c r="F410" s="104"/>
      <c r="G410" s="104"/>
      <c r="H410" s="104"/>
      <c r="I410" s="104"/>
      <c r="J410" s="104"/>
      <c r="K410" s="104"/>
      <c r="L410" s="64"/>
      <c r="M410" s="79"/>
    </row>
    <row r="411" spans="3:13" ht="13">
      <c r="C411" s="63"/>
      <c r="E411" s="104"/>
      <c r="F411" s="104"/>
      <c r="G411" s="104"/>
      <c r="H411" s="104"/>
      <c r="I411" s="104"/>
      <c r="J411" s="104"/>
      <c r="K411" s="104"/>
      <c r="L411" s="64"/>
      <c r="M411" s="79"/>
    </row>
    <row r="412" spans="3:13" ht="13">
      <c r="C412" s="63"/>
      <c r="E412" s="104"/>
      <c r="F412" s="104"/>
      <c r="G412" s="104"/>
      <c r="H412" s="104"/>
      <c r="I412" s="104"/>
      <c r="J412" s="104"/>
      <c r="K412" s="104"/>
      <c r="L412" s="64"/>
      <c r="M412" s="79"/>
    </row>
    <row r="413" spans="3:13" ht="13">
      <c r="C413" s="63"/>
      <c r="E413" s="104"/>
      <c r="F413" s="104"/>
      <c r="G413" s="104"/>
      <c r="H413" s="104"/>
      <c r="I413" s="104"/>
      <c r="J413" s="104"/>
      <c r="K413" s="104"/>
      <c r="L413" s="64"/>
      <c r="M413" s="79"/>
    </row>
    <row r="414" spans="3:13" ht="13">
      <c r="C414" s="63"/>
      <c r="E414" s="104"/>
      <c r="F414" s="104"/>
      <c r="G414" s="104"/>
      <c r="H414" s="104"/>
      <c r="I414" s="104"/>
      <c r="J414" s="104"/>
      <c r="K414" s="104"/>
      <c r="L414" s="64"/>
      <c r="M414" s="79"/>
    </row>
    <row r="415" spans="3:13" ht="13">
      <c r="C415" s="63"/>
      <c r="E415" s="104"/>
      <c r="F415" s="104"/>
      <c r="G415" s="104"/>
      <c r="H415" s="104"/>
      <c r="I415" s="104"/>
      <c r="J415" s="104"/>
      <c r="K415" s="104"/>
      <c r="L415" s="64"/>
      <c r="M415" s="79"/>
    </row>
    <row r="416" spans="3:13" ht="13">
      <c r="C416" s="63"/>
      <c r="E416" s="104"/>
      <c r="F416" s="104"/>
      <c r="G416" s="104"/>
      <c r="H416" s="104"/>
      <c r="I416" s="104"/>
      <c r="J416" s="104"/>
      <c r="K416" s="104"/>
      <c r="L416" s="64"/>
      <c r="M416" s="79"/>
    </row>
    <row r="417" spans="3:13" ht="13">
      <c r="C417" s="63"/>
      <c r="E417" s="104"/>
      <c r="F417" s="104"/>
      <c r="G417" s="104"/>
      <c r="H417" s="104"/>
      <c r="I417" s="104"/>
      <c r="J417" s="104"/>
      <c r="K417" s="104"/>
      <c r="L417" s="64"/>
      <c r="M417" s="79"/>
    </row>
    <row r="418" spans="3:13" ht="13">
      <c r="C418" s="63"/>
      <c r="E418" s="104"/>
      <c r="F418" s="104"/>
      <c r="G418" s="104"/>
      <c r="H418" s="104"/>
      <c r="I418" s="104"/>
      <c r="J418" s="104"/>
      <c r="K418" s="104"/>
      <c r="L418" s="64"/>
      <c r="M418" s="79"/>
    </row>
    <row r="419" spans="3:13" ht="13">
      <c r="C419" s="63"/>
      <c r="E419" s="104"/>
      <c r="F419" s="104"/>
      <c r="G419" s="104"/>
      <c r="H419" s="104"/>
      <c r="I419" s="104"/>
      <c r="J419" s="104"/>
      <c r="K419" s="104"/>
      <c r="L419" s="64"/>
      <c r="M419" s="79"/>
    </row>
    <row r="420" spans="3:13" ht="13">
      <c r="C420" s="63"/>
      <c r="E420" s="104"/>
      <c r="F420" s="104"/>
      <c r="G420" s="104"/>
      <c r="H420" s="104"/>
      <c r="I420" s="104"/>
      <c r="J420" s="104"/>
      <c r="K420" s="104"/>
      <c r="L420" s="64"/>
      <c r="M420" s="79"/>
    </row>
    <row r="421" spans="3:13" ht="13">
      <c r="C421" s="63"/>
      <c r="E421" s="104"/>
      <c r="F421" s="104"/>
      <c r="G421" s="104"/>
      <c r="H421" s="104"/>
      <c r="I421" s="104"/>
      <c r="J421" s="104"/>
      <c r="K421" s="104"/>
      <c r="L421" s="64"/>
      <c r="M421" s="79"/>
    </row>
    <row r="422" spans="3:13" ht="13">
      <c r="C422" s="63"/>
      <c r="E422" s="104"/>
      <c r="F422" s="104"/>
      <c r="G422" s="104"/>
      <c r="H422" s="104"/>
      <c r="I422" s="104"/>
      <c r="J422" s="104"/>
      <c r="K422" s="104"/>
      <c r="L422" s="64"/>
      <c r="M422" s="79"/>
    </row>
    <row r="423" spans="3:13" ht="13">
      <c r="C423" s="63"/>
      <c r="E423" s="104"/>
      <c r="F423" s="104"/>
      <c r="G423" s="104"/>
      <c r="H423" s="104"/>
      <c r="I423" s="104"/>
      <c r="J423" s="104"/>
      <c r="K423" s="104"/>
      <c r="L423" s="64"/>
      <c r="M423" s="79"/>
    </row>
    <row r="424" spans="3:13" ht="13">
      <c r="C424" s="63"/>
      <c r="E424" s="104"/>
      <c r="F424" s="104"/>
      <c r="G424" s="104"/>
      <c r="H424" s="104"/>
      <c r="I424" s="104"/>
      <c r="J424" s="104"/>
      <c r="K424" s="104"/>
      <c r="L424" s="64"/>
      <c r="M424" s="79"/>
    </row>
    <row r="425" spans="3:13" ht="13">
      <c r="C425" s="63"/>
      <c r="E425" s="104"/>
      <c r="F425" s="104"/>
      <c r="G425" s="104"/>
      <c r="H425" s="104"/>
      <c r="I425" s="104"/>
      <c r="J425" s="104"/>
      <c r="K425" s="104"/>
      <c r="L425" s="64"/>
      <c r="M425" s="79"/>
    </row>
    <row r="426" spans="3:13" ht="13">
      <c r="C426" s="63"/>
      <c r="E426" s="104"/>
      <c r="F426" s="104"/>
      <c r="G426" s="104"/>
      <c r="H426" s="104"/>
      <c r="I426" s="104"/>
      <c r="J426" s="104"/>
      <c r="K426" s="104"/>
      <c r="L426" s="64"/>
      <c r="M426" s="79"/>
    </row>
    <row r="427" spans="3:13" ht="13">
      <c r="C427" s="63"/>
      <c r="E427" s="104"/>
      <c r="F427" s="104"/>
      <c r="G427" s="104"/>
      <c r="H427" s="104"/>
      <c r="I427" s="104"/>
      <c r="J427" s="104"/>
      <c r="K427" s="104"/>
      <c r="L427" s="64"/>
      <c r="M427" s="79"/>
    </row>
    <row r="428" spans="3:13" ht="13">
      <c r="C428" s="63"/>
      <c r="E428" s="104"/>
      <c r="F428" s="104"/>
      <c r="G428" s="104"/>
      <c r="H428" s="104"/>
      <c r="I428" s="104"/>
      <c r="J428" s="104"/>
      <c r="K428" s="104"/>
      <c r="L428" s="64"/>
      <c r="M428" s="79"/>
    </row>
    <row r="429" spans="3:13" ht="13">
      <c r="C429" s="63"/>
      <c r="E429" s="104"/>
      <c r="F429" s="104"/>
      <c r="G429" s="104"/>
      <c r="H429" s="104"/>
      <c r="I429" s="104"/>
      <c r="J429" s="104"/>
      <c r="K429" s="104"/>
      <c r="L429" s="64"/>
      <c r="M429" s="79"/>
    </row>
    <row r="430" spans="3:13" ht="13">
      <c r="C430" s="63"/>
      <c r="E430" s="104"/>
      <c r="F430" s="104"/>
      <c r="G430" s="104"/>
      <c r="H430" s="104"/>
      <c r="I430" s="104"/>
      <c r="J430" s="104"/>
      <c r="K430" s="104"/>
      <c r="L430" s="64"/>
      <c r="M430" s="79"/>
    </row>
    <row r="431" spans="3:13" ht="13">
      <c r="C431" s="63"/>
      <c r="E431" s="104"/>
      <c r="F431" s="104"/>
      <c r="G431" s="104"/>
      <c r="H431" s="104"/>
      <c r="I431" s="104"/>
      <c r="J431" s="104"/>
      <c r="K431" s="104"/>
      <c r="L431" s="64"/>
      <c r="M431" s="79"/>
    </row>
    <row r="432" spans="3:13" ht="13">
      <c r="C432" s="63"/>
      <c r="E432" s="104"/>
      <c r="F432" s="104"/>
      <c r="G432" s="104"/>
      <c r="H432" s="104"/>
      <c r="I432" s="104"/>
      <c r="J432" s="104"/>
      <c r="K432" s="104"/>
      <c r="L432" s="64"/>
      <c r="M432" s="79"/>
    </row>
    <row r="433" spans="3:13" ht="13">
      <c r="C433" s="63"/>
      <c r="E433" s="104"/>
      <c r="F433" s="104"/>
      <c r="G433" s="104"/>
      <c r="H433" s="104"/>
      <c r="I433" s="104"/>
      <c r="J433" s="104"/>
      <c r="K433" s="104"/>
      <c r="L433" s="64"/>
      <c r="M433" s="79"/>
    </row>
    <row r="434" spans="3:13" ht="13">
      <c r="C434" s="63"/>
      <c r="E434" s="104"/>
      <c r="F434" s="104"/>
      <c r="G434" s="104"/>
      <c r="H434" s="104"/>
      <c r="I434" s="104"/>
      <c r="J434" s="104"/>
      <c r="K434" s="104"/>
      <c r="L434" s="64"/>
      <c r="M434" s="79"/>
    </row>
    <row r="435" spans="3:13" ht="13">
      <c r="C435" s="63"/>
      <c r="E435" s="104"/>
      <c r="F435" s="104"/>
      <c r="G435" s="104"/>
      <c r="H435" s="104"/>
      <c r="I435" s="104"/>
      <c r="J435" s="104"/>
      <c r="K435" s="104"/>
      <c r="L435" s="64"/>
      <c r="M435" s="79"/>
    </row>
    <row r="436" spans="3:13" ht="13">
      <c r="C436" s="63"/>
      <c r="E436" s="104"/>
      <c r="F436" s="104"/>
      <c r="G436" s="104"/>
      <c r="H436" s="104"/>
      <c r="I436" s="104"/>
      <c r="J436" s="104"/>
      <c r="K436" s="104"/>
      <c r="L436" s="64"/>
      <c r="M436" s="79"/>
    </row>
    <row r="437" spans="3:13" ht="13">
      <c r="C437" s="63"/>
      <c r="E437" s="104"/>
      <c r="F437" s="104"/>
      <c r="G437" s="104"/>
      <c r="H437" s="104"/>
      <c r="I437" s="104"/>
      <c r="J437" s="104"/>
      <c r="K437" s="104"/>
      <c r="L437" s="64"/>
      <c r="M437" s="79"/>
    </row>
    <row r="438" spans="3:13" ht="13">
      <c r="C438" s="63"/>
      <c r="E438" s="104"/>
      <c r="F438" s="104"/>
      <c r="G438" s="104"/>
      <c r="H438" s="104"/>
      <c r="I438" s="104"/>
      <c r="J438" s="104"/>
      <c r="K438" s="104"/>
      <c r="L438" s="64"/>
      <c r="M438" s="79"/>
    </row>
    <row r="439" spans="3:13" ht="13">
      <c r="C439" s="63"/>
      <c r="E439" s="104"/>
      <c r="F439" s="104"/>
      <c r="G439" s="104"/>
      <c r="H439" s="104"/>
      <c r="I439" s="104"/>
      <c r="J439" s="104"/>
      <c r="K439" s="104"/>
      <c r="L439" s="64"/>
      <c r="M439" s="79"/>
    </row>
    <row r="440" spans="3:13" ht="13">
      <c r="C440" s="63"/>
      <c r="E440" s="104"/>
      <c r="F440" s="104"/>
      <c r="G440" s="104"/>
      <c r="H440" s="104"/>
      <c r="I440" s="104"/>
      <c r="J440" s="104"/>
      <c r="K440" s="104"/>
      <c r="L440" s="64"/>
      <c r="M440" s="79"/>
    </row>
    <row r="441" spans="3:13" ht="13">
      <c r="C441" s="63"/>
      <c r="E441" s="104"/>
      <c r="F441" s="104"/>
      <c r="G441" s="104"/>
      <c r="H441" s="104"/>
      <c r="I441" s="104"/>
      <c r="J441" s="104"/>
      <c r="K441" s="104"/>
      <c r="L441" s="64"/>
      <c r="M441" s="79"/>
    </row>
    <row r="442" spans="3:13" ht="13">
      <c r="C442" s="63"/>
      <c r="E442" s="104"/>
      <c r="F442" s="104"/>
      <c r="G442" s="104"/>
      <c r="H442" s="104"/>
      <c r="I442" s="104"/>
      <c r="J442" s="104"/>
      <c r="K442" s="104"/>
      <c r="L442" s="64"/>
      <c r="M442" s="79"/>
    </row>
    <row r="443" spans="3:13" ht="13">
      <c r="C443" s="63"/>
      <c r="E443" s="104"/>
      <c r="F443" s="104"/>
      <c r="G443" s="104"/>
      <c r="H443" s="104"/>
      <c r="I443" s="104"/>
      <c r="J443" s="104"/>
      <c r="K443" s="104"/>
      <c r="L443" s="64"/>
      <c r="M443" s="79"/>
    </row>
    <row r="444" spans="3:13" ht="13">
      <c r="C444" s="63"/>
      <c r="E444" s="104"/>
      <c r="F444" s="104"/>
      <c r="G444" s="104"/>
      <c r="H444" s="104"/>
      <c r="I444" s="104"/>
      <c r="J444" s="104"/>
      <c r="K444" s="104"/>
      <c r="L444" s="64"/>
      <c r="M444" s="79"/>
    </row>
    <row r="445" spans="3:13" ht="13">
      <c r="C445" s="63"/>
      <c r="E445" s="104"/>
      <c r="F445" s="104"/>
      <c r="G445" s="104"/>
      <c r="H445" s="104"/>
      <c r="I445" s="104"/>
      <c r="J445" s="104"/>
      <c r="K445" s="104"/>
      <c r="L445" s="64"/>
      <c r="M445" s="79"/>
    </row>
    <row r="446" spans="3:13" ht="13">
      <c r="C446" s="63"/>
      <c r="E446" s="104"/>
      <c r="F446" s="104"/>
      <c r="G446" s="104"/>
      <c r="H446" s="104"/>
      <c r="I446" s="104"/>
      <c r="J446" s="104"/>
      <c r="K446" s="104"/>
      <c r="L446" s="64"/>
      <c r="M446" s="79"/>
    </row>
    <row r="447" spans="3:13" ht="13">
      <c r="C447" s="63"/>
      <c r="E447" s="104"/>
      <c r="F447" s="104"/>
      <c r="G447" s="104"/>
      <c r="H447" s="104"/>
      <c r="I447" s="104"/>
      <c r="J447" s="104"/>
      <c r="K447" s="104"/>
      <c r="L447" s="64"/>
      <c r="M447" s="79"/>
    </row>
    <row r="448" spans="3:13" ht="13">
      <c r="C448" s="63"/>
      <c r="E448" s="104"/>
      <c r="F448" s="104"/>
      <c r="G448" s="104"/>
      <c r="H448" s="104"/>
      <c r="I448" s="104"/>
      <c r="J448" s="104"/>
      <c r="K448" s="104"/>
      <c r="L448" s="64"/>
      <c r="M448" s="79"/>
    </row>
    <row r="449" spans="3:13" ht="13">
      <c r="C449" s="63"/>
      <c r="E449" s="104"/>
      <c r="F449" s="104"/>
      <c r="G449" s="104"/>
      <c r="H449" s="104"/>
      <c r="I449" s="104"/>
      <c r="J449" s="104"/>
      <c r="K449" s="104"/>
      <c r="L449" s="64"/>
      <c r="M449" s="79"/>
    </row>
    <row r="450" spans="3:13" ht="13">
      <c r="C450" s="63"/>
      <c r="E450" s="104"/>
      <c r="F450" s="104"/>
      <c r="G450" s="104"/>
      <c r="H450" s="104"/>
      <c r="I450" s="104"/>
      <c r="J450" s="104"/>
      <c r="K450" s="104"/>
      <c r="L450" s="64"/>
      <c r="M450" s="79"/>
    </row>
    <row r="451" spans="3:13" ht="13">
      <c r="C451" s="63"/>
      <c r="E451" s="104"/>
      <c r="F451" s="104"/>
      <c r="G451" s="104"/>
      <c r="H451" s="104"/>
      <c r="I451" s="104"/>
      <c r="J451" s="104"/>
      <c r="K451" s="104"/>
      <c r="L451" s="64"/>
      <c r="M451" s="79"/>
    </row>
    <row r="452" spans="3:13" ht="13">
      <c r="C452" s="63"/>
      <c r="E452" s="104"/>
      <c r="F452" s="104"/>
      <c r="G452" s="104"/>
      <c r="H452" s="104"/>
      <c r="I452" s="104"/>
      <c r="J452" s="104"/>
      <c r="K452" s="104"/>
      <c r="L452" s="64"/>
      <c r="M452" s="79"/>
    </row>
    <row r="453" spans="3:13" ht="13">
      <c r="C453" s="63"/>
      <c r="E453" s="104"/>
      <c r="F453" s="104"/>
      <c r="G453" s="104"/>
      <c r="H453" s="104"/>
      <c r="I453" s="104"/>
      <c r="J453" s="104"/>
      <c r="K453" s="104"/>
      <c r="L453" s="64"/>
      <c r="M453" s="79"/>
    </row>
    <row r="454" spans="3:13" ht="13">
      <c r="C454" s="63"/>
      <c r="E454" s="104"/>
      <c r="F454" s="104"/>
      <c r="G454" s="104"/>
      <c r="H454" s="104"/>
      <c r="I454" s="104"/>
      <c r="J454" s="104"/>
      <c r="K454" s="104"/>
      <c r="L454" s="64"/>
      <c r="M454" s="79"/>
    </row>
    <row r="455" spans="3:13" ht="13">
      <c r="C455" s="63"/>
      <c r="E455" s="104"/>
      <c r="F455" s="104"/>
      <c r="G455" s="104"/>
      <c r="H455" s="104"/>
      <c r="I455" s="104"/>
      <c r="J455" s="104"/>
      <c r="K455" s="104"/>
      <c r="L455" s="64"/>
      <c r="M455" s="79"/>
    </row>
    <row r="456" spans="3:13" ht="13">
      <c r="C456" s="63"/>
      <c r="E456" s="104"/>
      <c r="F456" s="104"/>
      <c r="G456" s="104"/>
      <c r="H456" s="104"/>
      <c r="I456" s="104"/>
      <c r="J456" s="104"/>
      <c r="K456" s="104"/>
      <c r="L456" s="64"/>
      <c r="M456" s="79"/>
    </row>
    <row r="457" spans="3:13" ht="13">
      <c r="C457" s="63"/>
      <c r="E457" s="104"/>
      <c r="F457" s="104"/>
      <c r="G457" s="104"/>
      <c r="H457" s="104"/>
      <c r="I457" s="104"/>
      <c r="J457" s="104"/>
      <c r="K457" s="104"/>
      <c r="L457" s="64"/>
      <c r="M457" s="79"/>
    </row>
    <row r="458" spans="3:13" ht="13">
      <c r="C458" s="63"/>
      <c r="E458" s="104"/>
      <c r="F458" s="104"/>
      <c r="G458" s="104"/>
      <c r="H458" s="104"/>
      <c r="I458" s="104"/>
      <c r="J458" s="104"/>
      <c r="K458" s="104"/>
      <c r="L458" s="64"/>
      <c r="M458" s="79"/>
    </row>
    <row r="459" spans="3:13" ht="13">
      <c r="C459" s="63"/>
      <c r="E459" s="104"/>
      <c r="F459" s="104"/>
      <c r="G459" s="104"/>
      <c r="H459" s="104"/>
      <c r="I459" s="104"/>
      <c r="J459" s="104"/>
      <c r="K459" s="104"/>
      <c r="L459" s="64"/>
      <c r="M459" s="79"/>
    </row>
    <row r="460" spans="3:13" ht="13">
      <c r="C460" s="63"/>
      <c r="E460" s="104"/>
      <c r="F460" s="104"/>
      <c r="G460" s="104"/>
      <c r="H460" s="104"/>
      <c r="I460" s="104"/>
      <c r="J460" s="104"/>
      <c r="K460" s="104"/>
      <c r="L460" s="64"/>
      <c r="M460" s="79"/>
    </row>
    <row r="461" spans="3:13" ht="13">
      <c r="C461" s="63"/>
      <c r="E461" s="104"/>
      <c r="F461" s="104"/>
      <c r="G461" s="104"/>
      <c r="H461" s="104"/>
      <c r="I461" s="104"/>
      <c r="J461" s="104"/>
      <c r="K461" s="104"/>
      <c r="L461" s="64"/>
      <c r="M461" s="79"/>
    </row>
    <row r="462" spans="3:13" ht="13">
      <c r="C462" s="63"/>
      <c r="E462" s="104"/>
      <c r="F462" s="104"/>
      <c r="G462" s="104"/>
      <c r="H462" s="104"/>
      <c r="I462" s="104"/>
      <c r="J462" s="104"/>
      <c r="K462" s="104"/>
      <c r="L462" s="64"/>
      <c r="M462" s="79"/>
    </row>
    <row r="463" spans="3:13" ht="13">
      <c r="C463" s="63"/>
      <c r="E463" s="104"/>
      <c r="F463" s="104"/>
      <c r="G463" s="104"/>
      <c r="H463" s="104"/>
      <c r="I463" s="104"/>
      <c r="J463" s="104"/>
      <c r="K463" s="104"/>
      <c r="L463" s="64"/>
      <c r="M463" s="79"/>
    </row>
    <row r="464" spans="3:13" ht="13">
      <c r="C464" s="63"/>
      <c r="E464" s="104"/>
      <c r="F464" s="104"/>
      <c r="G464" s="104"/>
      <c r="H464" s="104"/>
      <c r="I464" s="104"/>
      <c r="J464" s="104"/>
      <c r="K464" s="104"/>
      <c r="L464" s="64"/>
      <c r="M464" s="79"/>
    </row>
    <row r="465" spans="3:13" ht="13">
      <c r="C465" s="63"/>
      <c r="E465" s="104"/>
      <c r="F465" s="104"/>
      <c r="G465" s="104"/>
      <c r="H465" s="104"/>
      <c r="I465" s="104"/>
      <c r="J465" s="104"/>
      <c r="K465" s="104"/>
      <c r="L465" s="64"/>
      <c r="M465" s="79"/>
    </row>
    <row r="466" spans="3:13" ht="13">
      <c r="C466" s="63"/>
      <c r="E466" s="104"/>
      <c r="F466" s="104"/>
      <c r="G466" s="104"/>
      <c r="H466" s="104"/>
      <c r="I466" s="104"/>
      <c r="J466" s="104"/>
      <c r="K466" s="104"/>
      <c r="L466" s="64"/>
      <c r="M466" s="79"/>
    </row>
    <row r="467" spans="3:13" ht="13">
      <c r="C467" s="63"/>
      <c r="E467" s="104"/>
      <c r="F467" s="104"/>
      <c r="G467" s="104"/>
      <c r="H467" s="104"/>
      <c r="I467" s="104"/>
      <c r="J467" s="104"/>
      <c r="K467" s="104"/>
      <c r="L467" s="64"/>
      <c r="M467" s="79"/>
    </row>
    <row r="468" spans="3:13" ht="13">
      <c r="C468" s="63"/>
      <c r="E468" s="104"/>
      <c r="F468" s="104"/>
      <c r="G468" s="104"/>
      <c r="H468" s="104"/>
      <c r="I468" s="104"/>
      <c r="J468" s="104"/>
      <c r="K468" s="104"/>
      <c r="L468" s="64"/>
      <c r="M468" s="79"/>
    </row>
    <row r="469" spans="3:13" ht="13">
      <c r="C469" s="63"/>
      <c r="E469" s="104"/>
      <c r="F469" s="104"/>
      <c r="G469" s="104"/>
      <c r="H469" s="104"/>
      <c r="I469" s="104"/>
      <c r="J469" s="104"/>
      <c r="K469" s="104"/>
      <c r="L469" s="64"/>
      <c r="M469" s="79"/>
    </row>
    <row r="470" spans="3:13" ht="13">
      <c r="C470" s="63"/>
      <c r="E470" s="104"/>
      <c r="F470" s="104"/>
      <c r="G470" s="104"/>
      <c r="H470" s="104"/>
      <c r="I470" s="104"/>
      <c r="J470" s="104"/>
      <c r="K470" s="104"/>
      <c r="L470" s="64"/>
      <c r="M470" s="79"/>
    </row>
    <row r="471" spans="3:13" ht="13">
      <c r="C471" s="63"/>
      <c r="E471" s="104"/>
      <c r="F471" s="104"/>
      <c r="G471" s="104"/>
      <c r="H471" s="104"/>
      <c r="I471" s="104"/>
      <c r="J471" s="104"/>
      <c r="K471" s="104"/>
      <c r="L471" s="64"/>
      <c r="M471" s="79"/>
    </row>
    <row r="472" spans="3:13" ht="13">
      <c r="C472" s="63"/>
      <c r="E472" s="104"/>
      <c r="F472" s="104"/>
      <c r="G472" s="104"/>
      <c r="H472" s="104"/>
      <c r="I472" s="104"/>
      <c r="J472" s="104"/>
      <c r="K472" s="104"/>
      <c r="L472" s="64"/>
      <c r="M472" s="79"/>
    </row>
    <row r="473" spans="3:13" ht="13">
      <c r="C473" s="63"/>
      <c r="E473" s="104"/>
      <c r="F473" s="104"/>
      <c r="G473" s="104"/>
      <c r="H473" s="104"/>
      <c r="I473" s="104"/>
      <c r="J473" s="104"/>
      <c r="K473" s="104"/>
      <c r="L473" s="64"/>
      <c r="M473" s="79"/>
    </row>
    <row r="474" spans="3:13" ht="13">
      <c r="C474" s="63"/>
      <c r="E474" s="104"/>
      <c r="F474" s="104"/>
      <c r="G474" s="104"/>
      <c r="H474" s="104"/>
      <c r="I474" s="104"/>
      <c r="J474" s="104"/>
      <c r="K474" s="104"/>
      <c r="L474" s="64"/>
      <c r="M474" s="79"/>
    </row>
    <row r="475" spans="3:13" ht="13">
      <c r="C475" s="63"/>
      <c r="E475" s="104"/>
      <c r="F475" s="104"/>
      <c r="G475" s="104"/>
      <c r="H475" s="104"/>
      <c r="I475" s="104"/>
      <c r="J475" s="104"/>
      <c r="K475" s="104"/>
      <c r="L475" s="64"/>
      <c r="M475" s="79"/>
    </row>
    <row r="476" spans="3:13" ht="13">
      <c r="C476" s="63"/>
      <c r="E476" s="104"/>
      <c r="F476" s="104"/>
      <c r="G476" s="104"/>
      <c r="H476" s="104"/>
      <c r="I476" s="104"/>
      <c r="J476" s="104"/>
      <c r="K476" s="104"/>
      <c r="L476" s="64"/>
      <c r="M476" s="79"/>
    </row>
    <row r="477" spans="3:13" ht="13">
      <c r="C477" s="63"/>
      <c r="E477" s="104"/>
      <c r="F477" s="104"/>
      <c r="G477" s="104"/>
      <c r="H477" s="104"/>
      <c r="I477" s="104"/>
      <c r="J477" s="104"/>
      <c r="K477" s="104"/>
      <c r="L477" s="64"/>
      <c r="M477" s="79"/>
    </row>
    <row r="478" spans="3:13" ht="13">
      <c r="C478" s="63"/>
      <c r="E478" s="104"/>
      <c r="F478" s="104"/>
      <c r="G478" s="104"/>
      <c r="H478" s="104"/>
      <c r="I478" s="104"/>
      <c r="J478" s="104"/>
      <c r="K478" s="104"/>
      <c r="L478" s="64"/>
      <c r="M478" s="79"/>
    </row>
    <row r="479" spans="3:13" ht="13">
      <c r="C479" s="63"/>
      <c r="E479" s="104"/>
      <c r="F479" s="104"/>
      <c r="G479" s="104"/>
      <c r="H479" s="104"/>
      <c r="I479" s="104"/>
      <c r="J479" s="104"/>
      <c r="K479" s="104"/>
      <c r="L479" s="64"/>
      <c r="M479" s="79"/>
    </row>
    <row r="480" spans="3:13" ht="13">
      <c r="C480" s="63"/>
      <c r="E480" s="104"/>
      <c r="F480" s="104"/>
      <c r="G480" s="104"/>
      <c r="H480" s="104"/>
      <c r="I480" s="104"/>
      <c r="J480" s="104"/>
      <c r="K480" s="104"/>
      <c r="L480" s="64"/>
      <c r="M480" s="79"/>
    </row>
    <row r="481" spans="3:13" ht="13">
      <c r="C481" s="63"/>
      <c r="E481" s="104"/>
      <c r="F481" s="104"/>
      <c r="G481" s="104"/>
      <c r="H481" s="104"/>
      <c r="I481" s="104"/>
      <c r="J481" s="104"/>
      <c r="K481" s="104"/>
      <c r="L481" s="64"/>
      <c r="M481" s="79"/>
    </row>
    <row r="482" spans="3:13" ht="13">
      <c r="C482" s="63"/>
      <c r="E482" s="104"/>
      <c r="F482" s="104"/>
      <c r="G482" s="104"/>
      <c r="H482" s="104"/>
      <c r="I482" s="104"/>
      <c r="J482" s="104"/>
      <c r="K482" s="104"/>
      <c r="L482" s="64"/>
      <c r="M482" s="79"/>
    </row>
    <row r="483" spans="3:13" ht="13">
      <c r="C483" s="63"/>
      <c r="E483" s="104"/>
      <c r="F483" s="104"/>
      <c r="G483" s="104"/>
      <c r="H483" s="104"/>
      <c r="I483" s="104"/>
      <c r="J483" s="104"/>
      <c r="K483" s="104"/>
      <c r="L483" s="64"/>
      <c r="M483" s="79"/>
    </row>
    <row r="484" spans="3:13" ht="13">
      <c r="C484" s="63"/>
      <c r="E484" s="104"/>
      <c r="F484" s="104"/>
      <c r="G484" s="104"/>
      <c r="H484" s="104"/>
      <c r="I484" s="104"/>
      <c r="J484" s="104"/>
      <c r="K484" s="104"/>
      <c r="L484" s="64"/>
      <c r="M484" s="79"/>
    </row>
    <row r="485" spans="3:13" ht="13">
      <c r="C485" s="63"/>
      <c r="E485" s="104"/>
      <c r="F485" s="104"/>
      <c r="G485" s="104"/>
      <c r="H485" s="104"/>
      <c r="I485" s="104"/>
      <c r="J485" s="104"/>
      <c r="K485" s="104"/>
      <c r="L485" s="64"/>
      <c r="M485" s="79"/>
    </row>
    <row r="486" spans="3:13" ht="13">
      <c r="C486" s="63"/>
      <c r="E486" s="104"/>
      <c r="F486" s="104"/>
      <c r="G486" s="104"/>
      <c r="H486" s="104"/>
      <c r="I486" s="104"/>
      <c r="J486" s="104"/>
      <c r="K486" s="104"/>
      <c r="L486" s="64"/>
      <c r="M486" s="79"/>
    </row>
    <row r="487" spans="3:13" ht="13">
      <c r="C487" s="63"/>
      <c r="E487" s="104"/>
      <c r="F487" s="104"/>
      <c r="G487" s="104"/>
      <c r="H487" s="104"/>
      <c r="I487" s="104"/>
      <c r="J487" s="104"/>
      <c r="K487" s="104"/>
      <c r="L487" s="64"/>
      <c r="M487" s="79"/>
    </row>
    <row r="488" spans="3:13" ht="13">
      <c r="C488" s="63"/>
      <c r="E488" s="104"/>
      <c r="F488" s="104"/>
      <c r="G488" s="104"/>
      <c r="H488" s="104"/>
      <c r="I488" s="104"/>
      <c r="J488" s="104"/>
      <c r="K488" s="104"/>
      <c r="L488" s="64"/>
      <c r="M488" s="79"/>
    </row>
    <row r="489" spans="3:13" ht="13">
      <c r="C489" s="63"/>
      <c r="E489" s="104"/>
      <c r="F489" s="104"/>
      <c r="G489" s="104"/>
      <c r="H489" s="104"/>
      <c r="I489" s="104"/>
      <c r="J489" s="104"/>
      <c r="K489" s="104"/>
      <c r="L489" s="64"/>
      <c r="M489" s="79"/>
    </row>
    <row r="490" spans="3:13" ht="13">
      <c r="C490" s="63"/>
      <c r="E490" s="104"/>
      <c r="F490" s="104"/>
      <c r="G490" s="104"/>
      <c r="H490" s="104"/>
      <c r="I490" s="104"/>
      <c r="J490" s="104"/>
      <c r="K490" s="104"/>
      <c r="L490" s="64"/>
      <c r="M490" s="79"/>
    </row>
    <row r="491" spans="3:13" ht="13">
      <c r="C491" s="63"/>
      <c r="E491" s="104"/>
      <c r="F491" s="104"/>
      <c r="G491" s="104"/>
      <c r="H491" s="104"/>
      <c r="I491" s="104"/>
      <c r="J491" s="104"/>
      <c r="K491" s="104"/>
      <c r="L491" s="64"/>
      <c r="M491" s="79"/>
    </row>
    <row r="492" spans="3:13" ht="13">
      <c r="C492" s="63"/>
      <c r="E492" s="104"/>
      <c r="F492" s="104"/>
      <c r="G492" s="104"/>
      <c r="H492" s="104"/>
      <c r="I492" s="104"/>
      <c r="J492" s="104"/>
      <c r="K492" s="104"/>
      <c r="L492" s="64"/>
      <c r="M492" s="79"/>
    </row>
    <row r="493" spans="3:13" ht="13">
      <c r="C493" s="63"/>
      <c r="E493" s="104"/>
      <c r="F493" s="104"/>
      <c r="G493" s="104"/>
      <c r="H493" s="104"/>
      <c r="I493" s="104"/>
      <c r="J493" s="104"/>
      <c r="K493" s="104"/>
      <c r="L493" s="64"/>
      <c r="M493" s="79"/>
    </row>
    <row r="494" spans="3:13" ht="13">
      <c r="C494" s="63"/>
      <c r="E494" s="104"/>
      <c r="F494" s="104"/>
      <c r="G494" s="104"/>
      <c r="H494" s="104"/>
      <c r="I494" s="104"/>
      <c r="J494" s="104"/>
      <c r="K494" s="104"/>
      <c r="L494" s="64"/>
      <c r="M494" s="79"/>
    </row>
    <row r="495" spans="3:13" ht="13">
      <c r="C495" s="63"/>
      <c r="E495" s="104"/>
      <c r="F495" s="104"/>
      <c r="G495" s="104"/>
      <c r="H495" s="104"/>
      <c r="I495" s="104"/>
      <c r="J495" s="104"/>
      <c r="K495" s="104"/>
      <c r="L495" s="64"/>
      <c r="M495" s="79"/>
    </row>
    <row r="496" spans="3:13" ht="13">
      <c r="C496" s="63"/>
      <c r="E496" s="104"/>
      <c r="F496" s="104"/>
      <c r="G496" s="104"/>
      <c r="H496" s="104"/>
      <c r="I496" s="104"/>
      <c r="J496" s="104"/>
      <c r="K496" s="104"/>
      <c r="L496" s="64"/>
      <c r="M496" s="79"/>
    </row>
    <row r="497" spans="3:13" ht="13">
      <c r="C497" s="63"/>
      <c r="E497" s="104"/>
      <c r="F497" s="104"/>
      <c r="G497" s="104"/>
      <c r="H497" s="104"/>
      <c r="I497" s="104"/>
      <c r="J497" s="104"/>
      <c r="K497" s="104"/>
      <c r="L497" s="64"/>
      <c r="M497" s="79"/>
    </row>
    <row r="498" spans="3:13" ht="13">
      <c r="C498" s="63"/>
      <c r="E498" s="104"/>
      <c r="F498" s="104"/>
      <c r="G498" s="104"/>
      <c r="H498" s="104"/>
      <c r="I498" s="104"/>
      <c r="J498" s="104"/>
      <c r="K498" s="104"/>
      <c r="L498" s="64"/>
      <c r="M498" s="79"/>
    </row>
    <row r="499" spans="3:13" ht="13">
      <c r="C499" s="63"/>
      <c r="E499" s="104"/>
      <c r="F499" s="104"/>
      <c r="G499" s="104"/>
      <c r="H499" s="104"/>
      <c r="I499" s="104"/>
      <c r="J499" s="104"/>
      <c r="K499" s="104"/>
      <c r="L499" s="64"/>
      <c r="M499" s="79"/>
    </row>
    <row r="500" spans="3:13" ht="13">
      <c r="C500" s="63"/>
      <c r="E500" s="104"/>
      <c r="F500" s="104"/>
      <c r="G500" s="104"/>
      <c r="H500" s="104"/>
      <c r="I500" s="104"/>
      <c r="J500" s="104"/>
      <c r="K500" s="104"/>
      <c r="L500" s="64"/>
      <c r="M500" s="79"/>
    </row>
    <row r="501" spans="3:13" ht="13">
      <c r="C501" s="63"/>
      <c r="E501" s="104"/>
      <c r="F501" s="104"/>
      <c r="G501" s="104"/>
      <c r="H501" s="104"/>
      <c r="I501" s="104"/>
      <c r="J501" s="104"/>
      <c r="K501" s="104"/>
      <c r="L501" s="64"/>
      <c r="M501" s="79"/>
    </row>
    <row r="502" spans="3:13" ht="13">
      <c r="C502" s="63"/>
      <c r="E502" s="104"/>
      <c r="F502" s="104"/>
      <c r="G502" s="104"/>
      <c r="H502" s="104"/>
      <c r="I502" s="104"/>
      <c r="J502" s="104"/>
      <c r="K502" s="104"/>
      <c r="L502" s="64"/>
      <c r="M502" s="79"/>
    </row>
    <row r="503" spans="3:13" ht="13">
      <c r="C503" s="63"/>
      <c r="E503" s="104"/>
      <c r="F503" s="104"/>
      <c r="G503" s="104"/>
      <c r="H503" s="104"/>
      <c r="I503" s="104"/>
      <c r="J503" s="104"/>
      <c r="K503" s="104"/>
      <c r="L503" s="64"/>
      <c r="M503" s="79"/>
    </row>
    <row r="504" spans="3:13" ht="13">
      <c r="C504" s="63"/>
      <c r="E504" s="104"/>
      <c r="F504" s="104"/>
      <c r="G504" s="104"/>
      <c r="H504" s="104"/>
      <c r="I504" s="104"/>
      <c r="J504" s="104"/>
      <c r="K504" s="104"/>
      <c r="L504" s="64"/>
      <c r="M504" s="79"/>
    </row>
    <row r="505" spans="3:13" ht="13">
      <c r="C505" s="63"/>
      <c r="E505" s="104"/>
      <c r="F505" s="104"/>
      <c r="G505" s="104"/>
      <c r="H505" s="104"/>
      <c r="I505" s="104"/>
      <c r="J505" s="104"/>
      <c r="K505" s="104"/>
      <c r="L505" s="64"/>
      <c r="M505" s="79"/>
    </row>
    <row r="506" spans="3:13" ht="13">
      <c r="C506" s="63"/>
      <c r="E506" s="104"/>
      <c r="F506" s="104"/>
      <c r="G506" s="104"/>
      <c r="H506" s="104"/>
      <c r="I506" s="104"/>
      <c r="J506" s="104"/>
      <c r="K506" s="104"/>
      <c r="L506" s="64"/>
      <c r="M506" s="79"/>
    </row>
    <row r="507" spans="3:13" ht="13">
      <c r="C507" s="63"/>
      <c r="E507" s="104"/>
      <c r="F507" s="104"/>
      <c r="G507" s="104"/>
      <c r="H507" s="104"/>
      <c r="I507" s="104"/>
      <c r="J507" s="104"/>
      <c r="K507" s="104"/>
      <c r="L507" s="64"/>
      <c r="M507" s="79"/>
    </row>
    <row r="508" spans="3:13" ht="13">
      <c r="C508" s="63"/>
      <c r="E508" s="104"/>
      <c r="F508" s="104"/>
      <c r="G508" s="104"/>
      <c r="H508" s="104"/>
      <c r="I508" s="104"/>
      <c r="J508" s="104"/>
      <c r="K508" s="104"/>
      <c r="L508" s="64"/>
      <c r="M508" s="79"/>
    </row>
    <row r="509" spans="3:13" ht="13">
      <c r="C509" s="63"/>
      <c r="E509" s="104"/>
      <c r="F509" s="104"/>
      <c r="G509" s="104"/>
      <c r="H509" s="104"/>
      <c r="I509" s="104"/>
      <c r="J509" s="104"/>
      <c r="K509" s="104"/>
      <c r="L509" s="64"/>
      <c r="M509" s="79"/>
    </row>
    <row r="510" spans="3:13" ht="13">
      <c r="C510" s="63"/>
      <c r="E510" s="104"/>
      <c r="F510" s="104"/>
      <c r="G510" s="104"/>
      <c r="H510" s="104"/>
      <c r="I510" s="104"/>
      <c r="J510" s="104"/>
      <c r="K510" s="104"/>
      <c r="L510" s="64"/>
      <c r="M510" s="79"/>
    </row>
    <row r="511" spans="3:13" ht="13">
      <c r="C511" s="63"/>
      <c r="E511" s="104"/>
      <c r="F511" s="104"/>
      <c r="G511" s="104"/>
      <c r="H511" s="104"/>
      <c r="I511" s="104"/>
      <c r="J511" s="104"/>
      <c r="K511" s="104"/>
      <c r="L511" s="64"/>
      <c r="M511" s="79"/>
    </row>
    <row r="512" spans="3:13" ht="13">
      <c r="C512" s="63"/>
      <c r="E512" s="104"/>
      <c r="F512" s="104"/>
      <c r="G512" s="104"/>
      <c r="H512" s="104"/>
      <c r="I512" s="104"/>
      <c r="J512" s="104"/>
      <c r="K512" s="104"/>
      <c r="L512" s="64"/>
      <c r="M512" s="79"/>
    </row>
    <row r="513" spans="3:13" ht="13">
      <c r="C513" s="63"/>
      <c r="E513" s="104"/>
      <c r="F513" s="104"/>
      <c r="G513" s="104"/>
      <c r="H513" s="104"/>
      <c r="I513" s="104"/>
      <c r="J513" s="104"/>
      <c r="K513" s="104"/>
      <c r="L513" s="64"/>
      <c r="M513" s="79"/>
    </row>
    <row r="514" spans="3:13" ht="13">
      <c r="C514" s="63"/>
      <c r="E514" s="104"/>
      <c r="F514" s="104"/>
      <c r="G514" s="104"/>
      <c r="H514" s="104"/>
      <c r="I514" s="104"/>
      <c r="J514" s="104"/>
      <c r="K514" s="104"/>
      <c r="L514" s="64"/>
      <c r="M514" s="79"/>
    </row>
    <row r="515" spans="3:13" ht="13">
      <c r="C515" s="63"/>
      <c r="E515" s="104"/>
      <c r="F515" s="104"/>
      <c r="G515" s="104"/>
      <c r="H515" s="104"/>
      <c r="I515" s="104"/>
      <c r="J515" s="104"/>
      <c r="K515" s="104"/>
      <c r="L515" s="64"/>
      <c r="M515" s="79"/>
    </row>
    <row r="516" spans="3:13" ht="13">
      <c r="C516" s="63"/>
      <c r="E516" s="104"/>
      <c r="F516" s="104"/>
      <c r="G516" s="104"/>
      <c r="H516" s="104"/>
      <c r="I516" s="104"/>
      <c r="J516" s="104"/>
      <c r="K516" s="104"/>
      <c r="L516" s="64"/>
      <c r="M516" s="79"/>
    </row>
    <row r="517" spans="3:13" ht="13">
      <c r="C517" s="63"/>
      <c r="E517" s="104"/>
      <c r="F517" s="104"/>
      <c r="G517" s="104"/>
      <c r="H517" s="104"/>
      <c r="I517" s="104"/>
      <c r="J517" s="104"/>
      <c r="K517" s="104"/>
      <c r="L517" s="64"/>
      <c r="M517" s="79"/>
    </row>
    <row r="518" spans="3:13" ht="13">
      <c r="C518" s="63"/>
      <c r="E518" s="104"/>
      <c r="F518" s="104"/>
      <c r="G518" s="104"/>
      <c r="H518" s="104"/>
      <c r="I518" s="104"/>
      <c r="J518" s="104"/>
      <c r="K518" s="104"/>
      <c r="L518" s="64"/>
      <c r="M518" s="79"/>
    </row>
    <row r="519" spans="3:13" ht="13">
      <c r="C519" s="63"/>
      <c r="E519" s="104"/>
      <c r="F519" s="104"/>
      <c r="G519" s="104"/>
      <c r="H519" s="104"/>
      <c r="I519" s="104"/>
      <c r="J519" s="104"/>
      <c r="K519" s="104"/>
      <c r="L519" s="64"/>
      <c r="M519" s="79"/>
    </row>
    <row r="520" spans="3:13" ht="13">
      <c r="C520" s="63"/>
      <c r="E520" s="104"/>
      <c r="F520" s="104"/>
      <c r="G520" s="104"/>
      <c r="H520" s="104"/>
      <c r="I520" s="104"/>
      <c r="J520" s="104"/>
      <c r="K520" s="104"/>
      <c r="L520" s="64"/>
      <c r="M520" s="79"/>
    </row>
    <row r="521" spans="3:13" ht="13">
      <c r="C521" s="63"/>
      <c r="E521" s="104"/>
      <c r="F521" s="104"/>
      <c r="G521" s="104"/>
      <c r="H521" s="104"/>
      <c r="I521" s="104"/>
      <c r="J521" s="104"/>
      <c r="K521" s="104"/>
      <c r="L521" s="64"/>
      <c r="M521" s="79"/>
    </row>
    <row r="522" spans="3:13" ht="13">
      <c r="C522" s="63"/>
      <c r="E522" s="104"/>
      <c r="F522" s="104"/>
      <c r="G522" s="104"/>
      <c r="H522" s="104"/>
      <c r="I522" s="104"/>
      <c r="J522" s="104"/>
      <c r="K522" s="104"/>
      <c r="L522" s="64"/>
      <c r="M522" s="79"/>
    </row>
    <row r="523" spans="3:13" ht="13">
      <c r="C523" s="63"/>
      <c r="E523" s="104"/>
      <c r="F523" s="104"/>
      <c r="G523" s="104"/>
      <c r="H523" s="104"/>
      <c r="I523" s="104"/>
      <c r="J523" s="104"/>
      <c r="K523" s="104"/>
      <c r="L523" s="64"/>
      <c r="M523" s="79"/>
    </row>
    <row r="524" spans="3:13" ht="13">
      <c r="C524" s="63"/>
      <c r="E524" s="104"/>
      <c r="F524" s="104"/>
      <c r="G524" s="104"/>
      <c r="H524" s="104"/>
      <c r="I524" s="104"/>
      <c r="J524" s="104"/>
      <c r="K524" s="104"/>
      <c r="L524" s="64"/>
      <c r="M524" s="79"/>
    </row>
    <row r="525" spans="3:13" ht="13">
      <c r="C525" s="63"/>
      <c r="E525" s="104"/>
      <c r="F525" s="104"/>
      <c r="G525" s="104"/>
      <c r="H525" s="104"/>
      <c r="I525" s="104"/>
      <c r="J525" s="104"/>
      <c r="K525" s="104"/>
      <c r="L525" s="64"/>
      <c r="M525" s="79"/>
    </row>
    <row r="526" spans="3:13" ht="13">
      <c r="C526" s="63"/>
      <c r="E526" s="104"/>
      <c r="F526" s="104"/>
      <c r="G526" s="104"/>
      <c r="H526" s="104"/>
      <c r="I526" s="104"/>
      <c r="J526" s="104"/>
      <c r="K526" s="104"/>
      <c r="L526" s="64"/>
      <c r="M526" s="79"/>
    </row>
    <row r="527" spans="3:13" ht="13">
      <c r="C527" s="63"/>
      <c r="E527" s="104"/>
      <c r="F527" s="104"/>
      <c r="G527" s="104"/>
      <c r="H527" s="104"/>
      <c r="I527" s="104"/>
      <c r="J527" s="104"/>
      <c r="K527" s="104"/>
      <c r="L527" s="64"/>
      <c r="M527" s="79"/>
    </row>
    <row r="528" spans="3:13" ht="13">
      <c r="C528" s="63"/>
      <c r="E528" s="104"/>
      <c r="F528" s="104"/>
      <c r="G528" s="104"/>
      <c r="H528" s="104"/>
      <c r="I528" s="104"/>
      <c r="J528" s="104"/>
      <c r="K528" s="104"/>
      <c r="L528" s="64"/>
      <c r="M528" s="79"/>
    </row>
    <row r="529" spans="3:13" ht="13">
      <c r="C529" s="63"/>
      <c r="E529" s="104"/>
      <c r="F529" s="104"/>
      <c r="G529" s="104"/>
      <c r="H529" s="104"/>
      <c r="I529" s="104"/>
      <c r="J529" s="104"/>
      <c r="K529" s="104"/>
      <c r="L529" s="64"/>
      <c r="M529" s="79"/>
    </row>
    <row r="530" spans="3:13" ht="13">
      <c r="C530" s="63"/>
      <c r="E530" s="104"/>
      <c r="F530" s="104"/>
      <c r="G530" s="104"/>
      <c r="H530" s="104"/>
      <c r="I530" s="104"/>
      <c r="J530" s="104"/>
      <c r="K530" s="104"/>
      <c r="L530" s="64"/>
      <c r="M530" s="79"/>
    </row>
    <row r="531" spans="3:13" ht="13">
      <c r="C531" s="63"/>
      <c r="E531" s="104"/>
      <c r="F531" s="104"/>
      <c r="G531" s="104"/>
      <c r="H531" s="104"/>
      <c r="I531" s="104"/>
      <c r="J531" s="104"/>
      <c r="K531" s="104"/>
      <c r="L531" s="64"/>
      <c r="M531" s="79"/>
    </row>
    <row r="532" spans="3:13" ht="13">
      <c r="C532" s="63"/>
      <c r="E532" s="104"/>
      <c r="F532" s="104"/>
      <c r="G532" s="104"/>
      <c r="H532" s="104"/>
      <c r="I532" s="104"/>
      <c r="J532" s="104"/>
      <c r="K532" s="104"/>
      <c r="L532" s="64"/>
      <c r="M532" s="79"/>
    </row>
    <row r="533" spans="3:13" ht="13">
      <c r="C533" s="63"/>
      <c r="E533" s="104"/>
      <c r="F533" s="104"/>
      <c r="G533" s="104"/>
      <c r="H533" s="104"/>
      <c r="I533" s="104"/>
      <c r="J533" s="104"/>
      <c r="K533" s="104"/>
      <c r="L533" s="64"/>
      <c r="M533" s="79"/>
    </row>
    <row r="534" spans="3:13" ht="13">
      <c r="C534" s="63"/>
      <c r="E534" s="104"/>
      <c r="F534" s="104"/>
      <c r="G534" s="104"/>
      <c r="H534" s="104"/>
      <c r="I534" s="104"/>
      <c r="J534" s="104"/>
      <c r="K534" s="104"/>
      <c r="L534" s="64"/>
      <c r="M534" s="79"/>
    </row>
    <row r="535" spans="3:13" ht="13">
      <c r="C535" s="63"/>
      <c r="E535" s="104"/>
      <c r="F535" s="104"/>
      <c r="G535" s="104"/>
      <c r="H535" s="104"/>
      <c r="I535" s="104"/>
      <c r="J535" s="104"/>
      <c r="K535" s="104"/>
      <c r="L535" s="64"/>
      <c r="M535" s="79"/>
    </row>
    <row r="536" spans="3:13" ht="13">
      <c r="C536" s="63"/>
      <c r="E536" s="104"/>
      <c r="F536" s="104"/>
      <c r="G536" s="104"/>
      <c r="H536" s="104"/>
      <c r="I536" s="104"/>
      <c r="J536" s="104"/>
      <c r="K536" s="104"/>
      <c r="L536" s="64"/>
      <c r="M536" s="79"/>
    </row>
    <row r="537" spans="3:13" ht="13">
      <c r="C537" s="63"/>
      <c r="E537" s="104"/>
      <c r="F537" s="104"/>
      <c r="G537" s="104"/>
      <c r="H537" s="104"/>
      <c r="I537" s="104"/>
      <c r="J537" s="104"/>
      <c r="K537" s="104"/>
      <c r="L537" s="64"/>
      <c r="M537" s="79"/>
    </row>
    <row r="538" spans="3:13" ht="13">
      <c r="C538" s="63"/>
      <c r="E538" s="104"/>
      <c r="F538" s="104"/>
      <c r="G538" s="104"/>
      <c r="H538" s="104"/>
      <c r="I538" s="104"/>
      <c r="J538" s="104"/>
      <c r="K538" s="104"/>
      <c r="L538" s="64"/>
      <c r="M538" s="79"/>
    </row>
    <row r="539" spans="3:13" ht="13">
      <c r="C539" s="63"/>
      <c r="E539" s="104"/>
      <c r="F539" s="104"/>
      <c r="G539" s="104"/>
      <c r="H539" s="104"/>
      <c r="I539" s="104"/>
      <c r="J539" s="104"/>
      <c r="K539" s="104"/>
      <c r="L539" s="64"/>
      <c r="M539" s="79"/>
    </row>
    <row r="540" spans="3:13" ht="13">
      <c r="C540" s="63"/>
      <c r="E540" s="104"/>
      <c r="F540" s="104"/>
      <c r="G540" s="104"/>
      <c r="H540" s="104"/>
      <c r="I540" s="104"/>
      <c r="J540" s="104"/>
      <c r="K540" s="104"/>
      <c r="L540" s="64"/>
      <c r="M540" s="79"/>
    </row>
    <row r="541" spans="3:13" ht="13">
      <c r="C541" s="63"/>
      <c r="E541" s="104"/>
      <c r="F541" s="104"/>
      <c r="G541" s="104"/>
      <c r="H541" s="104"/>
      <c r="I541" s="104"/>
      <c r="J541" s="104"/>
      <c r="K541" s="104"/>
      <c r="L541" s="64"/>
      <c r="M541" s="79"/>
    </row>
    <row r="542" spans="3:13" ht="13">
      <c r="C542" s="63"/>
      <c r="E542" s="104"/>
      <c r="F542" s="104"/>
      <c r="G542" s="104"/>
      <c r="H542" s="104"/>
      <c r="I542" s="104"/>
      <c r="J542" s="104"/>
      <c r="K542" s="104"/>
      <c r="L542" s="64"/>
      <c r="M542" s="79"/>
    </row>
    <row r="543" spans="3:13" ht="13">
      <c r="C543" s="63"/>
      <c r="E543" s="104"/>
      <c r="F543" s="104"/>
      <c r="G543" s="104"/>
      <c r="H543" s="104"/>
      <c r="I543" s="104"/>
      <c r="J543" s="104"/>
      <c r="K543" s="104"/>
      <c r="L543" s="64"/>
      <c r="M543" s="79"/>
    </row>
    <row r="544" spans="3:13" ht="13">
      <c r="C544" s="63"/>
      <c r="E544" s="104"/>
      <c r="F544" s="104"/>
      <c r="G544" s="104"/>
      <c r="H544" s="104"/>
      <c r="I544" s="104"/>
      <c r="J544" s="104"/>
      <c r="K544" s="104"/>
      <c r="L544" s="64"/>
      <c r="M544" s="79"/>
    </row>
    <row r="545" spans="3:13" ht="13">
      <c r="C545" s="63"/>
      <c r="E545" s="104"/>
      <c r="F545" s="104"/>
      <c r="G545" s="104"/>
      <c r="H545" s="104"/>
      <c r="I545" s="104"/>
      <c r="J545" s="104"/>
      <c r="K545" s="104"/>
      <c r="L545" s="64"/>
      <c r="M545" s="79"/>
    </row>
    <row r="546" spans="3:13" ht="13">
      <c r="C546" s="63"/>
      <c r="E546" s="104"/>
      <c r="F546" s="104"/>
      <c r="G546" s="104"/>
      <c r="H546" s="104"/>
      <c r="I546" s="104"/>
      <c r="J546" s="104"/>
      <c r="K546" s="104"/>
      <c r="L546" s="64"/>
      <c r="M546" s="79"/>
    </row>
    <row r="547" spans="3:13" ht="13">
      <c r="C547" s="63"/>
      <c r="E547" s="104"/>
      <c r="F547" s="104"/>
      <c r="G547" s="104"/>
      <c r="H547" s="104"/>
      <c r="I547" s="104"/>
      <c r="J547" s="104"/>
      <c r="K547" s="104"/>
      <c r="L547" s="64"/>
      <c r="M547" s="79"/>
    </row>
    <row r="548" spans="3:13" ht="13">
      <c r="C548" s="63"/>
      <c r="E548" s="104"/>
      <c r="F548" s="104"/>
      <c r="G548" s="104"/>
      <c r="H548" s="104"/>
      <c r="I548" s="104"/>
      <c r="J548" s="104"/>
      <c r="K548" s="104"/>
      <c r="L548" s="64"/>
      <c r="M548" s="79"/>
    </row>
    <row r="549" spans="3:13" ht="13">
      <c r="C549" s="63"/>
      <c r="E549" s="104"/>
      <c r="F549" s="104"/>
      <c r="G549" s="104"/>
      <c r="H549" s="104"/>
      <c r="I549" s="104"/>
      <c r="J549" s="104"/>
      <c r="K549" s="104"/>
      <c r="L549" s="64"/>
      <c r="M549" s="79"/>
    </row>
    <row r="550" spans="3:13" ht="13">
      <c r="C550" s="63"/>
      <c r="E550" s="104"/>
      <c r="F550" s="104"/>
      <c r="G550" s="104"/>
      <c r="H550" s="104"/>
      <c r="I550" s="104"/>
      <c r="J550" s="104"/>
      <c r="K550" s="104"/>
      <c r="L550" s="64"/>
      <c r="M550" s="79"/>
    </row>
    <row r="551" spans="3:13" ht="13">
      <c r="C551" s="63"/>
      <c r="E551" s="104"/>
      <c r="F551" s="104"/>
      <c r="G551" s="104"/>
      <c r="H551" s="104"/>
      <c r="I551" s="104"/>
      <c r="J551" s="104"/>
      <c r="K551" s="104"/>
      <c r="L551" s="64"/>
      <c r="M551" s="79"/>
    </row>
    <row r="552" spans="3:13" ht="13">
      <c r="C552" s="63"/>
      <c r="E552" s="104"/>
      <c r="F552" s="104"/>
      <c r="G552" s="104"/>
      <c r="H552" s="104"/>
      <c r="I552" s="104"/>
      <c r="J552" s="104"/>
      <c r="K552" s="104"/>
      <c r="L552" s="64"/>
      <c r="M552" s="79"/>
    </row>
    <row r="553" spans="3:13" ht="13">
      <c r="C553" s="63"/>
      <c r="E553" s="104"/>
      <c r="F553" s="104"/>
      <c r="G553" s="104"/>
      <c r="H553" s="104"/>
      <c r="I553" s="104"/>
      <c r="J553" s="104"/>
      <c r="K553" s="104"/>
      <c r="L553" s="64"/>
      <c r="M553" s="79"/>
    </row>
    <row r="554" spans="3:13" ht="13">
      <c r="C554" s="63"/>
      <c r="E554" s="104"/>
      <c r="F554" s="104"/>
      <c r="G554" s="104"/>
      <c r="H554" s="104"/>
      <c r="I554" s="104"/>
      <c r="J554" s="104"/>
      <c r="K554" s="104"/>
      <c r="L554" s="64"/>
      <c r="M554" s="79"/>
    </row>
    <row r="555" spans="3:13" ht="13">
      <c r="C555" s="63"/>
      <c r="E555" s="104"/>
      <c r="F555" s="104"/>
      <c r="G555" s="104"/>
      <c r="H555" s="104"/>
      <c r="I555" s="104"/>
      <c r="J555" s="104"/>
      <c r="K555" s="104"/>
      <c r="L555" s="64"/>
      <c r="M555" s="79"/>
    </row>
    <row r="556" spans="3:13" ht="13">
      <c r="C556" s="63"/>
      <c r="E556" s="104"/>
      <c r="F556" s="104"/>
      <c r="G556" s="104"/>
      <c r="H556" s="104"/>
      <c r="I556" s="104"/>
      <c r="J556" s="104"/>
      <c r="K556" s="104"/>
      <c r="L556" s="64"/>
      <c r="M556" s="79"/>
    </row>
    <row r="557" spans="3:13" ht="13">
      <c r="C557" s="63"/>
      <c r="E557" s="104"/>
      <c r="F557" s="104"/>
      <c r="G557" s="104"/>
      <c r="H557" s="104"/>
      <c r="I557" s="104"/>
      <c r="J557" s="104"/>
      <c r="K557" s="104"/>
      <c r="L557" s="64"/>
      <c r="M557" s="79"/>
    </row>
    <row r="558" spans="3:13" ht="13">
      <c r="C558" s="63"/>
      <c r="E558" s="104"/>
      <c r="F558" s="104"/>
      <c r="G558" s="104"/>
      <c r="H558" s="104"/>
      <c r="I558" s="104"/>
      <c r="J558" s="104"/>
      <c r="K558" s="104"/>
      <c r="L558" s="64"/>
      <c r="M558" s="79"/>
    </row>
    <row r="559" spans="3:13" ht="13">
      <c r="C559" s="63"/>
      <c r="E559" s="104"/>
      <c r="F559" s="104"/>
      <c r="G559" s="104"/>
      <c r="H559" s="104"/>
      <c r="I559" s="104"/>
      <c r="J559" s="104"/>
      <c r="K559" s="104"/>
      <c r="L559" s="64"/>
      <c r="M559" s="79"/>
    </row>
    <row r="560" spans="3:13" ht="13">
      <c r="C560" s="63"/>
      <c r="E560" s="104"/>
      <c r="F560" s="104"/>
      <c r="G560" s="104"/>
      <c r="H560" s="104"/>
      <c r="I560" s="104"/>
      <c r="J560" s="104"/>
      <c r="K560" s="104"/>
      <c r="L560" s="64"/>
      <c r="M560" s="79"/>
    </row>
    <row r="561" spans="3:13" ht="13">
      <c r="C561" s="63"/>
      <c r="E561" s="104"/>
      <c r="F561" s="104"/>
      <c r="G561" s="104"/>
      <c r="H561" s="104"/>
      <c r="I561" s="104"/>
      <c r="J561" s="104"/>
      <c r="K561" s="104"/>
      <c r="L561" s="64"/>
      <c r="M561" s="79"/>
    </row>
    <row r="562" spans="3:13" ht="13">
      <c r="C562" s="63"/>
      <c r="E562" s="104"/>
      <c r="F562" s="104"/>
      <c r="G562" s="104"/>
      <c r="H562" s="104"/>
      <c r="I562" s="104"/>
      <c r="J562" s="104"/>
      <c r="K562" s="104"/>
      <c r="L562" s="64"/>
      <c r="M562" s="79"/>
    </row>
    <row r="563" spans="3:13" ht="13">
      <c r="C563" s="63"/>
      <c r="E563" s="104"/>
      <c r="F563" s="104"/>
      <c r="G563" s="104"/>
      <c r="H563" s="104"/>
      <c r="I563" s="104"/>
      <c r="J563" s="104"/>
      <c r="K563" s="104"/>
      <c r="L563" s="64"/>
      <c r="M563" s="79"/>
    </row>
    <row r="564" spans="3:13" ht="13">
      <c r="C564" s="63"/>
      <c r="E564" s="104"/>
      <c r="F564" s="104"/>
      <c r="G564" s="104"/>
      <c r="H564" s="104"/>
      <c r="I564" s="104"/>
      <c r="J564" s="104"/>
      <c r="K564" s="104"/>
      <c r="L564" s="64"/>
      <c r="M564" s="79"/>
    </row>
    <row r="565" spans="3:13" ht="13">
      <c r="C565" s="63"/>
      <c r="E565" s="104"/>
      <c r="F565" s="104"/>
      <c r="G565" s="104"/>
      <c r="H565" s="104"/>
      <c r="I565" s="104"/>
      <c r="J565" s="104"/>
      <c r="K565" s="104"/>
      <c r="L565" s="64"/>
      <c r="M565" s="79"/>
    </row>
    <row r="566" spans="3:13" ht="13">
      <c r="C566" s="63"/>
      <c r="E566" s="104"/>
      <c r="F566" s="104"/>
      <c r="G566" s="104"/>
      <c r="H566" s="104"/>
      <c r="I566" s="104"/>
      <c r="J566" s="104"/>
      <c r="K566" s="104"/>
      <c r="L566" s="64"/>
      <c r="M566" s="79"/>
    </row>
    <row r="567" spans="3:13" ht="13">
      <c r="C567" s="63"/>
      <c r="E567" s="104"/>
      <c r="F567" s="104"/>
      <c r="G567" s="104"/>
      <c r="H567" s="104"/>
      <c r="I567" s="104"/>
      <c r="J567" s="104"/>
      <c r="K567" s="104"/>
      <c r="L567" s="64"/>
      <c r="M567" s="79"/>
    </row>
    <row r="568" spans="3:13" ht="13">
      <c r="C568" s="63"/>
      <c r="E568" s="104"/>
      <c r="F568" s="104"/>
      <c r="G568" s="104"/>
      <c r="H568" s="104"/>
      <c r="I568" s="104"/>
      <c r="J568" s="104"/>
      <c r="K568" s="104"/>
      <c r="L568" s="64"/>
      <c r="M568" s="79"/>
    </row>
    <row r="569" spans="3:13" ht="13">
      <c r="C569" s="63"/>
      <c r="E569" s="104"/>
      <c r="F569" s="104"/>
      <c r="G569" s="104"/>
      <c r="H569" s="104"/>
      <c r="I569" s="104"/>
      <c r="J569" s="104"/>
      <c r="K569" s="104"/>
      <c r="L569" s="64"/>
      <c r="M569" s="79"/>
    </row>
    <row r="570" spans="3:13" ht="13">
      <c r="C570" s="63"/>
      <c r="E570" s="104"/>
      <c r="F570" s="104"/>
      <c r="G570" s="104"/>
      <c r="H570" s="104"/>
      <c r="I570" s="104"/>
      <c r="J570" s="104"/>
      <c r="K570" s="104"/>
      <c r="L570" s="64"/>
      <c r="M570" s="79"/>
    </row>
    <row r="571" spans="3:13" ht="13">
      <c r="C571" s="63"/>
      <c r="E571" s="104"/>
      <c r="F571" s="104"/>
      <c r="G571" s="104"/>
      <c r="H571" s="104"/>
      <c r="I571" s="104"/>
      <c r="J571" s="104"/>
      <c r="K571" s="104"/>
      <c r="L571" s="64"/>
      <c r="M571" s="79"/>
    </row>
    <row r="572" spans="3:13" ht="13">
      <c r="C572" s="63"/>
      <c r="E572" s="104"/>
      <c r="F572" s="104"/>
      <c r="G572" s="104"/>
      <c r="H572" s="104"/>
      <c r="I572" s="104"/>
      <c r="J572" s="104"/>
      <c r="K572" s="104"/>
      <c r="L572" s="64"/>
      <c r="M572" s="79"/>
    </row>
    <row r="573" spans="3:13" ht="13">
      <c r="C573" s="63"/>
      <c r="E573" s="104"/>
      <c r="F573" s="104"/>
      <c r="G573" s="104"/>
      <c r="H573" s="104"/>
      <c r="I573" s="104"/>
      <c r="J573" s="104"/>
      <c r="K573" s="104"/>
      <c r="L573" s="64"/>
      <c r="M573" s="79"/>
    </row>
    <row r="574" spans="3:13" ht="13">
      <c r="C574" s="63"/>
      <c r="E574" s="104"/>
      <c r="F574" s="104"/>
      <c r="G574" s="104"/>
      <c r="H574" s="104"/>
      <c r="I574" s="104"/>
      <c r="J574" s="104"/>
      <c r="K574" s="104"/>
      <c r="L574" s="64"/>
      <c r="M574" s="79"/>
    </row>
    <row r="575" spans="3:13" ht="13">
      <c r="C575" s="63"/>
      <c r="E575" s="104"/>
      <c r="F575" s="104"/>
      <c r="G575" s="104"/>
      <c r="H575" s="104"/>
      <c r="I575" s="104"/>
      <c r="J575" s="104"/>
      <c r="K575" s="104"/>
      <c r="L575" s="64"/>
      <c r="M575" s="79"/>
    </row>
    <row r="576" spans="3:13" ht="13">
      <c r="C576" s="63"/>
      <c r="E576" s="104"/>
      <c r="F576" s="104"/>
      <c r="G576" s="104"/>
      <c r="H576" s="104"/>
      <c r="I576" s="104"/>
      <c r="J576" s="104"/>
      <c r="K576" s="104"/>
      <c r="L576" s="64"/>
      <c r="M576" s="79"/>
    </row>
    <row r="577" spans="3:13" ht="13">
      <c r="C577" s="63"/>
      <c r="E577" s="104"/>
      <c r="F577" s="104"/>
      <c r="G577" s="104"/>
      <c r="H577" s="104"/>
      <c r="I577" s="104"/>
      <c r="J577" s="104"/>
      <c r="K577" s="104"/>
      <c r="L577" s="64"/>
      <c r="M577" s="79"/>
    </row>
    <row r="578" spans="3:13" ht="13">
      <c r="C578" s="63"/>
      <c r="E578" s="104"/>
      <c r="F578" s="104"/>
      <c r="G578" s="104"/>
      <c r="H578" s="104"/>
      <c r="I578" s="104"/>
      <c r="J578" s="104"/>
      <c r="K578" s="104"/>
      <c r="L578" s="64"/>
      <c r="M578" s="79"/>
    </row>
    <row r="579" spans="3:13" ht="13">
      <c r="C579" s="63"/>
      <c r="E579" s="104"/>
      <c r="F579" s="104"/>
      <c r="G579" s="104"/>
      <c r="H579" s="104"/>
      <c r="I579" s="104"/>
      <c r="J579" s="104"/>
      <c r="K579" s="104"/>
      <c r="L579" s="64"/>
      <c r="M579" s="79"/>
    </row>
    <row r="580" spans="3:13" ht="13">
      <c r="C580" s="63"/>
      <c r="E580" s="104"/>
      <c r="F580" s="104"/>
      <c r="G580" s="104"/>
      <c r="H580" s="104"/>
      <c r="I580" s="104"/>
      <c r="J580" s="104"/>
      <c r="K580" s="104"/>
      <c r="L580" s="64"/>
      <c r="M580" s="79"/>
    </row>
    <row r="581" spans="3:13" ht="13">
      <c r="C581" s="63"/>
      <c r="E581" s="104"/>
      <c r="F581" s="104"/>
      <c r="G581" s="104"/>
      <c r="H581" s="104"/>
      <c r="I581" s="104"/>
      <c r="J581" s="104"/>
      <c r="K581" s="104"/>
      <c r="L581" s="64"/>
      <c r="M581" s="79"/>
    </row>
    <row r="582" spans="3:13" ht="13">
      <c r="C582" s="63"/>
      <c r="E582" s="104"/>
      <c r="F582" s="104"/>
      <c r="G582" s="104"/>
      <c r="H582" s="104"/>
      <c r="I582" s="104"/>
      <c r="J582" s="104"/>
      <c r="K582" s="104"/>
      <c r="L582" s="64"/>
      <c r="M582" s="79"/>
    </row>
    <row r="583" spans="3:13" ht="13">
      <c r="C583" s="63"/>
      <c r="E583" s="104"/>
      <c r="F583" s="104"/>
      <c r="G583" s="104"/>
      <c r="H583" s="104"/>
      <c r="I583" s="104"/>
      <c r="J583" s="104"/>
      <c r="K583" s="104"/>
      <c r="L583" s="64"/>
      <c r="M583" s="79"/>
    </row>
    <row r="584" spans="3:13" ht="13">
      <c r="C584" s="63"/>
      <c r="E584" s="104"/>
      <c r="F584" s="104"/>
      <c r="G584" s="104"/>
      <c r="H584" s="104"/>
      <c r="I584" s="104"/>
      <c r="J584" s="104"/>
      <c r="K584" s="104"/>
      <c r="L584" s="64"/>
      <c r="M584" s="79"/>
    </row>
    <row r="585" spans="3:13" ht="13">
      <c r="C585" s="63"/>
      <c r="E585" s="104"/>
      <c r="F585" s="104"/>
      <c r="G585" s="104"/>
      <c r="H585" s="104"/>
      <c r="I585" s="104"/>
      <c r="J585" s="104"/>
      <c r="K585" s="104"/>
      <c r="L585" s="64"/>
      <c r="M585" s="79"/>
    </row>
    <row r="586" spans="3:13" ht="13">
      <c r="C586" s="63"/>
      <c r="E586" s="104"/>
      <c r="F586" s="104"/>
      <c r="G586" s="104"/>
      <c r="H586" s="104"/>
      <c r="I586" s="104"/>
      <c r="J586" s="104"/>
      <c r="K586" s="104"/>
      <c r="L586" s="64"/>
      <c r="M586" s="79"/>
    </row>
    <row r="587" spans="3:13" ht="13">
      <c r="C587" s="63"/>
      <c r="E587" s="104"/>
      <c r="F587" s="104"/>
      <c r="G587" s="104"/>
      <c r="H587" s="104"/>
      <c r="I587" s="104"/>
      <c r="J587" s="104"/>
      <c r="K587" s="104"/>
      <c r="L587" s="64"/>
      <c r="M587" s="79"/>
    </row>
    <row r="588" spans="3:13" ht="13">
      <c r="C588" s="63"/>
      <c r="E588" s="104"/>
      <c r="F588" s="104"/>
      <c r="G588" s="104"/>
      <c r="H588" s="104"/>
      <c r="I588" s="104"/>
      <c r="J588" s="104"/>
      <c r="K588" s="104"/>
      <c r="L588" s="64"/>
      <c r="M588" s="79"/>
    </row>
    <row r="589" spans="3:13" ht="13">
      <c r="C589" s="63"/>
      <c r="E589" s="104"/>
      <c r="F589" s="104"/>
      <c r="G589" s="104"/>
      <c r="H589" s="104"/>
      <c r="I589" s="104"/>
      <c r="J589" s="104"/>
      <c r="K589" s="104"/>
      <c r="L589" s="64"/>
      <c r="M589" s="79"/>
    </row>
    <row r="590" spans="3:13" ht="13">
      <c r="C590" s="63"/>
      <c r="E590" s="104"/>
      <c r="F590" s="104"/>
      <c r="G590" s="104"/>
      <c r="H590" s="104"/>
      <c r="I590" s="104"/>
      <c r="J590" s="104"/>
      <c r="K590" s="104"/>
      <c r="L590" s="64"/>
      <c r="M590" s="79"/>
    </row>
    <row r="591" spans="3:13" ht="13">
      <c r="C591" s="63"/>
      <c r="E591" s="104"/>
      <c r="F591" s="104"/>
      <c r="G591" s="104"/>
      <c r="H591" s="104"/>
      <c r="I591" s="104"/>
      <c r="J591" s="104"/>
      <c r="K591" s="104"/>
      <c r="L591" s="64"/>
      <c r="M591" s="79"/>
    </row>
    <row r="592" spans="3:13" ht="13">
      <c r="C592" s="63"/>
      <c r="E592" s="104"/>
      <c r="F592" s="104"/>
      <c r="G592" s="104"/>
      <c r="H592" s="104"/>
      <c r="I592" s="104"/>
      <c r="J592" s="104"/>
      <c r="K592" s="104"/>
      <c r="L592" s="64"/>
      <c r="M592" s="79"/>
    </row>
    <row r="593" spans="3:13" ht="13">
      <c r="C593" s="63"/>
      <c r="E593" s="104"/>
      <c r="F593" s="104"/>
      <c r="G593" s="104"/>
      <c r="H593" s="104"/>
      <c r="I593" s="104"/>
      <c r="J593" s="104"/>
      <c r="K593" s="104"/>
      <c r="L593" s="64"/>
      <c r="M593" s="79"/>
    </row>
    <row r="594" spans="3:13" ht="13">
      <c r="C594" s="63"/>
      <c r="E594" s="104"/>
      <c r="F594" s="104"/>
      <c r="G594" s="104"/>
      <c r="H594" s="104"/>
      <c r="I594" s="104"/>
      <c r="J594" s="104"/>
      <c r="K594" s="104"/>
      <c r="L594" s="64"/>
      <c r="M594" s="79"/>
    </row>
    <row r="595" spans="3:13" ht="13">
      <c r="C595" s="63"/>
      <c r="E595" s="104"/>
      <c r="F595" s="104"/>
      <c r="G595" s="104"/>
      <c r="H595" s="104"/>
      <c r="I595" s="104"/>
      <c r="J595" s="104"/>
      <c r="K595" s="104"/>
      <c r="L595" s="64"/>
      <c r="M595" s="79"/>
    </row>
    <row r="596" spans="3:13" ht="13">
      <c r="C596" s="63"/>
      <c r="E596" s="104"/>
      <c r="F596" s="104"/>
      <c r="G596" s="104"/>
      <c r="H596" s="104"/>
      <c r="I596" s="104"/>
      <c r="J596" s="104"/>
      <c r="K596" s="104"/>
      <c r="L596" s="64"/>
      <c r="M596" s="79"/>
    </row>
    <row r="597" spans="3:13" ht="13">
      <c r="C597" s="63"/>
      <c r="E597" s="104"/>
      <c r="F597" s="104"/>
      <c r="G597" s="104"/>
      <c r="H597" s="104"/>
      <c r="I597" s="104"/>
      <c r="J597" s="104"/>
      <c r="K597" s="104"/>
      <c r="L597" s="64"/>
      <c r="M597" s="79"/>
    </row>
    <row r="598" spans="3:13" ht="13">
      <c r="C598" s="63"/>
      <c r="E598" s="104"/>
      <c r="F598" s="104"/>
      <c r="G598" s="104"/>
      <c r="H598" s="104"/>
      <c r="I598" s="104"/>
      <c r="J598" s="104"/>
      <c r="K598" s="104"/>
      <c r="L598" s="64"/>
      <c r="M598" s="79"/>
    </row>
    <row r="599" spans="3:13" ht="13">
      <c r="C599" s="63"/>
      <c r="E599" s="104"/>
      <c r="F599" s="104"/>
      <c r="G599" s="104"/>
      <c r="H599" s="104"/>
      <c r="I599" s="104"/>
      <c r="J599" s="104"/>
      <c r="K599" s="104"/>
      <c r="L599" s="64"/>
      <c r="M599" s="79"/>
    </row>
    <row r="600" spans="3:13" ht="13">
      <c r="C600" s="63"/>
      <c r="E600" s="104"/>
      <c r="F600" s="104"/>
      <c r="G600" s="104"/>
      <c r="H600" s="104"/>
      <c r="I600" s="104"/>
      <c r="J600" s="104"/>
      <c r="K600" s="104"/>
      <c r="L600" s="64"/>
      <c r="M600" s="79"/>
    </row>
    <row r="601" spans="3:13" ht="13">
      <c r="C601" s="63"/>
      <c r="E601" s="104"/>
      <c r="F601" s="104"/>
      <c r="G601" s="104"/>
      <c r="H601" s="104"/>
      <c r="I601" s="104"/>
      <c r="J601" s="104"/>
      <c r="K601" s="104"/>
      <c r="L601" s="64"/>
      <c r="M601" s="79"/>
    </row>
    <row r="602" spans="3:13" ht="13">
      <c r="C602" s="63"/>
      <c r="E602" s="104"/>
      <c r="F602" s="104"/>
      <c r="G602" s="104"/>
      <c r="H602" s="104"/>
      <c r="I602" s="104"/>
      <c r="J602" s="104"/>
      <c r="K602" s="104"/>
      <c r="L602" s="64"/>
      <c r="M602" s="79"/>
    </row>
    <row r="603" spans="3:13" ht="13">
      <c r="C603" s="63"/>
      <c r="E603" s="104"/>
      <c r="F603" s="104"/>
      <c r="G603" s="104"/>
      <c r="H603" s="104"/>
      <c r="I603" s="104"/>
      <c r="J603" s="104"/>
      <c r="K603" s="104"/>
      <c r="L603" s="64"/>
      <c r="M603" s="79"/>
    </row>
    <row r="604" spans="3:13" ht="13">
      <c r="C604" s="63"/>
      <c r="E604" s="104"/>
      <c r="F604" s="104"/>
      <c r="G604" s="104"/>
      <c r="H604" s="104"/>
      <c r="I604" s="104"/>
      <c r="J604" s="104"/>
      <c r="K604" s="104"/>
      <c r="L604" s="64"/>
      <c r="M604" s="79"/>
    </row>
    <row r="605" spans="3:13" ht="13">
      <c r="C605" s="63"/>
      <c r="E605" s="104"/>
      <c r="F605" s="104"/>
      <c r="G605" s="104"/>
      <c r="H605" s="104"/>
      <c r="I605" s="104"/>
      <c r="J605" s="104"/>
      <c r="K605" s="104"/>
      <c r="L605" s="64"/>
      <c r="M605" s="79"/>
    </row>
    <row r="606" spans="3:13" ht="13">
      <c r="C606" s="63"/>
      <c r="E606" s="104"/>
      <c r="F606" s="104"/>
      <c r="G606" s="104"/>
      <c r="H606" s="104"/>
      <c r="I606" s="104"/>
      <c r="J606" s="104"/>
      <c r="K606" s="104"/>
      <c r="L606" s="64"/>
      <c r="M606" s="79"/>
    </row>
    <row r="607" spans="3:13" ht="13">
      <c r="C607" s="63"/>
      <c r="E607" s="104"/>
      <c r="F607" s="104"/>
      <c r="G607" s="104"/>
      <c r="H607" s="104"/>
      <c r="I607" s="104"/>
      <c r="J607" s="104"/>
      <c r="K607" s="104"/>
      <c r="L607" s="64"/>
      <c r="M607" s="79"/>
    </row>
    <row r="608" spans="3:13" ht="13">
      <c r="C608" s="63"/>
      <c r="E608" s="104"/>
      <c r="F608" s="104"/>
      <c r="G608" s="104"/>
      <c r="H608" s="104"/>
      <c r="I608" s="104"/>
      <c r="J608" s="104"/>
      <c r="K608" s="104"/>
      <c r="L608" s="64"/>
      <c r="M608" s="79"/>
    </row>
    <row r="609" spans="3:13" ht="13">
      <c r="C609" s="63"/>
      <c r="E609" s="104"/>
      <c r="F609" s="104"/>
      <c r="G609" s="104"/>
      <c r="H609" s="104"/>
      <c r="I609" s="104"/>
      <c r="J609" s="104"/>
      <c r="K609" s="104"/>
      <c r="L609" s="64"/>
      <c r="M609" s="79"/>
    </row>
    <row r="610" spans="3:13" ht="13">
      <c r="C610" s="63"/>
      <c r="E610" s="104"/>
      <c r="F610" s="104"/>
      <c r="G610" s="104"/>
      <c r="H610" s="104"/>
      <c r="I610" s="104"/>
      <c r="J610" s="104"/>
      <c r="K610" s="104"/>
      <c r="L610" s="64"/>
      <c r="M610" s="79"/>
    </row>
    <row r="611" spans="3:13" ht="13">
      <c r="C611" s="63"/>
      <c r="E611" s="104"/>
      <c r="F611" s="104"/>
      <c r="G611" s="104"/>
      <c r="H611" s="104"/>
      <c r="I611" s="104"/>
      <c r="J611" s="104"/>
      <c r="K611" s="104"/>
      <c r="L611" s="64"/>
      <c r="M611" s="79"/>
    </row>
    <row r="612" spans="3:13" ht="13">
      <c r="C612" s="63"/>
      <c r="E612" s="104"/>
      <c r="F612" s="104"/>
      <c r="G612" s="104"/>
      <c r="H612" s="104"/>
      <c r="I612" s="104"/>
      <c r="J612" s="104"/>
      <c r="K612" s="104"/>
      <c r="L612" s="64"/>
      <c r="M612" s="79"/>
    </row>
    <row r="613" spans="3:13" ht="13">
      <c r="C613" s="63"/>
      <c r="E613" s="104"/>
      <c r="F613" s="104"/>
      <c r="G613" s="104"/>
      <c r="H613" s="104"/>
      <c r="I613" s="104"/>
      <c r="J613" s="104"/>
      <c r="K613" s="104"/>
      <c r="L613" s="64"/>
      <c r="M613" s="79"/>
    </row>
    <row r="614" spans="3:13" ht="13">
      <c r="C614" s="63"/>
      <c r="E614" s="104"/>
      <c r="F614" s="104"/>
      <c r="G614" s="104"/>
      <c r="H614" s="104"/>
      <c r="I614" s="104"/>
      <c r="J614" s="104"/>
      <c r="K614" s="104"/>
      <c r="L614" s="64"/>
      <c r="M614" s="79"/>
    </row>
    <row r="615" spans="3:13" ht="13">
      <c r="C615" s="63"/>
      <c r="E615" s="104"/>
      <c r="F615" s="104"/>
      <c r="G615" s="104"/>
      <c r="H615" s="104"/>
      <c r="I615" s="104"/>
      <c r="J615" s="104"/>
      <c r="K615" s="104"/>
      <c r="L615" s="64"/>
      <c r="M615" s="79"/>
    </row>
    <row r="616" spans="3:13" ht="13">
      <c r="C616" s="63"/>
      <c r="E616" s="104"/>
      <c r="F616" s="104"/>
      <c r="G616" s="104"/>
      <c r="H616" s="104"/>
      <c r="I616" s="104"/>
      <c r="J616" s="104"/>
      <c r="K616" s="104"/>
      <c r="L616" s="64"/>
      <c r="M616" s="79"/>
    </row>
    <row r="617" spans="3:13" ht="13">
      <c r="C617" s="63"/>
      <c r="E617" s="104"/>
      <c r="F617" s="104"/>
      <c r="G617" s="104"/>
      <c r="H617" s="104"/>
      <c r="I617" s="104"/>
      <c r="J617" s="104"/>
      <c r="K617" s="104"/>
      <c r="L617" s="64"/>
      <c r="M617" s="79"/>
    </row>
    <row r="618" spans="3:13" ht="13">
      <c r="C618" s="63"/>
      <c r="E618" s="104"/>
      <c r="F618" s="104"/>
      <c r="G618" s="104"/>
      <c r="H618" s="104"/>
      <c r="I618" s="104"/>
      <c r="J618" s="104"/>
      <c r="K618" s="104"/>
      <c r="L618" s="64"/>
      <c r="M618" s="79"/>
    </row>
    <row r="619" spans="3:13" ht="13">
      <c r="C619" s="63"/>
      <c r="E619" s="104"/>
      <c r="F619" s="104"/>
      <c r="G619" s="104"/>
      <c r="H619" s="104"/>
      <c r="I619" s="104"/>
      <c r="J619" s="104"/>
      <c r="K619" s="104"/>
      <c r="L619" s="64"/>
      <c r="M619" s="79"/>
    </row>
    <row r="620" spans="3:13" ht="13">
      <c r="C620" s="63"/>
      <c r="E620" s="104"/>
      <c r="F620" s="104"/>
      <c r="G620" s="104"/>
      <c r="H620" s="104"/>
      <c r="I620" s="104"/>
      <c r="J620" s="104"/>
      <c r="K620" s="104"/>
      <c r="L620" s="64"/>
      <c r="M620" s="79"/>
    </row>
    <row r="621" spans="3:13" ht="13">
      <c r="C621" s="63"/>
      <c r="E621" s="104"/>
      <c r="F621" s="104"/>
      <c r="G621" s="104"/>
      <c r="H621" s="104"/>
      <c r="I621" s="104"/>
      <c r="J621" s="104"/>
      <c r="K621" s="104"/>
      <c r="L621" s="64"/>
      <c r="M621" s="79"/>
    </row>
    <row r="622" spans="3:13" ht="13">
      <c r="C622" s="63"/>
      <c r="E622" s="104"/>
      <c r="F622" s="104"/>
      <c r="G622" s="104"/>
      <c r="H622" s="104"/>
      <c r="I622" s="104"/>
      <c r="J622" s="104"/>
      <c r="K622" s="104"/>
      <c r="L622" s="64"/>
      <c r="M622" s="79"/>
    </row>
    <row r="623" spans="3:13" ht="13">
      <c r="C623" s="63"/>
      <c r="E623" s="104"/>
      <c r="F623" s="104"/>
      <c r="G623" s="104"/>
      <c r="H623" s="104"/>
      <c r="I623" s="104"/>
      <c r="J623" s="104"/>
      <c r="K623" s="104"/>
      <c r="L623" s="64"/>
      <c r="M623" s="79"/>
    </row>
    <row r="624" spans="3:13" ht="13">
      <c r="C624" s="63"/>
      <c r="E624" s="104"/>
      <c r="F624" s="104"/>
      <c r="G624" s="104"/>
      <c r="H624" s="104"/>
      <c r="I624" s="104"/>
      <c r="J624" s="104"/>
      <c r="K624" s="104"/>
      <c r="L624" s="64"/>
      <c r="M624" s="79"/>
    </row>
    <row r="625" spans="3:13" ht="13">
      <c r="C625" s="63"/>
      <c r="E625" s="104"/>
      <c r="F625" s="104"/>
      <c r="G625" s="104"/>
      <c r="H625" s="104"/>
      <c r="I625" s="104"/>
      <c r="J625" s="104"/>
      <c r="K625" s="104"/>
      <c r="L625" s="64"/>
      <c r="M625" s="79"/>
    </row>
    <row r="626" spans="3:13" ht="13">
      <c r="C626" s="63"/>
      <c r="E626" s="104"/>
      <c r="F626" s="104"/>
      <c r="G626" s="104"/>
      <c r="H626" s="104"/>
      <c r="I626" s="104"/>
      <c r="J626" s="104"/>
      <c r="K626" s="104"/>
      <c r="L626" s="64"/>
      <c r="M626" s="79"/>
    </row>
    <row r="627" spans="3:13" ht="13">
      <c r="C627" s="63"/>
      <c r="E627" s="104"/>
      <c r="F627" s="104"/>
      <c r="G627" s="104"/>
      <c r="H627" s="104"/>
      <c r="I627" s="104"/>
      <c r="J627" s="104"/>
      <c r="K627" s="104"/>
      <c r="L627" s="64"/>
      <c r="M627" s="79"/>
    </row>
    <row r="628" spans="3:13" ht="13">
      <c r="C628" s="63"/>
      <c r="E628" s="104"/>
      <c r="F628" s="104"/>
      <c r="G628" s="104"/>
      <c r="H628" s="104"/>
      <c r="I628" s="104"/>
      <c r="J628" s="104"/>
      <c r="K628" s="104"/>
      <c r="L628" s="64"/>
      <c r="M628" s="79"/>
    </row>
    <row r="629" spans="3:13" ht="13">
      <c r="C629" s="63"/>
      <c r="E629" s="104"/>
      <c r="F629" s="104"/>
      <c r="G629" s="104"/>
      <c r="H629" s="104"/>
      <c r="I629" s="104"/>
      <c r="J629" s="104"/>
      <c r="K629" s="104"/>
      <c r="L629" s="64"/>
      <c r="M629" s="79"/>
    </row>
    <row r="630" spans="3:13" ht="13">
      <c r="C630" s="63"/>
      <c r="E630" s="104"/>
      <c r="F630" s="104"/>
      <c r="G630" s="104"/>
      <c r="H630" s="104"/>
      <c r="I630" s="104"/>
      <c r="J630" s="104"/>
      <c r="K630" s="104"/>
      <c r="L630" s="64"/>
      <c r="M630" s="79"/>
    </row>
    <row r="631" spans="3:13" ht="13">
      <c r="C631" s="63"/>
      <c r="E631" s="104"/>
      <c r="F631" s="104"/>
      <c r="G631" s="104"/>
      <c r="H631" s="104"/>
      <c r="I631" s="104"/>
      <c r="J631" s="104"/>
      <c r="K631" s="104"/>
      <c r="L631" s="64"/>
      <c r="M631" s="79"/>
    </row>
    <row r="632" spans="3:13" ht="13">
      <c r="C632" s="63"/>
      <c r="E632" s="104"/>
      <c r="F632" s="104"/>
      <c r="G632" s="104"/>
      <c r="H632" s="104"/>
      <c r="I632" s="104"/>
      <c r="J632" s="104"/>
      <c r="K632" s="104"/>
      <c r="L632" s="64"/>
      <c r="M632" s="79"/>
    </row>
    <row r="633" spans="3:13" ht="13">
      <c r="C633" s="63"/>
      <c r="E633" s="104"/>
      <c r="F633" s="104"/>
      <c r="G633" s="104"/>
      <c r="H633" s="104"/>
      <c r="I633" s="104"/>
      <c r="J633" s="104"/>
      <c r="K633" s="104"/>
      <c r="L633" s="64"/>
      <c r="M633" s="79"/>
    </row>
    <row r="634" spans="3:13" ht="13">
      <c r="C634" s="63"/>
      <c r="E634" s="104"/>
      <c r="F634" s="104"/>
      <c r="G634" s="104"/>
      <c r="H634" s="104"/>
      <c r="I634" s="104"/>
      <c r="J634" s="104"/>
      <c r="K634" s="104"/>
      <c r="L634" s="64"/>
      <c r="M634" s="79"/>
    </row>
    <row r="635" spans="3:13" ht="13">
      <c r="C635" s="63"/>
      <c r="E635" s="104"/>
      <c r="F635" s="104"/>
      <c r="G635" s="104"/>
      <c r="H635" s="104"/>
      <c r="I635" s="104"/>
      <c r="J635" s="104"/>
      <c r="K635" s="104"/>
      <c r="L635" s="64"/>
      <c r="M635" s="79"/>
    </row>
    <row r="636" spans="3:13" ht="13">
      <c r="C636" s="63"/>
      <c r="E636" s="104"/>
      <c r="F636" s="104"/>
      <c r="G636" s="104"/>
      <c r="H636" s="104"/>
      <c r="I636" s="104"/>
      <c r="J636" s="104"/>
      <c r="K636" s="104"/>
      <c r="L636" s="64"/>
      <c r="M636" s="79"/>
    </row>
    <row r="637" spans="3:13" ht="13">
      <c r="C637" s="63"/>
      <c r="E637" s="104"/>
      <c r="F637" s="104"/>
      <c r="G637" s="104"/>
      <c r="H637" s="104"/>
      <c r="I637" s="104"/>
      <c r="J637" s="104"/>
      <c r="K637" s="104"/>
      <c r="L637" s="64"/>
      <c r="M637" s="79"/>
    </row>
    <row r="638" spans="3:13" ht="13">
      <c r="C638" s="63"/>
      <c r="E638" s="104"/>
      <c r="F638" s="104"/>
      <c r="G638" s="104"/>
      <c r="H638" s="104"/>
      <c r="I638" s="104"/>
      <c r="J638" s="104"/>
      <c r="K638" s="104"/>
      <c r="L638" s="64"/>
      <c r="M638" s="79"/>
    </row>
    <row r="639" spans="3:13" ht="13">
      <c r="C639" s="63"/>
      <c r="E639" s="104"/>
      <c r="F639" s="104"/>
      <c r="G639" s="104"/>
      <c r="H639" s="104"/>
      <c r="I639" s="104"/>
      <c r="J639" s="104"/>
      <c r="K639" s="104"/>
      <c r="L639" s="64"/>
      <c r="M639" s="79"/>
    </row>
    <row r="640" spans="3:13" ht="13">
      <c r="C640" s="63"/>
      <c r="E640" s="104"/>
      <c r="F640" s="104"/>
      <c r="G640" s="104"/>
      <c r="H640" s="104"/>
      <c r="I640" s="104"/>
      <c r="J640" s="104"/>
      <c r="K640" s="104"/>
      <c r="L640" s="64"/>
      <c r="M640" s="79"/>
    </row>
    <row r="641" spans="3:13" ht="13">
      <c r="C641" s="63"/>
      <c r="E641" s="104"/>
      <c r="F641" s="104"/>
      <c r="G641" s="104"/>
      <c r="H641" s="104"/>
      <c r="I641" s="104"/>
      <c r="J641" s="104"/>
      <c r="K641" s="104"/>
      <c r="L641" s="64"/>
      <c r="M641" s="79"/>
    </row>
    <row r="642" spans="3:13" ht="13">
      <c r="C642" s="63"/>
      <c r="E642" s="104"/>
      <c r="F642" s="104"/>
      <c r="G642" s="104"/>
      <c r="H642" s="104"/>
      <c r="I642" s="104"/>
      <c r="J642" s="104"/>
      <c r="K642" s="104"/>
      <c r="L642" s="64"/>
      <c r="M642" s="79"/>
    </row>
    <row r="643" spans="3:13" ht="13">
      <c r="C643" s="63"/>
      <c r="E643" s="104"/>
      <c r="F643" s="104"/>
      <c r="G643" s="104"/>
      <c r="H643" s="104"/>
      <c r="I643" s="104"/>
      <c r="J643" s="104"/>
      <c r="K643" s="104"/>
      <c r="L643" s="64"/>
      <c r="M643" s="79"/>
    </row>
    <row r="644" spans="3:13" ht="13">
      <c r="C644" s="63"/>
      <c r="E644" s="104"/>
      <c r="F644" s="104"/>
      <c r="G644" s="104"/>
      <c r="H644" s="104"/>
      <c r="I644" s="104"/>
      <c r="J644" s="104"/>
      <c r="K644" s="104"/>
      <c r="L644" s="64"/>
      <c r="M644" s="79"/>
    </row>
    <row r="645" spans="3:13" ht="13">
      <c r="C645" s="63"/>
      <c r="E645" s="104"/>
      <c r="F645" s="104"/>
      <c r="G645" s="104"/>
      <c r="H645" s="104"/>
      <c r="I645" s="104"/>
      <c r="J645" s="104"/>
      <c r="K645" s="104"/>
      <c r="L645" s="64"/>
      <c r="M645" s="79"/>
    </row>
    <row r="646" spans="3:13" ht="13">
      <c r="C646" s="63"/>
      <c r="E646" s="104"/>
      <c r="F646" s="104"/>
      <c r="G646" s="104"/>
      <c r="H646" s="104"/>
      <c r="I646" s="104"/>
      <c r="J646" s="104"/>
      <c r="K646" s="104"/>
      <c r="L646" s="64"/>
      <c r="M646" s="79"/>
    </row>
    <row r="647" spans="3:13" ht="13">
      <c r="C647" s="63"/>
      <c r="E647" s="104"/>
      <c r="F647" s="104"/>
      <c r="G647" s="104"/>
      <c r="H647" s="104"/>
      <c r="I647" s="104"/>
      <c r="J647" s="104"/>
      <c r="K647" s="104"/>
      <c r="L647" s="64"/>
      <c r="M647" s="79"/>
    </row>
    <row r="648" spans="3:13" ht="13">
      <c r="C648" s="63"/>
      <c r="E648" s="104"/>
      <c r="F648" s="104"/>
      <c r="G648" s="104"/>
      <c r="H648" s="104"/>
      <c r="I648" s="104"/>
      <c r="J648" s="104"/>
      <c r="K648" s="104"/>
      <c r="L648" s="64"/>
      <c r="M648" s="79"/>
    </row>
    <row r="649" spans="3:13" ht="13">
      <c r="C649" s="63"/>
      <c r="E649" s="104"/>
      <c r="F649" s="104"/>
      <c r="G649" s="104"/>
      <c r="H649" s="104"/>
      <c r="I649" s="104"/>
      <c r="J649" s="104"/>
      <c r="K649" s="104"/>
      <c r="L649" s="64"/>
      <c r="M649" s="79"/>
    </row>
    <row r="650" spans="3:13" ht="13">
      <c r="C650" s="63"/>
      <c r="E650" s="104"/>
      <c r="F650" s="104"/>
      <c r="G650" s="104"/>
      <c r="H650" s="104"/>
      <c r="I650" s="104"/>
      <c r="J650" s="104"/>
      <c r="K650" s="104"/>
      <c r="L650" s="64"/>
      <c r="M650" s="79"/>
    </row>
    <row r="651" spans="3:13" ht="13">
      <c r="C651" s="63"/>
      <c r="E651" s="104"/>
      <c r="F651" s="104"/>
      <c r="G651" s="104"/>
      <c r="H651" s="104"/>
      <c r="I651" s="104"/>
      <c r="J651" s="104"/>
      <c r="K651" s="104"/>
      <c r="L651" s="64"/>
      <c r="M651" s="79"/>
    </row>
    <row r="652" spans="3:13" ht="13">
      <c r="C652" s="63"/>
      <c r="E652" s="104"/>
      <c r="F652" s="104"/>
      <c r="G652" s="104"/>
      <c r="H652" s="104"/>
      <c r="I652" s="104"/>
      <c r="J652" s="104"/>
      <c r="K652" s="104"/>
      <c r="L652" s="64"/>
      <c r="M652" s="79"/>
    </row>
    <row r="653" spans="3:13" ht="13">
      <c r="C653" s="63"/>
      <c r="E653" s="104"/>
      <c r="F653" s="104"/>
      <c r="G653" s="104"/>
      <c r="H653" s="104"/>
      <c r="I653" s="104"/>
      <c r="J653" s="104"/>
      <c r="K653" s="104"/>
      <c r="L653" s="64"/>
      <c r="M653" s="79"/>
    </row>
    <row r="654" spans="3:13" ht="13">
      <c r="C654" s="63"/>
      <c r="E654" s="104"/>
      <c r="F654" s="104"/>
      <c r="G654" s="104"/>
      <c r="H654" s="104"/>
      <c r="I654" s="104"/>
      <c r="J654" s="104"/>
      <c r="K654" s="104"/>
      <c r="L654" s="64"/>
      <c r="M654" s="79"/>
    </row>
    <row r="655" spans="3:13" ht="13">
      <c r="C655" s="63"/>
      <c r="E655" s="104"/>
      <c r="F655" s="104"/>
      <c r="G655" s="104"/>
      <c r="H655" s="104"/>
      <c r="I655" s="104"/>
      <c r="J655" s="104"/>
      <c r="K655" s="104"/>
      <c r="L655" s="64"/>
      <c r="M655" s="79"/>
    </row>
    <row r="656" spans="3:13" ht="13">
      <c r="C656" s="63"/>
      <c r="E656" s="104"/>
      <c r="F656" s="104"/>
      <c r="G656" s="104"/>
      <c r="H656" s="104"/>
      <c r="I656" s="104"/>
      <c r="J656" s="104"/>
      <c r="K656" s="104"/>
      <c r="L656" s="64"/>
      <c r="M656" s="79"/>
    </row>
    <row r="657" spans="3:13" ht="13">
      <c r="C657" s="63"/>
      <c r="E657" s="104"/>
      <c r="F657" s="104"/>
      <c r="G657" s="104"/>
      <c r="H657" s="104"/>
      <c r="I657" s="104"/>
      <c r="J657" s="104"/>
      <c r="K657" s="104"/>
      <c r="L657" s="64"/>
      <c r="M657" s="79"/>
    </row>
    <row r="658" spans="3:13" ht="13">
      <c r="C658" s="63"/>
      <c r="E658" s="104"/>
      <c r="F658" s="104"/>
      <c r="G658" s="104"/>
      <c r="H658" s="104"/>
      <c r="I658" s="104"/>
      <c r="J658" s="104"/>
      <c r="K658" s="104"/>
      <c r="L658" s="64"/>
      <c r="M658" s="79"/>
    </row>
    <row r="659" spans="3:13" ht="13">
      <c r="C659" s="63"/>
      <c r="E659" s="104"/>
      <c r="F659" s="104"/>
      <c r="G659" s="104"/>
      <c r="H659" s="104"/>
      <c r="I659" s="104"/>
      <c r="J659" s="104"/>
      <c r="K659" s="104"/>
      <c r="L659" s="64"/>
      <c r="M659" s="79"/>
    </row>
    <row r="660" spans="3:13" ht="13">
      <c r="C660" s="63"/>
      <c r="E660" s="104"/>
      <c r="F660" s="104"/>
      <c r="G660" s="104"/>
      <c r="H660" s="104"/>
      <c r="I660" s="104"/>
      <c r="J660" s="104"/>
      <c r="K660" s="104"/>
      <c r="L660" s="64"/>
      <c r="M660" s="79"/>
    </row>
    <row r="661" spans="3:13" ht="13">
      <c r="C661" s="63"/>
      <c r="E661" s="104"/>
      <c r="F661" s="104"/>
      <c r="G661" s="104"/>
      <c r="H661" s="104"/>
      <c r="I661" s="104"/>
      <c r="J661" s="104"/>
      <c r="K661" s="104"/>
      <c r="L661" s="64"/>
      <c r="M661" s="79"/>
    </row>
    <row r="662" spans="3:13" ht="13">
      <c r="C662" s="63"/>
      <c r="E662" s="104"/>
      <c r="F662" s="104"/>
      <c r="G662" s="104"/>
      <c r="H662" s="104"/>
      <c r="I662" s="104"/>
      <c r="J662" s="104"/>
      <c r="K662" s="104"/>
      <c r="L662" s="64"/>
      <c r="M662" s="79"/>
    </row>
    <row r="663" spans="3:13" ht="13">
      <c r="C663" s="63"/>
      <c r="E663" s="104"/>
      <c r="F663" s="104"/>
      <c r="G663" s="104"/>
      <c r="H663" s="104"/>
      <c r="I663" s="104"/>
      <c r="J663" s="104"/>
      <c r="K663" s="104"/>
      <c r="L663" s="64"/>
      <c r="M663" s="79"/>
    </row>
    <row r="664" spans="3:13" ht="13">
      <c r="C664" s="63"/>
      <c r="E664" s="104"/>
      <c r="F664" s="104"/>
      <c r="G664" s="104"/>
      <c r="H664" s="104"/>
      <c r="I664" s="104"/>
      <c r="J664" s="104"/>
      <c r="K664" s="104"/>
      <c r="L664" s="64"/>
      <c r="M664" s="79"/>
    </row>
    <row r="665" spans="3:13" ht="13">
      <c r="C665" s="63"/>
      <c r="E665" s="104"/>
      <c r="F665" s="104"/>
      <c r="G665" s="104"/>
      <c r="H665" s="104"/>
      <c r="I665" s="104"/>
      <c r="J665" s="104"/>
      <c r="K665" s="104"/>
      <c r="L665" s="64"/>
      <c r="M665" s="79"/>
    </row>
    <row r="666" spans="3:13" ht="13">
      <c r="C666" s="63"/>
      <c r="E666" s="104"/>
      <c r="F666" s="104"/>
      <c r="G666" s="104"/>
      <c r="H666" s="104"/>
      <c r="I666" s="104"/>
      <c r="J666" s="104"/>
      <c r="K666" s="104"/>
      <c r="L666" s="64"/>
      <c r="M666" s="79"/>
    </row>
    <row r="667" spans="3:13" ht="13">
      <c r="C667" s="63"/>
      <c r="E667" s="104"/>
      <c r="F667" s="104"/>
      <c r="G667" s="104"/>
      <c r="H667" s="104"/>
      <c r="I667" s="104"/>
      <c r="J667" s="104"/>
      <c r="K667" s="104"/>
      <c r="L667" s="64"/>
      <c r="M667" s="79"/>
    </row>
    <row r="668" spans="3:13" ht="13">
      <c r="C668" s="63"/>
      <c r="E668" s="104"/>
      <c r="F668" s="104"/>
      <c r="G668" s="104"/>
      <c r="H668" s="104"/>
      <c r="I668" s="104"/>
      <c r="J668" s="104"/>
      <c r="K668" s="104"/>
      <c r="L668" s="64"/>
      <c r="M668" s="79"/>
    </row>
    <row r="669" spans="3:13" ht="13">
      <c r="C669" s="63"/>
      <c r="E669" s="104"/>
      <c r="F669" s="104"/>
      <c r="G669" s="104"/>
      <c r="H669" s="104"/>
      <c r="I669" s="104"/>
      <c r="J669" s="104"/>
      <c r="K669" s="104"/>
      <c r="L669" s="64"/>
      <c r="M669" s="79"/>
    </row>
    <row r="670" spans="3:13" ht="13">
      <c r="C670" s="63"/>
      <c r="E670" s="104"/>
      <c r="F670" s="104"/>
      <c r="G670" s="104"/>
      <c r="H670" s="104"/>
      <c r="I670" s="104"/>
      <c r="J670" s="104"/>
      <c r="K670" s="104"/>
      <c r="L670" s="64"/>
      <c r="M670" s="79"/>
    </row>
    <row r="671" spans="3:13" ht="13">
      <c r="C671" s="63"/>
      <c r="E671" s="104"/>
      <c r="F671" s="104"/>
      <c r="G671" s="104"/>
      <c r="H671" s="104"/>
      <c r="I671" s="104"/>
      <c r="J671" s="104"/>
      <c r="K671" s="104"/>
      <c r="L671" s="64"/>
      <c r="M671" s="79"/>
    </row>
    <row r="672" spans="3:13" ht="13">
      <c r="C672" s="63"/>
      <c r="E672" s="104"/>
      <c r="F672" s="104"/>
      <c r="G672" s="104"/>
      <c r="H672" s="104"/>
      <c r="I672" s="104"/>
      <c r="J672" s="104"/>
      <c r="K672" s="104"/>
      <c r="L672" s="64"/>
      <c r="M672" s="79"/>
    </row>
    <row r="673" spans="3:13" ht="13">
      <c r="C673" s="63"/>
      <c r="E673" s="104"/>
      <c r="F673" s="104"/>
      <c r="G673" s="104"/>
      <c r="H673" s="104"/>
      <c r="I673" s="104"/>
      <c r="J673" s="104"/>
      <c r="K673" s="104"/>
      <c r="L673" s="64"/>
      <c r="M673" s="79"/>
    </row>
    <row r="674" spans="3:13" ht="13">
      <c r="C674" s="63"/>
      <c r="E674" s="104"/>
      <c r="F674" s="104"/>
      <c r="G674" s="104"/>
      <c r="H674" s="104"/>
      <c r="I674" s="104"/>
      <c r="J674" s="104"/>
      <c r="K674" s="104"/>
      <c r="L674" s="64"/>
      <c r="M674" s="79"/>
    </row>
    <row r="675" spans="3:13" ht="13">
      <c r="C675" s="63"/>
      <c r="E675" s="104"/>
      <c r="F675" s="104"/>
      <c r="G675" s="104"/>
      <c r="H675" s="104"/>
      <c r="I675" s="104"/>
      <c r="J675" s="104"/>
      <c r="K675" s="104"/>
      <c r="L675" s="64"/>
      <c r="M675" s="79"/>
    </row>
    <row r="676" spans="3:13" ht="13">
      <c r="C676" s="63"/>
      <c r="E676" s="104"/>
      <c r="F676" s="104"/>
      <c r="G676" s="104"/>
      <c r="H676" s="104"/>
      <c r="I676" s="104"/>
      <c r="J676" s="104"/>
      <c r="K676" s="104"/>
      <c r="L676" s="64"/>
      <c r="M676" s="79"/>
    </row>
    <row r="677" spans="3:13" ht="13">
      <c r="C677" s="63"/>
      <c r="E677" s="104"/>
      <c r="F677" s="104"/>
      <c r="G677" s="104"/>
      <c r="H677" s="104"/>
      <c r="I677" s="104"/>
      <c r="J677" s="104"/>
      <c r="K677" s="104"/>
      <c r="L677" s="64"/>
      <c r="M677" s="79"/>
    </row>
    <row r="678" spans="3:13" ht="13">
      <c r="C678" s="63"/>
      <c r="E678" s="104"/>
      <c r="F678" s="104"/>
      <c r="G678" s="104"/>
      <c r="H678" s="104"/>
      <c r="I678" s="104"/>
      <c r="J678" s="104"/>
      <c r="K678" s="104"/>
      <c r="L678" s="64"/>
      <c r="M678" s="79"/>
    </row>
    <row r="679" spans="3:13" ht="13">
      <c r="C679" s="63"/>
      <c r="E679" s="104"/>
      <c r="F679" s="104"/>
      <c r="G679" s="104"/>
      <c r="H679" s="104"/>
      <c r="I679" s="104"/>
      <c r="J679" s="104"/>
      <c r="K679" s="104"/>
      <c r="L679" s="64"/>
      <c r="M679" s="79"/>
    </row>
    <row r="680" spans="3:13" ht="13">
      <c r="C680" s="63"/>
      <c r="E680" s="104"/>
      <c r="F680" s="104"/>
      <c r="G680" s="104"/>
      <c r="H680" s="104"/>
      <c r="I680" s="104"/>
      <c r="J680" s="104"/>
      <c r="K680" s="104"/>
      <c r="L680" s="64"/>
      <c r="M680" s="79"/>
    </row>
    <row r="681" spans="3:13" ht="13">
      <c r="C681" s="63"/>
      <c r="E681" s="104"/>
      <c r="F681" s="104"/>
      <c r="G681" s="104"/>
      <c r="H681" s="104"/>
      <c r="I681" s="104"/>
      <c r="J681" s="104"/>
      <c r="K681" s="104"/>
      <c r="L681" s="64"/>
      <c r="M681" s="79"/>
    </row>
    <row r="682" spans="3:13" ht="13">
      <c r="C682" s="63"/>
      <c r="E682" s="104"/>
      <c r="F682" s="104"/>
      <c r="G682" s="104"/>
      <c r="H682" s="104"/>
      <c r="I682" s="104"/>
      <c r="J682" s="104"/>
      <c r="K682" s="104"/>
      <c r="L682" s="64"/>
      <c r="M682" s="79"/>
    </row>
    <row r="683" spans="3:13" ht="13">
      <c r="C683" s="63"/>
      <c r="E683" s="104"/>
      <c r="F683" s="104"/>
      <c r="G683" s="104"/>
      <c r="H683" s="104"/>
      <c r="I683" s="104"/>
      <c r="J683" s="104"/>
      <c r="K683" s="104"/>
      <c r="L683" s="64"/>
      <c r="M683" s="79"/>
    </row>
    <row r="684" spans="3:13" ht="13">
      <c r="C684" s="63"/>
      <c r="E684" s="104"/>
      <c r="F684" s="104"/>
      <c r="G684" s="104"/>
      <c r="H684" s="104"/>
      <c r="I684" s="104"/>
      <c r="J684" s="104"/>
      <c r="K684" s="104"/>
      <c r="L684" s="64"/>
      <c r="M684" s="79"/>
    </row>
    <row r="685" spans="3:13" ht="13">
      <c r="C685" s="63"/>
      <c r="E685" s="104"/>
      <c r="F685" s="104"/>
      <c r="G685" s="104"/>
      <c r="H685" s="104"/>
      <c r="I685" s="104"/>
      <c r="J685" s="104"/>
      <c r="K685" s="104"/>
      <c r="L685" s="64"/>
      <c r="M685" s="79"/>
    </row>
    <row r="686" spans="3:13" ht="13">
      <c r="C686" s="63"/>
      <c r="E686" s="104"/>
      <c r="F686" s="104"/>
      <c r="G686" s="104"/>
      <c r="H686" s="104"/>
      <c r="I686" s="104"/>
      <c r="J686" s="104"/>
      <c r="K686" s="104"/>
      <c r="L686" s="64"/>
      <c r="M686" s="79"/>
    </row>
    <row r="687" spans="3:13" ht="13">
      <c r="C687" s="63"/>
      <c r="E687" s="104"/>
      <c r="F687" s="104"/>
      <c r="G687" s="104"/>
      <c r="H687" s="104"/>
      <c r="I687" s="104"/>
      <c r="J687" s="104"/>
      <c r="K687" s="104"/>
      <c r="L687" s="64"/>
      <c r="M687" s="79"/>
    </row>
    <row r="688" spans="3:13" ht="13">
      <c r="C688" s="63"/>
      <c r="E688" s="104"/>
      <c r="F688" s="104"/>
      <c r="G688" s="104"/>
      <c r="H688" s="104"/>
      <c r="I688" s="104"/>
      <c r="J688" s="104"/>
      <c r="K688" s="104"/>
      <c r="L688" s="64"/>
      <c r="M688" s="79"/>
    </row>
    <row r="689" spans="3:13" ht="13">
      <c r="C689" s="63"/>
      <c r="E689" s="104"/>
      <c r="F689" s="104"/>
      <c r="G689" s="104"/>
      <c r="H689" s="104"/>
      <c r="I689" s="104"/>
      <c r="J689" s="104"/>
      <c r="K689" s="104"/>
      <c r="L689" s="64"/>
      <c r="M689" s="79"/>
    </row>
    <row r="690" spans="3:13" ht="13">
      <c r="C690" s="63"/>
      <c r="E690" s="104"/>
      <c r="F690" s="104"/>
      <c r="G690" s="104"/>
      <c r="H690" s="104"/>
      <c r="I690" s="104"/>
      <c r="J690" s="104"/>
      <c r="K690" s="104"/>
      <c r="L690" s="64"/>
      <c r="M690" s="79"/>
    </row>
    <row r="691" spans="3:13" ht="13">
      <c r="C691" s="63"/>
      <c r="E691" s="104"/>
      <c r="F691" s="104"/>
      <c r="G691" s="104"/>
      <c r="H691" s="104"/>
      <c r="I691" s="104"/>
      <c r="J691" s="104"/>
      <c r="K691" s="104"/>
      <c r="L691" s="64"/>
      <c r="M691" s="79"/>
    </row>
    <row r="692" spans="3:13" ht="13">
      <c r="C692" s="63"/>
      <c r="E692" s="104"/>
      <c r="F692" s="104"/>
      <c r="G692" s="104"/>
      <c r="H692" s="104"/>
      <c r="I692" s="104"/>
      <c r="J692" s="104"/>
      <c r="K692" s="104"/>
      <c r="L692" s="64"/>
      <c r="M692" s="79"/>
    </row>
    <row r="693" spans="3:13" ht="13">
      <c r="C693" s="63"/>
      <c r="E693" s="104"/>
      <c r="F693" s="104"/>
      <c r="G693" s="104"/>
      <c r="H693" s="104"/>
      <c r="I693" s="104"/>
      <c r="J693" s="104"/>
      <c r="K693" s="104"/>
      <c r="L693" s="64"/>
      <c r="M693" s="79"/>
    </row>
    <row r="694" spans="3:13" ht="13">
      <c r="C694" s="63"/>
      <c r="E694" s="104"/>
      <c r="F694" s="104"/>
      <c r="G694" s="104"/>
      <c r="H694" s="104"/>
      <c r="I694" s="104"/>
      <c r="J694" s="104"/>
      <c r="K694" s="104"/>
      <c r="L694" s="64"/>
      <c r="M694" s="79"/>
    </row>
    <row r="695" spans="3:13" ht="13">
      <c r="C695" s="63"/>
      <c r="E695" s="104"/>
      <c r="F695" s="104"/>
      <c r="G695" s="104"/>
      <c r="H695" s="104"/>
      <c r="I695" s="104"/>
      <c r="J695" s="104"/>
      <c r="K695" s="104"/>
      <c r="L695" s="64"/>
      <c r="M695" s="79"/>
    </row>
    <row r="696" spans="3:13" ht="13">
      <c r="C696" s="63"/>
      <c r="E696" s="104"/>
      <c r="F696" s="104"/>
      <c r="G696" s="104"/>
      <c r="H696" s="104"/>
      <c r="I696" s="104"/>
      <c r="J696" s="104"/>
      <c r="K696" s="104"/>
      <c r="L696" s="64"/>
      <c r="M696" s="79"/>
    </row>
    <row r="697" spans="3:13" ht="13">
      <c r="C697" s="63"/>
      <c r="E697" s="104"/>
      <c r="F697" s="104"/>
      <c r="G697" s="104"/>
      <c r="H697" s="104"/>
      <c r="I697" s="104"/>
      <c r="J697" s="104"/>
      <c r="K697" s="104"/>
      <c r="L697" s="64"/>
      <c r="M697" s="79"/>
    </row>
    <row r="698" spans="3:13" ht="13">
      <c r="C698" s="63"/>
      <c r="E698" s="104"/>
      <c r="F698" s="104"/>
      <c r="G698" s="104"/>
      <c r="H698" s="104"/>
      <c r="I698" s="104"/>
      <c r="J698" s="104"/>
      <c r="K698" s="104"/>
      <c r="L698" s="64"/>
      <c r="M698" s="79"/>
    </row>
    <row r="699" spans="3:13" ht="13">
      <c r="C699" s="63"/>
      <c r="E699" s="104"/>
      <c r="F699" s="104"/>
      <c r="G699" s="104"/>
      <c r="H699" s="104"/>
      <c r="I699" s="104"/>
      <c r="J699" s="104"/>
      <c r="K699" s="104"/>
      <c r="L699" s="64"/>
      <c r="M699" s="79"/>
    </row>
    <row r="700" spans="3:13" ht="13">
      <c r="C700" s="63"/>
      <c r="E700" s="104"/>
      <c r="F700" s="104"/>
      <c r="G700" s="104"/>
      <c r="H700" s="104"/>
      <c r="I700" s="104"/>
      <c r="J700" s="104"/>
      <c r="K700" s="104"/>
      <c r="L700" s="64"/>
      <c r="M700" s="79"/>
    </row>
    <row r="701" spans="3:13" ht="13">
      <c r="C701" s="63"/>
      <c r="E701" s="104"/>
      <c r="F701" s="104"/>
      <c r="G701" s="104"/>
      <c r="H701" s="104"/>
      <c r="I701" s="104"/>
      <c r="J701" s="104"/>
      <c r="K701" s="104"/>
      <c r="L701" s="64"/>
      <c r="M701" s="79"/>
    </row>
    <row r="702" spans="3:13" ht="13">
      <c r="C702" s="63"/>
      <c r="E702" s="104"/>
      <c r="F702" s="104"/>
      <c r="G702" s="104"/>
      <c r="H702" s="104"/>
      <c r="I702" s="104"/>
      <c r="J702" s="104"/>
      <c r="K702" s="104"/>
      <c r="L702" s="64"/>
      <c r="M702" s="79"/>
    </row>
    <row r="703" spans="3:13" ht="13">
      <c r="C703" s="63"/>
      <c r="E703" s="104"/>
      <c r="F703" s="104"/>
      <c r="G703" s="104"/>
      <c r="H703" s="104"/>
      <c r="I703" s="104"/>
      <c r="J703" s="104"/>
      <c r="K703" s="104"/>
      <c r="L703" s="64"/>
      <c r="M703" s="79"/>
    </row>
    <row r="704" spans="3:13" ht="13">
      <c r="C704" s="63"/>
      <c r="E704" s="104"/>
      <c r="F704" s="104"/>
      <c r="G704" s="104"/>
      <c r="H704" s="104"/>
      <c r="I704" s="104"/>
      <c r="J704" s="104"/>
      <c r="K704" s="104"/>
      <c r="L704" s="64"/>
      <c r="M704" s="79"/>
    </row>
    <row r="705" spans="3:13" ht="13">
      <c r="C705" s="63"/>
      <c r="E705" s="104"/>
      <c r="F705" s="104"/>
      <c r="G705" s="104"/>
      <c r="H705" s="104"/>
      <c r="I705" s="104"/>
      <c r="J705" s="104"/>
      <c r="K705" s="104"/>
      <c r="L705" s="64"/>
      <c r="M705" s="79"/>
    </row>
    <row r="706" spans="3:13" ht="13">
      <c r="C706" s="63"/>
      <c r="E706" s="104"/>
      <c r="F706" s="104"/>
      <c r="G706" s="104"/>
      <c r="H706" s="104"/>
      <c r="I706" s="104"/>
      <c r="J706" s="104"/>
      <c r="K706" s="104"/>
      <c r="L706" s="64"/>
      <c r="M706" s="79"/>
    </row>
    <row r="707" spans="3:13" ht="13">
      <c r="C707" s="63"/>
      <c r="E707" s="104"/>
      <c r="F707" s="104"/>
      <c r="G707" s="104"/>
      <c r="H707" s="104"/>
      <c r="I707" s="104"/>
      <c r="J707" s="104"/>
      <c r="K707" s="104"/>
      <c r="L707" s="64"/>
      <c r="M707" s="79"/>
    </row>
    <row r="708" spans="3:13" ht="13">
      <c r="C708" s="63"/>
      <c r="E708" s="104"/>
      <c r="F708" s="104"/>
      <c r="G708" s="104"/>
      <c r="H708" s="104"/>
      <c r="I708" s="104"/>
      <c r="J708" s="104"/>
      <c r="K708" s="104"/>
      <c r="L708" s="64"/>
      <c r="M708" s="79"/>
    </row>
    <row r="709" spans="3:13" ht="13">
      <c r="C709" s="63"/>
      <c r="E709" s="104"/>
      <c r="F709" s="104"/>
      <c r="G709" s="104"/>
      <c r="H709" s="104"/>
      <c r="I709" s="104"/>
      <c r="J709" s="104"/>
      <c r="K709" s="104"/>
      <c r="L709" s="64"/>
      <c r="M709" s="79"/>
    </row>
    <row r="710" spans="3:13" ht="13">
      <c r="C710" s="63"/>
      <c r="E710" s="104"/>
      <c r="F710" s="104"/>
      <c r="G710" s="104"/>
      <c r="H710" s="104"/>
      <c r="I710" s="104"/>
      <c r="J710" s="104"/>
      <c r="K710" s="104"/>
      <c r="L710" s="64"/>
      <c r="M710" s="79"/>
    </row>
    <row r="711" spans="3:13" ht="13">
      <c r="C711" s="63"/>
      <c r="E711" s="104"/>
      <c r="F711" s="104"/>
      <c r="G711" s="104"/>
      <c r="H711" s="104"/>
      <c r="I711" s="104"/>
      <c r="J711" s="104"/>
      <c r="K711" s="104"/>
      <c r="L711" s="64"/>
      <c r="M711" s="79"/>
    </row>
    <row r="712" spans="3:13" ht="13">
      <c r="C712" s="63"/>
      <c r="E712" s="104"/>
      <c r="F712" s="104"/>
      <c r="G712" s="104"/>
      <c r="H712" s="104"/>
      <c r="I712" s="104"/>
      <c r="J712" s="104"/>
      <c r="K712" s="104"/>
      <c r="L712" s="64"/>
      <c r="M712" s="79"/>
    </row>
    <row r="713" spans="3:13" ht="13">
      <c r="C713" s="63"/>
      <c r="E713" s="104"/>
      <c r="F713" s="104"/>
      <c r="G713" s="104"/>
      <c r="H713" s="104"/>
      <c r="I713" s="104"/>
      <c r="J713" s="104"/>
      <c r="K713" s="104"/>
      <c r="L713" s="64"/>
      <c r="M713" s="79"/>
    </row>
    <row r="714" spans="3:13" ht="13">
      <c r="C714" s="63"/>
      <c r="E714" s="104"/>
      <c r="F714" s="104"/>
      <c r="G714" s="104"/>
      <c r="H714" s="104"/>
      <c r="I714" s="104"/>
      <c r="J714" s="104"/>
      <c r="K714" s="104"/>
      <c r="L714" s="64"/>
      <c r="M714" s="79"/>
    </row>
    <row r="715" spans="3:13" ht="13">
      <c r="C715" s="63"/>
      <c r="E715" s="104"/>
      <c r="F715" s="104"/>
      <c r="G715" s="104"/>
      <c r="H715" s="104"/>
      <c r="I715" s="104"/>
      <c r="J715" s="104"/>
      <c r="K715" s="104"/>
      <c r="L715" s="64"/>
      <c r="M715" s="79"/>
    </row>
    <row r="716" spans="3:13" ht="13">
      <c r="C716" s="63"/>
      <c r="E716" s="104"/>
      <c r="F716" s="104"/>
      <c r="G716" s="104"/>
      <c r="H716" s="104"/>
      <c r="I716" s="104"/>
      <c r="J716" s="104"/>
      <c r="K716" s="104"/>
      <c r="L716" s="64"/>
      <c r="M716" s="79"/>
    </row>
    <row r="717" spans="3:13" ht="13">
      <c r="C717" s="63"/>
      <c r="E717" s="104"/>
      <c r="F717" s="104"/>
      <c r="G717" s="104"/>
      <c r="H717" s="104"/>
      <c r="I717" s="104"/>
      <c r="J717" s="104"/>
      <c r="K717" s="104"/>
      <c r="L717" s="64"/>
      <c r="M717" s="79"/>
    </row>
    <row r="718" spans="3:13" ht="13">
      <c r="C718" s="63"/>
      <c r="E718" s="104"/>
      <c r="F718" s="104"/>
      <c r="G718" s="104"/>
      <c r="H718" s="104"/>
      <c r="I718" s="104"/>
      <c r="J718" s="104"/>
      <c r="K718" s="104"/>
      <c r="L718" s="64"/>
      <c r="M718" s="79"/>
    </row>
    <row r="719" spans="3:13" ht="13">
      <c r="C719" s="63"/>
      <c r="E719" s="104"/>
      <c r="F719" s="104"/>
      <c r="G719" s="104"/>
      <c r="H719" s="104"/>
      <c r="I719" s="104"/>
      <c r="J719" s="104"/>
      <c r="K719" s="104"/>
      <c r="L719" s="64"/>
      <c r="M719" s="79"/>
    </row>
    <row r="720" spans="3:13" ht="13">
      <c r="C720" s="63"/>
      <c r="E720" s="104"/>
      <c r="F720" s="104"/>
      <c r="G720" s="104"/>
      <c r="H720" s="104"/>
      <c r="I720" s="104"/>
      <c r="J720" s="104"/>
      <c r="K720" s="104"/>
      <c r="L720" s="64"/>
      <c r="M720" s="79"/>
    </row>
    <row r="721" spans="3:13" ht="13">
      <c r="C721" s="63"/>
      <c r="E721" s="104"/>
      <c r="F721" s="104"/>
      <c r="G721" s="104"/>
      <c r="H721" s="104"/>
      <c r="I721" s="104"/>
      <c r="J721" s="104"/>
      <c r="K721" s="104"/>
      <c r="L721" s="64"/>
      <c r="M721" s="79"/>
    </row>
    <row r="722" spans="3:13" ht="13">
      <c r="C722" s="63"/>
      <c r="E722" s="104"/>
      <c r="F722" s="104"/>
      <c r="G722" s="104"/>
      <c r="H722" s="104"/>
      <c r="I722" s="104"/>
      <c r="J722" s="104"/>
      <c r="K722" s="104"/>
      <c r="L722" s="64"/>
      <c r="M722" s="79"/>
    </row>
    <row r="723" spans="3:13" ht="13">
      <c r="C723" s="63"/>
      <c r="E723" s="104"/>
      <c r="F723" s="104"/>
      <c r="G723" s="104"/>
      <c r="H723" s="104"/>
      <c r="I723" s="104"/>
      <c r="J723" s="104"/>
      <c r="K723" s="104"/>
      <c r="L723" s="64"/>
      <c r="M723" s="79"/>
    </row>
    <row r="724" spans="3:13" ht="13">
      <c r="C724" s="63"/>
      <c r="E724" s="104"/>
      <c r="F724" s="104"/>
      <c r="G724" s="104"/>
      <c r="H724" s="104"/>
      <c r="I724" s="104"/>
      <c r="J724" s="104"/>
      <c r="K724" s="104"/>
      <c r="L724" s="64"/>
      <c r="M724" s="79"/>
    </row>
    <row r="725" spans="3:13" ht="13">
      <c r="C725" s="63"/>
      <c r="E725" s="104"/>
      <c r="F725" s="104"/>
      <c r="G725" s="104"/>
      <c r="H725" s="104"/>
      <c r="I725" s="104"/>
      <c r="J725" s="104"/>
      <c r="K725" s="104"/>
      <c r="L725" s="64"/>
      <c r="M725" s="79"/>
    </row>
    <row r="726" spans="3:13" ht="13">
      <c r="C726" s="63"/>
      <c r="E726" s="104"/>
      <c r="F726" s="104"/>
      <c r="G726" s="104"/>
      <c r="H726" s="104"/>
      <c r="I726" s="104"/>
      <c r="J726" s="104"/>
      <c r="K726" s="104"/>
      <c r="L726" s="64"/>
      <c r="M726" s="79"/>
    </row>
    <row r="727" spans="3:13" ht="13">
      <c r="C727" s="63"/>
      <c r="E727" s="104"/>
      <c r="F727" s="104"/>
      <c r="G727" s="104"/>
      <c r="H727" s="104"/>
      <c r="I727" s="104"/>
      <c r="J727" s="104"/>
      <c r="K727" s="104"/>
      <c r="L727" s="64"/>
      <c r="M727" s="79"/>
    </row>
    <row r="728" spans="3:13" ht="13">
      <c r="C728" s="63"/>
      <c r="E728" s="104"/>
      <c r="F728" s="104"/>
      <c r="G728" s="104"/>
      <c r="H728" s="104"/>
      <c r="I728" s="104"/>
      <c r="J728" s="104"/>
      <c r="K728" s="104"/>
      <c r="L728" s="64"/>
      <c r="M728" s="79"/>
    </row>
    <row r="729" spans="3:13" ht="13">
      <c r="C729" s="63"/>
      <c r="E729" s="104"/>
      <c r="F729" s="104"/>
      <c r="G729" s="104"/>
      <c r="H729" s="104"/>
      <c r="I729" s="104"/>
      <c r="J729" s="104"/>
      <c r="K729" s="104"/>
      <c r="L729" s="64"/>
      <c r="M729" s="79"/>
    </row>
    <row r="730" spans="3:13" ht="13">
      <c r="C730" s="63"/>
      <c r="E730" s="104"/>
      <c r="F730" s="104"/>
      <c r="G730" s="104"/>
      <c r="H730" s="104"/>
      <c r="I730" s="104"/>
      <c r="J730" s="104"/>
      <c r="K730" s="104"/>
      <c r="L730" s="64"/>
      <c r="M730" s="79"/>
    </row>
    <row r="731" spans="3:13" ht="13">
      <c r="C731" s="63"/>
      <c r="E731" s="104"/>
      <c r="F731" s="104"/>
      <c r="G731" s="104"/>
      <c r="H731" s="104"/>
      <c r="I731" s="104"/>
      <c r="J731" s="104"/>
      <c r="K731" s="104"/>
      <c r="L731" s="64"/>
      <c r="M731" s="79"/>
    </row>
    <row r="732" spans="3:13" ht="13">
      <c r="C732" s="63"/>
      <c r="E732" s="104"/>
      <c r="F732" s="104"/>
      <c r="G732" s="104"/>
      <c r="H732" s="104"/>
      <c r="I732" s="104"/>
      <c r="J732" s="104"/>
      <c r="K732" s="104"/>
      <c r="L732" s="64"/>
      <c r="M732" s="79"/>
    </row>
    <row r="733" spans="3:13" ht="13">
      <c r="C733" s="63"/>
      <c r="E733" s="104"/>
      <c r="F733" s="104"/>
      <c r="G733" s="104"/>
      <c r="H733" s="104"/>
      <c r="I733" s="104"/>
      <c r="J733" s="104"/>
      <c r="K733" s="104"/>
      <c r="L733" s="64"/>
      <c r="M733" s="79"/>
    </row>
    <row r="734" spans="3:13" ht="13">
      <c r="C734" s="63"/>
      <c r="E734" s="104"/>
      <c r="F734" s="104"/>
      <c r="G734" s="104"/>
      <c r="H734" s="104"/>
      <c r="I734" s="104"/>
      <c r="J734" s="104"/>
      <c r="K734" s="104"/>
      <c r="L734" s="64"/>
      <c r="M734" s="79"/>
    </row>
    <row r="735" spans="3:13" ht="13">
      <c r="C735" s="63"/>
      <c r="E735" s="104"/>
      <c r="F735" s="104"/>
      <c r="G735" s="104"/>
      <c r="H735" s="104"/>
      <c r="I735" s="104"/>
      <c r="J735" s="104"/>
      <c r="K735" s="104"/>
      <c r="L735" s="64"/>
      <c r="M735" s="79"/>
    </row>
    <row r="736" spans="3:13" ht="13">
      <c r="C736" s="63"/>
      <c r="E736" s="104"/>
      <c r="F736" s="104"/>
      <c r="G736" s="104"/>
      <c r="H736" s="104"/>
      <c r="I736" s="104"/>
      <c r="J736" s="104"/>
      <c r="K736" s="104"/>
      <c r="L736" s="64"/>
      <c r="M736" s="79"/>
    </row>
    <row r="737" spans="3:13" ht="13">
      <c r="C737" s="63"/>
      <c r="E737" s="104"/>
      <c r="F737" s="104"/>
      <c r="G737" s="104"/>
      <c r="H737" s="104"/>
      <c r="I737" s="104"/>
      <c r="J737" s="104"/>
      <c r="K737" s="104"/>
      <c r="L737" s="64"/>
      <c r="M737" s="79"/>
    </row>
    <row r="738" spans="3:13" ht="13">
      <c r="C738" s="63"/>
      <c r="E738" s="104"/>
      <c r="F738" s="104"/>
      <c r="G738" s="104"/>
      <c r="H738" s="104"/>
      <c r="I738" s="104"/>
      <c r="J738" s="104"/>
      <c r="K738" s="104"/>
      <c r="L738" s="64"/>
      <c r="M738" s="79"/>
    </row>
    <row r="739" spans="3:13" ht="13">
      <c r="C739" s="63"/>
      <c r="E739" s="104"/>
      <c r="F739" s="104"/>
      <c r="G739" s="104"/>
      <c r="H739" s="104"/>
      <c r="I739" s="104"/>
      <c r="J739" s="104"/>
      <c r="K739" s="104"/>
      <c r="L739" s="64"/>
      <c r="M739" s="79"/>
    </row>
    <row r="740" spans="3:13" ht="13">
      <c r="C740" s="63"/>
      <c r="E740" s="104"/>
      <c r="F740" s="104"/>
      <c r="G740" s="104"/>
      <c r="H740" s="104"/>
      <c r="I740" s="104"/>
      <c r="J740" s="104"/>
      <c r="K740" s="104"/>
      <c r="L740" s="64"/>
      <c r="M740" s="79"/>
    </row>
    <row r="741" spans="3:13" ht="13">
      <c r="C741" s="63"/>
      <c r="E741" s="104"/>
      <c r="F741" s="104"/>
      <c r="G741" s="104"/>
      <c r="H741" s="104"/>
      <c r="I741" s="104"/>
      <c r="J741" s="104"/>
      <c r="K741" s="104"/>
      <c r="L741" s="64"/>
      <c r="M741" s="79"/>
    </row>
    <row r="742" spans="3:13" ht="13">
      <c r="C742" s="63"/>
      <c r="E742" s="104"/>
      <c r="F742" s="104"/>
      <c r="G742" s="104"/>
      <c r="H742" s="104"/>
      <c r="I742" s="104"/>
      <c r="J742" s="104"/>
      <c r="K742" s="104"/>
      <c r="L742" s="64"/>
      <c r="M742" s="79"/>
    </row>
    <row r="743" spans="3:13" ht="13">
      <c r="C743" s="63"/>
      <c r="E743" s="104"/>
      <c r="F743" s="104"/>
      <c r="G743" s="104"/>
      <c r="H743" s="104"/>
      <c r="I743" s="104"/>
      <c r="J743" s="104"/>
      <c r="K743" s="104"/>
      <c r="L743" s="64"/>
      <c r="M743" s="79"/>
    </row>
    <row r="744" spans="3:13" ht="13">
      <c r="C744" s="63"/>
      <c r="E744" s="104"/>
      <c r="F744" s="104"/>
      <c r="G744" s="104"/>
      <c r="H744" s="104"/>
      <c r="I744" s="104"/>
      <c r="J744" s="104"/>
      <c r="K744" s="104"/>
      <c r="L744" s="64"/>
      <c r="M744" s="79"/>
    </row>
    <row r="745" spans="3:13" ht="13">
      <c r="C745" s="63"/>
      <c r="E745" s="104"/>
      <c r="F745" s="104"/>
      <c r="G745" s="104"/>
      <c r="H745" s="104"/>
      <c r="I745" s="104"/>
      <c r="J745" s="104"/>
      <c r="K745" s="104"/>
      <c r="L745" s="64"/>
      <c r="M745" s="79"/>
    </row>
    <row r="746" spans="3:13" ht="13">
      <c r="C746" s="63"/>
      <c r="E746" s="104"/>
      <c r="F746" s="104"/>
      <c r="G746" s="104"/>
      <c r="H746" s="104"/>
      <c r="I746" s="104"/>
      <c r="J746" s="104"/>
      <c r="K746" s="104"/>
      <c r="L746" s="64"/>
      <c r="M746" s="79"/>
    </row>
    <row r="747" spans="3:13" ht="13">
      <c r="C747" s="63"/>
      <c r="E747" s="104"/>
      <c r="F747" s="104"/>
      <c r="G747" s="104"/>
      <c r="H747" s="104"/>
      <c r="I747" s="104"/>
      <c r="J747" s="104"/>
      <c r="K747" s="104"/>
      <c r="L747" s="64"/>
      <c r="M747" s="79"/>
    </row>
    <row r="748" spans="3:13" ht="13">
      <c r="C748" s="63"/>
      <c r="E748" s="104"/>
      <c r="F748" s="104"/>
      <c r="G748" s="104"/>
      <c r="H748" s="104"/>
      <c r="I748" s="104"/>
      <c r="J748" s="104"/>
      <c r="K748" s="104"/>
      <c r="L748" s="64"/>
      <c r="M748" s="79"/>
    </row>
    <row r="749" spans="3:13" ht="13">
      <c r="C749" s="63"/>
      <c r="E749" s="104"/>
      <c r="F749" s="104"/>
      <c r="G749" s="104"/>
      <c r="H749" s="104"/>
      <c r="I749" s="104"/>
      <c r="J749" s="104"/>
      <c r="K749" s="104"/>
      <c r="L749" s="64"/>
      <c r="M749" s="79"/>
    </row>
    <row r="750" spans="3:13" ht="13">
      <c r="C750" s="63"/>
      <c r="E750" s="104"/>
      <c r="F750" s="104"/>
      <c r="G750" s="104"/>
      <c r="H750" s="104"/>
      <c r="I750" s="104"/>
      <c r="J750" s="104"/>
      <c r="K750" s="104"/>
      <c r="L750" s="64"/>
      <c r="M750" s="79"/>
    </row>
    <row r="751" spans="3:13" ht="13">
      <c r="C751" s="63"/>
      <c r="E751" s="104"/>
      <c r="F751" s="104"/>
      <c r="G751" s="104"/>
      <c r="H751" s="104"/>
      <c r="I751" s="104"/>
      <c r="J751" s="104"/>
      <c r="K751" s="104"/>
      <c r="L751" s="64"/>
      <c r="M751" s="79"/>
    </row>
    <row r="752" spans="3:13" ht="13">
      <c r="C752" s="63"/>
      <c r="E752" s="104"/>
      <c r="F752" s="104"/>
      <c r="G752" s="104"/>
      <c r="H752" s="104"/>
      <c r="I752" s="104"/>
      <c r="J752" s="104"/>
      <c r="K752" s="104"/>
      <c r="L752" s="64"/>
      <c r="M752" s="79"/>
    </row>
    <row r="753" spans="3:13" ht="13">
      <c r="C753" s="63"/>
      <c r="E753" s="104"/>
      <c r="F753" s="104"/>
      <c r="G753" s="104"/>
      <c r="H753" s="104"/>
      <c r="I753" s="104"/>
      <c r="J753" s="104"/>
      <c r="K753" s="104"/>
      <c r="L753" s="64"/>
      <c r="M753" s="79"/>
    </row>
    <row r="754" spans="3:13" ht="13">
      <c r="C754" s="63"/>
      <c r="E754" s="104"/>
      <c r="F754" s="104"/>
      <c r="G754" s="104"/>
      <c r="H754" s="104"/>
      <c r="I754" s="104"/>
      <c r="J754" s="104"/>
      <c r="K754" s="104"/>
      <c r="L754" s="64"/>
      <c r="M754" s="79"/>
    </row>
    <row r="755" spans="3:13" ht="13">
      <c r="C755" s="63"/>
      <c r="E755" s="104"/>
      <c r="F755" s="104"/>
      <c r="G755" s="104"/>
      <c r="H755" s="104"/>
      <c r="I755" s="104"/>
      <c r="J755" s="104"/>
      <c r="K755" s="104"/>
      <c r="L755" s="64"/>
      <c r="M755" s="79"/>
    </row>
    <row r="756" spans="3:13" ht="13">
      <c r="C756" s="63"/>
      <c r="E756" s="104"/>
      <c r="F756" s="104"/>
      <c r="G756" s="104"/>
      <c r="H756" s="104"/>
      <c r="I756" s="104"/>
      <c r="J756" s="104"/>
      <c r="K756" s="104"/>
      <c r="L756" s="64"/>
      <c r="M756" s="79"/>
    </row>
    <row r="757" spans="3:13" ht="13">
      <c r="C757" s="63"/>
      <c r="E757" s="104"/>
      <c r="F757" s="104"/>
      <c r="G757" s="104"/>
      <c r="H757" s="104"/>
      <c r="I757" s="104"/>
      <c r="J757" s="104"/>
      <c r="K757" s="104"/>
      <c r="L757" s="64"/>
      <c r="M757" s="79"/>
    </row>
    <row r="758" spans="3:13" ht="13">
      <c r="C758" s="63"/>
      <c r="E758" s="104"/>
      <c r="F758" s="104"/>
      <c r="G758" s="104"/>
      <c r="H758" s="104"/>
      <c r="I758" s="104"/>
      <c r="J758" s="104"/>
      <c r="K758" s="104"/>
      <c r="L758" s="64"/>
      <c r="M758" s="79"/>
    </row>
    <row r="759" spans="3:13" ht="13">
      <c r="C759" s="63"/>
      <c r="E759" s="104"/>
      <c r="F759" s="104"/>
      <c r="G759" s="104"/>
      <c r="H759" s="104"/>
      <c r="I759" s="104"/>
      <c r="J759" s="104"/>
      <c r="K759" s="104"/>
      <c r="L759" s="64"/>
      <c r="M759" s="79"/>
    </row>
    <row r="760" spans="3:13" ht="13">
      <c r="C760" s="63"/>
      <c r="E760" s="104"/>
      <c r="F760" s="104"/>
      <c r="G760" s="104"/>
      <c r="H760" s="104"/>
      <c r="I760" s="104"/>
      <c r="J760" s="104"/>
      <c r="K760" s="104"/>
      <c r="L760" s="64"/>
      <c r="M760" s="79"/>
    </row>
    <row r="761" spans="3:13" ht="13">
      <c r="C761" s="63"/>
      <c r="E761" s="104"/>
      <c r="F761" s="104"/>
      <c r="G761" s="104"/>
      <c r="H761" s="104"/>
      <c r="I761" s="104"/>
      <c r="J761" s="104"/>
      <c r="K761" s="104"/>
      <c r="L761" s="64"/>
      <c r="M761" s="79"/>
    </row>
    <row r="762" spans="3:13" ht="13">
      <c r="C762" s="63"/>
      <c r="E762" s="104"/>
      <c r="F762" s="104"/>
      <c r="G762" s="104"/>
      <c r="H762" s="104"/>
      <c r="I762" s="104"/>
      <c r="J762" s="104"/>
      <c r="K762" s="104"/>
      <c r="L762" s="64"/>
      <c r="M762" s="79"/>
    </row>
    <row r="763" spans="3:13" ht="13">
      <c r="C763" s="63"/>
      <c r="E763" s="104"/>
      <c r="F763" s="104"/>
      <c r="G763" s="104"/>
      <c r="H763" s="104"/>
      <c r="I763" s="104"/>
      <c r="J763" s="104"/>
      <c r="K763" s="104"/>
      <c r="L763" s="64"/>
      <c r="M763" s="79"/>
    </row>
    <row r="764" spans="3:13" ht="13">
      <c r="C764" s="63"/>
      <c r="E764" s="104"/>
      <c r="F764" s="104"/>
      <c r="G764" s="104"/>
      <c r="H764" s="104"/>
      <c r="I764" s="104"/>
      <c r="J764" s="104"/>
      <c r="K764" s="104"/>
      <c r="L764" s="64"/>
      <c r="M764" s="79"/>
    </row>
    <row r="765" spans="3:13" ht="13">
      <c r="C765" s="63"/>
      <c r="E765" s="104"/>
      <c r="F765" s="104"/>
      <c r="G765" s="104"/>
      <c r="H765" s="104"/>
      <c r="I765" s="104"/>
      <c r="J765" s="104"/>
      <c r="K765" s="104"/>
      <c r="L765" s="64"/>
      <c r="M765" s="79"/>
    </row>
    <row r="766" spans="3:13" ht="13">
      <c r="C766" s="63"/>
      <c r="E766" s="104"/>
      <c r="F766" s="104"/>
      <c r="G766" s="104"/>
      <c r="H766" s="104"/>
      <c r="I766" s="104"/>
      <c r="J766" s="104"/>
      <c r="K766" s="104"/>
      <c r="L766" s="64"/>
      <c r="M766" s="79"/>
    </row>
    <row r="767" spans="3:13" ht="13">
      <c r="C767" s="63"/>
      <c r="E767" s="104"/>
      <c r="F767" s="104"/>
      <c r="G767" s="104"/>
      <c r="H767" s="104"/>
      <c r="I767" s="104"/>
      <c r="J767" s="104"/>
      <c r="K767" s="104"/>
      <c r="L767" s="64"/>
      <c r="M767" s="79"/>
    </row>
    <row r="768" spans="3:13" ht="13">
      <c r="C768" s="63"/>
      <c r="E768" s="104"/>
      <c r="F768" s="104"/>
      <c r="G768" s="104"/>
      <c r="H768" s="104"/>
      <c r="I768" s="104"/>
      <c r="J768" s="104"/>
      <c r="K768" s="104"/>
      <c r="L768" s="64"/>
      <c r="M768" s="79"/>
    </row>
    <row r="769" spans="3:13" ht="13">
      <c r="C769" s="63"/>
      <c r="E769" s="104"/>
      <c r="F769" s="104"/>
      <c r="G769" s="104"/>
      <c r="H769" s="104"/>
      <c r="I769" s="104"/>
      <c r="J769" s="104"/>
      <c r="K769" s="104"/>
      <c r="L769" s="64"/>
      <c r="M769" s="79"/>
    </row>
    <row r="770" spans="3:13" ht="13">
      <c r="C770" s="63"/>
      <c r="E770" s="104"/>
      <c r="F770" s="104"/>
      <c r="G770" s="104"/>
      <c r="H770" s="104"/>
      <c r="I770" s="104"/>
      <c r="J770" s="104"/>
      <c r="K770" s="104"/>
      <c r="L770" s="64"/>
      <c r="M770" s="79"/>
    </row>
    <row r="771" spans="3:13" ht="13">
      <c r="C771" s="63"/>
      <c r="E771" s="104"/>
      <c r="F771" s="104"/>
      <c r="G771" s="104"/>
      <c r="H771" s="104"/>
      <c r="I771" s="104"/>
      <c r="J771" s="104"/>
      <c r="K771" s="104"/>
      <c r="L771" s="64"/>
      <c r="M771" s="79"/>
    </row>
    <row r="772" spans="3:13" ht="13">
      <c r="C772" s="63"/>
      <c r="E772" s="104"/>
      <c r="F772" s="104"/>
      <c r="G772" s="104"/>
      <c r="H772" s="104"/>
      <c r="I772" s="104"/>
      <c r="J772" s="104"/>
      <c r="K772" s="104"/>
      <c r="L772" s="64"/>
      <c r="M772" s="79"/>
    </row>
    <row r="773" spans="3:13" ht="13">
      <c r="C773" s="63"/>
      <c r="E773" s="104"/>
      <c r="F773" s="104"/>
      <c r="G773" s="104"/>
      <c r="H773" s="104"/>
      <c r="I773" s="104"/>
      <c r="J773" s="104"/>
      <c r="K773" s="104"/>
      <c r="L773" s="64"/>
      <c r="M773" s="79"/>
    </row>
    <row r="774" spans="3:13" ht="13">
      <c r="C774" s="63"/>
      <c r="E774" s="104"/>
      <c r="F774" s="104"/>
      <c r="G774" s="104"/>
      <c r="H774" s="104"/>
      <c r="I774" s="104"/>
      <c r="J774" s="104"/>
      <c r="K774" s="104"/>
      <c r="L774" s="64"/>
      <c r="M774" s="79"/>
    </row>
    <row r="775" spans="3:13" ht="13">
      <c r="C775" s="63"/>
      <c r="E775" s="104"/>
      <c r="F775" s="104"/>
      <c r="G775" s="104"/>
      <c r="H775" s="104"/>
      <c r="I775" s="104"/>
      <c r="J775" s="104"/>
      <c r="K775" s="104"/>
      <c r="L775" s="64"/>
      <c r="M775" s="79"/>
    </row>
    <row r="776" spans="3:13" ht="13">
      <c r="C776" s="63"/>
      <c r="E776" s="104"/>
      <c r="F776" s="104"/>
      <c r="G776" s="104"/>
      <c r="H776" s="104"/>
      <c r="I776" s="104"/>
      <c r="J776" s="104"/>
      <c r="K776" s="104"/>
      <c r="L776" s="64"/>
      <c r="M776" s="79"/>
    </row>
    <row r="777" spans="3:13" ht="13">
      <c r="C777" s="63"/>
      <c r="E777" s="104"/>
      <c r="F777" s="104"/>
      <c r="G777" s="104"/>
      <c r="H777" s="104"/>
      <c r="I777" s="104"/>
      <c r="J777" s="104"/>
      <c r="K777" s="104"/>
      <c r="L777" s="64"/>
      <c r="M777" s="79"/>
    </row>
    <row r="778" spans="3:13" ht="13">
      <c r="C778" s="63"/>
      <c r="E778" s="104"/>
      <c r="F778" s="104"/>
      <c r="G778" s="104"/>
      <c r="H778" s="104"/>
      <c r="I778" s="104"/>
      <c r="J778" s="104"/>
      <c r="K778" s="104"/>
      <c r="L778" s="64"/>
      <c r="M778" s="79"/>
    </row>
    <row r="779" spans="3:13" ht="13">
      <c r="C779" s="63"/>
      <c r="E779" s="104"/>
      <c r="F779" s="104"/>
      <c r="G779" s="104"/>
      <c r="H779" s="104"/>
      <c r="I779" s="104"/>
      <c r="J779" s="104"/>
      <c r="K779" s="104"/>
      <c r="L779" s="64"/>
      <c r="M779" s="79"/>
    </row>
    <row r="780" spans="3:13" ht="13">
      <c r="C780" s="63"/>
      <c r="E780" s="104"/>
      <c r="F780" s="104"/>
      <c r="G780" s="104"/>
      <c r="H780" s="104"/>
      <c r="I780" s="104"/>
      <c r="J780" s="104"/>
      <c r="K780" s="104"/>
      <c r="L780" s="64"/>
      <c r="M780" s="79"/>
    </row>
    <row r="781" spans="3:13" ht="13">
      <c r="C781" s="63"/>
      <c r="E781" s="104"/>
      <c r="F781" s="104"/>
      <c r="G781" s="104"/>
      <c r="H781" s="104"/>
      <c r="I781" s="104"/>
      <c r="J781" s="104"/>
      <c r="K781" s="104"/>
      <c r="L781" s="64"/>
      <c r="M781" s="79"/>
    </row>
    <row r="782" spans="3:13" ht="13">
      <c r="C782" s="63"/>
      <c r="E782" s="104"/>
      <c r="F782" s="104"/>
      <c r="G782" s="104"/>
      <c r="H782" s="104"/>
      <c r="I782" s="104"/>
      <c r="J782" s="104"/>
      <c r="K782" s="104"/>
      <c r="L782" s="64"/>
      <c r="M782" s="79"/>
    </row>
    <row r="783" spans="3:13" ht="13">
      <c r="C783" s="63"/>
      <c r="E783" s="104"/>
      <c r="F783" s="104"/>
      <c r="G783" s="104"/>
      <c r="H783" s="104"/>
      <c r="I783" s="104"/>
      <c r="J783" s="104"/>
      <c r="K783" s="104"/>
      <c r="L783" s="64"/>
      <c r="M783" s="79"/>
    </row>
    <row r="784" spans="3:13" ht="13">
      <c r="C784" s="63"/>
      <c r="E784" s="104"/>
      <c r="F784" s="104"/>
      <c r="G784" s="104"/>
      <c r="H784" s="104"/>
      <c r="I784" s="104"/>
      <c r="J784" s="104"/>
      <c r="K784" s="104"/>
      <c r="L784" s="64"/>
      <c r="M784" s="79"/>
    </row>
    <row r="785" spans="3:13" ht="13">
      <c r="C785" s="63"/>
      <c r="E785" s="104"/>
      <c r="F785" s="104"/>
      <c r="G785" s="104"/>
      <c r="H785" s="104"/>
      <c r="I785" s="104"/>
      <c r="J785" s="104"/>
      <c r="K785" s="104"/>
      <c r="L785" s="64"/>
      <c r="M785" s="79"/>
    </row>
    <row r="786" spans="3:13" ht="13">
      <c r="C786" s="63"/>
      <c r="E786" s="104"/>
      <c r="F786" s="104"/>
      <c r="G786" s="104"/>
      <c r="H786" s="104"/>
      <c r="I786" s="104"/>
      <c r="J786" s="104"/>
      <c r="K786" s="104"/>
      <c r="L786" s="64"/>
      <c r="M786" s="79"/>
    </row>
    <row r="787" spans="3:13" ht="13">
      <c r="C787" s="63"/>
      <c r="E787" s="104"/>
      <c r="F787" s="104"/>
      <c r="G787" s="104"/>
      <c r="H787" s="104"/>
      <c r="I787" s="104"/>
      <c r="J787" s="104"/>
      <c r="K787" s="104"/>
      <c r="L787" s="64"/>
      <c r="M787" s="79"/>
    </row>
    <row r="788" spans="3:13" ht="13">
      <c r="C788" s="63"/>
      <c r="E788" s="104"/>
      <c r="F788" s="104"/>
      <c r="G788" s="104"/>
      <c r="H788" s="104"/>
      <c r="I788" s="104"/>
      <c r="J788" s="104"/>
      <c r="K788" s="104"/>
      <c r="L788" s="64"/>
      <c r="M788" s="79"/>
    </row>
    <row r="789" spans="3:13" ht="13">
      <c r="C789" s="63"/>
      <c r="E789" s="104"/>
      <c r="F789" s="104"/>
      <c r="G789" s="104"/>
      <c r="H789" s="104"/>
      <c r="I789" s="104"/>
      <c r="J789" s="104"/>
      <c r="K789" s="104"/>
      <c r="L789" s="64"/>
      <c r="M789" s="79"/>
    </row>
    <row r="790" spans="3:13" ht="13">
      <c r="C790" s="63"/>
      <c r="E790" s="104"/>
      <c r="F790" s="104"/>
      <c r="G790" s="104"/>
      <c r="H790" s="104"/>
      <c r="I790" s="104"/>
      <c r="J790" s="104"/>
      <c r="K790" s="104"/>
      <c r="L790" s="64"/>
      <c r="M790" s="79"/>
    </row>
    <row r="791" spans="3:13" ht="13">
      <c r="C791" s="63"/>
      <c r="E791" s="104"/>
      <c r="F791" s="104"/>
      <c r="G791" s="104"/>
      <c r="H791" s="104"/>
      <c r="I791" s="104"/>
      <c r="J791" s="104"/>
      <c r="K791" s="104"/>
      <c r="L791" s="64"/>
      <c r="M791" s="79"/>
    </row>
    <row r="792" spans="3:13" ht="13">
      <c r="C792" s="63"/>
      <c r="E792" s="104"/>
      <c r="F792" s="104"/>
      <c r="G792" s="104"/>
      <c r="H792" s="104"/>
      <c r="I792" s="104"/>
      <c r="J792" s="104"/>
      <c r="K792" s="104"/>
      <c r="L792" s="64"/>
      <c r="M792" s="79"/>
    </row>
    <row r="793" spans="3:13" ht="13">
      <c r="C793" s="63"/>
      <c r="E793" s="104"/>
      <c r="F793" s="104"/>
      <c r="G793" s="104"/>
      <c r="H793" s="104"/>
      <c r="I793" s="104"/>
      <c r="J793" s="104"/>
      <c r="K793" s="104"/>
      <c r="L793" s="64"/>
      <c r="M793" s="79"/>
    </row>
    <row r="794" spans="3:13" ht="13">
      <c r="C794" s="63"/>
      <c r="E794" s="104"/>
      <c r="F794" s="104"/>
      <c r="G794" s="104"/>
      <c r="H794" s="104"/>
      <c r="I794" s="104"/>
      <c r="J794" s="104"/>
      <c r="K794" s="104"/>
      <c r="L794" s="64"/>
      <c r="M794" s="79"/>
    </row>
    <row r="795" spans="3:13" ht="13">
      <c r="C795" s="63"/>
      <c r="E795" s="104"/>
      <c r="F795" s="104"/>
      <c r="G795" s="104"/>
      <c r="H795" s="104"/>
      <c r="I795" s="104"/>
      <c r="J795" s="104"/>
      <c r="K795" s="104"/>
      <c r="L795" s="64"/>
      <c r="M795" s="79"/>
    </row>
    <row r="796" spans="3:13" ht="13">
      <c r="C796" s="63"/>
      <c r="E796" s="104"/>
      <c r="F796" s="104"/>
      <c r="G796" s="104"/>
      <c r="H796" s="104"/>
      <c r="I796" s="104"/>
      <c r="J796" s="104"/>
      <c r="K796" s="104"/>
      <c r="L796" s="64"/>
      <c r="M796" s="79"/>
    </row>
    <row r="797" spans="3:13" ht="13">
      <c r="C797" s="63"/>
      <c r="E797" s="104"/>
      <c r="F797" s="104"/>
      <c r="G797" s="104"/>
      <c r="H797" s="104"/>
      <c r="I797" s="104"/>
      <c r="J797" s="104"/>
      <c r="K797" s="104"/>
      <c r="L797" s="64"/>
      <c r="M797" s="79"/>
    </row>
    <row r="798" spans="3:13" ht="13">
      <c r="C798" s="63"/>
      <c r="E798" s="104"/>
      <c r="F798" s="104"/>
      <c r="G798" s="104"/>
      <c r="H798" s="104"/>
      <c r="I798" s="104"/>
      <c r="J798" s="104"/>
      <c r="K798" s="104"/>
      <c r="L798" s="64"/>
      <c r="M798" s="79"/>
    </row>
    <row r="799" spans="3:13" ht="13">
      <c r="C799" s="63"/>
      <c r="E799" s="104"/>
      <c r="F799" s="104"/>
      <c r="G799" s="104"/>
      <c r="H799" s="104"/>
      <c r="I799" s="104"/>
      <c r="J799" s="104"/>
      <c r="K799" s="104"/>
      <c r="L799" s="64"/>
      <c r="M799" s="79"/>
    </row>
    <row r="800" spans="3:13" ht="13">
      <c r="C800" s="63"/>
      <c r="E800" s="104"/>
      <c r="F800" s="104"/>
      <c r="G800" s="104"/>
      <c r="H800" s="104"/>
      <c r="I800" s="104"/>
      <c r="J800" s="104"/>
      <c r="K800" s="104"/>
      <c r="L800" s="64"/>
      <c r="M800" s="79"/>
    </row>
    <row r="801" spans="3:13" ht="13">
      <c r="C801" s="63"/>
      <c r="E801" s="104"/>
      <c r="F801" s="104"/>
      <c r="G801" s="104"/>
      <c r="H801" s="104"/>
      <c r="I801" s="104"/>
      <c r="J801" s="104"/>
      <c r="K801" s="104"/>
      <c r="L801" s="64"/>
      <c r="M801" s="79"/>
    </row>
    <row r="802" spans="3:13" ht="13">
      <c r="C802" s="63"/>
      <c r="E802" s="104"/>
      <c r="F802" s="104"/>
      <c r="G802" s="104"/>
      <c r="H802" s="104"/>
      <c r="I802" s="104"/>
      <c r="J802" s="104"/>
      <c r="K802" s="104"/>
      <c r="L802" s="64"/>
      <c r="M802" s="79"/>
    </row>
    <row r="803" spans="3:13" ht="13">
      <c r="C803" s="63"/>
      <c r="E803" s="104"/>
      <c r="F803" s="104"/>
      <c r="G803" s="104"/>
      <c r="H803" s="104"/>
      <c r="I803" s="104"/>
      <c r="J803" s="104"/>
      <c r="K803" s="104"/>
      <c r="L803" s="64"/>
      <c r="M803" s="79"/>
    </row>
    <row r="804" spans="3:13" ht="13">
      <c r="C804" s="63"/>
      <c r="E804" s="104"/>
      <c r="F804" s="104"/>
      <c r="G804" s="104"/>
      <c r="H804" s="104"/>
      <c r="I804" s="104"/>
      <c r="J804" s="104"/>
      <c r="K804" s="104"/>
      <c r="L804" s="64"/>
      <c r="M804" s="79"/>
    </row>
    <row r="805" spans="3:13" ht="13">
      <c r="C805" s="63"/>
      <c r="E805" s="104"/>
      <c r="F805" s="104"/>
      <c r="G805" s="104"/>
      <c r="H805" s="104"/>
      <c r="I805" s="104"/>
      <c r="J805" s="104"/>
      <c r="K805" s="104"/>
      <c r="L805" s="64"/>
      <c r="M805" s="79"/>
    </row>
    <row r="806" spans="3:13" ht="13">
      <c r="C806" s="63"/>
      <c r="E806" s="104"/>
      <c r="F806" s="104"/>
      <c r="G806" s="104"/>
      <c r="H806" s="104"/>
      <c r="I806" s="104"/>
      <c r="J806" s="104"/>
      <c r="K806" s="104"/>
      <c r="L806" s="64"/>
      <c r="M806" s="79"/>
    </row>
    <row r="807" spans="3:13" ht="13">
      <c r="C807" s="63"/>
      <c r="E807" s="104"/>
      <c r="F807" s="104"/>
      <c r="G807" s="104"/>
      <c r="H807" s="104"/>
      <c r="I807" s="104"/>
      <c r="J807" s="104"/>
      <c r="K807" s="104"/>
      <c r="L807" s="64"/>
      <c r="M807" s="79"/>
    </row>
    <row r="808" spans="3:13" ht="13">
      <c r="C808" s="63"/>
      <c r="E808" s="104"/>
      <c r="F808" s="104"/>
      <c r="G808" s="104"/>
      <c r="H808" s="104"/>
      <c r="I808" s="104"/>
      <c r="J808" s="104"/>
      <c r="K808" s="104"/>
      <c r="L808" s="64"/>
      <c r="M808" s="79"/>
    </row>
    <row r="809" spans="3:13" ht="13">
      <c r="C809" s="63"/>
      <c r="E809" s="104"/>
      <c r="F809" s="104"/>
      <c r="G809" s="104"/>
      <c r="H809" s="104"/>
      <c r="I809" s="104"/>
      <c r="J809" s="104"/>
      <c r="K809" s="104"/>
      <c r="L809" s="64"/>
      <c r="M809" s="79"/>
    </row>
    <row r="810" spans="3:13" ht="13">
      <c r="C810" s="63"/>
      <c r="E810" s="104"/>
      <c r="F810" s="104"/>
      <c r="G810" s="104"/>
      <c r="H810" s="104"/>
      <c r="I810" s="104"/>
      <c r="J810" s="104"/>
      <c r="K810" s="104"/>
      <c r="L810" s="64"/>
      <c r="M810" s="79"/>
    </row>
    <row r="811" spans="3:13" ht="13">
      <c r="C811" s="63"/>
      <c r="E811" s="104"/>
      <c r="F811" s="104"/>
      <c r="G811" s="104"/>
      <c r="H811" s="104"/>
      <c r="I811" s="104"/>
      <c r="J811" s="104"/>
      <c r="K811" s="104"/>
      <c r="L811" s="64"/>
      <c r="M811" s="79"/>
    </row>
    <row r="812" spans="3:13" ht="13">
      <c r="C812" s="63"/>
      <c r="E812" s="104"/>
      <c r="F812" s="104"/>
      <c r="G812" s="104"/>
      <c r="H812" s="104"/>
      <c r="I812" s="104"/>
      <c r="J812" s="104"/>
      <c r="K812" s="104"/>
      <c r="L812" s="64"/>
      <c r="M812" s="79"/>
    </row>
    <row r="813" spans="3:13" ht="13">
      <c r="C813" s="63"/>
      <c r="E813" s="104"/>
      <c r="F813" s="104"/>
      <c r="G813" s="104"/>
      <c r="H813" s="104"/>
      <c r="I813" s="104"/>
      <c r="J813" s="104"/>
      <c r="K813" s="104"/>
      <c r="L813" s="64"/>
      <c r="M813" s="79"/>
    </row>
    <row r="814" spans="3:13" ht="13">
      <c r="C814" s="63"/>
      <c r="E814" s="104"/>
      <c r="F814" s="104"/>
      <c r="G814" s="104"/>
      <c r="H814" s="104"/>
      <c r="I814" s="104"/>
      <c r="J814" s="104"/>
      <c r="K814" s="104"/>
      <c r="L814" s="64"/>
      <c r="M814" s="79"/>
    </row>
    <row r="815" spans="3:13" ht="13">
      <c r="C815" s="63"/>
      <c r="E815" s="104"/>
      <c r="F815" s="104"/>
      <c r="G815" s="104"/>
      <c r="H815" s="104"/>
      <c r="I815" s="104"/>
      <c r="J815" s="104"/>
      <c r="K815" s="104"/>
      <c r="L815" s="64"/>
      <c r="M815" s="79"/>
    </row>
    <row r="816" spans="3:13" ht="13">
      <c r="C816" s="63"/>
      <c r="E816" s="104"/>
      <c r="F816" s="104"/>
      <c r="G816" s="104"/>
      <c r="H816" s="104"/>
      <c r="I816" s="104"/>
      <c r="J816" s="104"/>
      <c r="K816" s="104"/>
      <c r="L816" s="64"/>
      <c r="M816" s="79"/>
    </row>
    <row r="817" spans="3:13" ht="13">
      <c r="C817" s="63"/>
      <c r="E817" s="104"/>
      <c r="F817" s="104"/>
      <c r="G817" s="104"/>
      <c r="H817" s="104"/>
      <c r="I817" s="104"/>
      <c r="J817" s="104"/>
      <c r="K817" s="104"/>
      <c r="L817" s="64"/>
      <c r="M817" s="79"/>
    </row>
    <row r="818" spans="3:13" ht="13">
      <c r="C818" s="63"/>
      <c r="E818" s="104"/>
      <c r="F818" s="104"/>
      <c r="G818" s="104"/>
      <c r="H818" s="104"/>
      <c r="I818" s="104"/>
      <c r="J818" s="104"/>
      <c r="K818" s="104"/>
      <c r="L818" s="64"/>
      <c r="M818" s="79"/>
    </row>
    <row r="819" spans="3:13" ht="13">
      <c r="C819" s="63"/>
      <c r="E819" s="104"/>
      <c r="F819" s="104"/>
      <c r="G819" s="104"/>
      <c r="H819" s="104"/>
      <c r="I819" s="104"/>
      <c r="J819" s="104"/>
      <c r="K819" s="104"/>
      <c r="L819" s="64"/>
      <c r="M819" s="79"/>
    </row>
    <row r="820" spans="3:13" ht="13">
      <c r="C820" s="63"/>
      <c r="E820" s="104"/>
      <c r="F820" s="104"/>
      <c r="G820" s="104"/>
      <c r="H820" s="104"/>
      <c r="I820" s="104"/>
      <c r="J820" s="104"/>
      <c r="K820" s="104"/>
      <c r="L820" s="64"/>
      <c r="M820" s="79"/>
    </row>
    <row r="821" spans="3:13" ht="13">
      <c r="C821" s="63"/>
      <c r="E821" s="104"/>
      <c r="F821" s="104"/>
      <c r="G821" s="104"/>
      <c r="H821" s="104"/>
      <c r="I821" s="104"/>
      <c r="J821" s="104"/>
      <c r="K821" s="104"/>
      <c r="L821" s="64"/>
      <c r="M821" s="79"/>
    </row>
    <row r="822" spans="3:13" ht="13">
      <c r="C822" s="63"/>
      <c r="E822" s="104"/>
      <c r="F822" s="104"/>
      <c r="G822" s="104"/>
      <c r="H822" s="104"/>
      <c r="I822" s="104"/>
      <c r="J822" s="104"/>
      <c r="K822" s="104"/>
      <c r="L822" s="64"/>
      <c r="M822" s="79"/>
    </row>
    <row r="823" spans="3:13" ht="13">
      <c r="C823" s="63"/>
      <c r="E823" s="104"/>
      <c r="F823" s="104"/>
      <c r="G823" s="104"/>
      <c r="H823" s="104"/>
      <c r="I823" s="104"/>
      <c r="J823" s="104"/>
      <c r="K823" s="104"/>
      <c r="L823" s="64"/>
      <c r="M823" s="79"/>
    </row>
    <row r="824" spans="3:13" ht="13">
      <c r="C824" s="63"/>
      <c r="E824" s="104"/>
      <c r="F824" s="104"/>
      <c r="G824" s="104"/>
      <c r="H824" s="104"/>
      <c r="I824" s="104"/>
      <c r="J824" s="104"/>
      <c r="K824" s="104"/>
      <c r="L824" s="64"/>
      <c r="M824" s="79"/>
    </row>
    <row r="825" spans="3:13" ht="13">
      <c r="C825" s="63"/>
      <c r="E825" s="104"/>
      <c r="F825" s="104"/>
      <c r="G825" s="104"/>
      <c r="H825" s="104"/>
      <c r="I825" s="104"/>
      <c r="J825" s="104"/>
      <c r="K825" s="104"/>
      <c r="L825" s="64"/>
      <c r="M825" s="79"/>
    </row>
    <row r="826" spans="3:13" ht="13">
      <c r="C826" s="63"/>
      <c r="E826" s="104"/>
      <c r="F826" s="104"/>
      <c r="G826" s="104"/>
      <c r="H826" s="104"/>
      <c r="I826" s="104"/>
      <c r="J826" s="104"/>
      <c r="K826" s="104"/>
      <c r="L826" s="64"/>
      <c r="M826" s="79"/>
    </row>
    <row r="827" spans="3:13" ht="13">
      <c r="C827" s="63"/>
      <c r="E827" s="104"/>
      <c r="F827" s="104"/>
      <c r="G827" s="104"/>
      <c r="H827" s="104"/>
      <c r="I827" s="104"/>
      <c r="J827" s="104"/>
      <c r="K827" s="104"/>
      <c r="L827" s="64"/>
      <c r="M827" s="79"/>
    </row>
    <row r="828" spans="3:13" ht="13">
      <c r="C828" s="63"/>
      <c r="E828" s="104"/>
      <c r="F828" s="104"/>
      <c r="G828" s="104"/>
      <c r="H828" s="104"/>
      <c r="I828" s="104"/>
      <c r="J828" s="104"/>
      <c r="K828" s="104"/>
      <c r="L828" s="64"/>
      <c r="M828" s="79"/>
    </row>
    <row r="829" spans="3:13" ht="13">
      <c r="C829" s="63"/>
      <c r="E829" s="104"/>
      <c r="F829" s="104"/>
      <c r="G829" s="104"/>
      <c r="H829" s="104"/>
      <c r="I829" s="104"/>
      <c r="J829" s="104"/>
      <c r="K829" s="104"/>
      <c r="L829" s="64"/>
      <c r="M829" s="79"/>
    </row>
    <row r="830" spans="3:13" ht="13">
      <c r="C830" s="63"/>
      <c r="E830" s="104"/>
      <c r="F830" s="104"/>
      <c r="G830" s="104"/>
      <c r="H830" s="104"/>
      <c r="I830" s="104"/>
      <c r="J830" s="104"/>
      <c r="K830" s="104"/>
      <c r="L830" s="64"/>
      <c r="M830" s="79"/>
    </row>
    <row r="831" spans="3:13" ht="13">
      <c r="C831" s="63"/>
      <c r="E831" s="104"/>
      <c r="F831" s="104"/>
      <c r="G831" s="104"/>
      <c r="H831" s="104"/>
      <c r="I831" s="104"/>
      <c r="J831" s="104"/>
      <c r="K831" s="104"/>
      <c r="L831" s="64"/>
      <c r="M831" s="79"/>
    </row>
    <row r="832" spans="3:13" ht="13">
      <c r="C832" s="63"/>
      <c r="E832" s="104"/>
      <c r="F832" s="104"/>
      <c r="G832" s="104"/>
      <c r="H832" s="104"/>
      <c r="I832" s="104"/>
      <c r="J832" s="104"/>
      <c r="K832" s="104"/>
      <c r="L832" s="64"/>
      <c r="M832" s="79"/>
    </row>
    <row r="833" spans="3:13" ht="13">
      <c r="C833" s="63"/>
      <c r="E833" s="104"/>
      <c r="F833" s="104"/>
      <c r="G833" s="104"/>
      <c r="H833" s="104"/>
      <c r="I833" s="104"/>
      <c r="J833" s="104"/>
      <c r="K833" s="104"/>
      <c r="L833" s="64"/>
      <c r="M833" s="79"/>
    </row>
    <row r="834" spans="3:13" ht="13">
      <c r="C834" s="63"/>
      <c r="E834" s="104"/>
      <c r="F834" s="104"/>
      <c r="G834" s="104"/>
      <c r="H834" s="104"/>
      <c r="I834" s="104"/>
      <c r="J834" s="104"/>
      <c r="K834" s="104"/>
      <c r="L834" s="64"/>
      <c r="M834" s="79"/>
    </row>
    <row r="835" spans="3:13" ht="13">
      <c r="C835" s="63"/>
      <c r="E835" s="104"/>
      <c r="F835" s="104"/>
      <c r="G835" s="104"/>
      <c r="H835" s="104"/>
      <c r="I835" s="104"/>
      <c r="J835" s="104"/>
      <c r="K835" s="104"/>
      <c r="L835" s="64"/>
      <c r="M835" s="79"/>
    </row>
    <row r="836" spans="3:13" ht="13">
      <c r="C836" s="63"/>
      <c r="E836" s="104"/>
      <c r="F836" s="104"/>
      <c r="G836" s="104"/>
      <c r="H836" s="104"/>
      <c r="I836" s="104"/>
      <c r="J836" s="104"/>
      <c r="K836" s="104"/>
      <c r="L836" s="64"/>
      <c r="M836" s="79"/>
    </row>
    <row r="837" spans="3:13" ht="13">
      <c r="C837" s="63"/>
      <c r="E837" s="104"/>
      <c r="F837" s="104"/>
      <c r="G837" s="104"/>
      <c r="H837" s="104"/>
      <c r="I837" s="104"/>
      <c r="J837" s="104"/>
      <c r="K837" s="104"/>
      <c r="L837" s="64"/>
      <c r="M837" s="79"/>
    </row>
    <row r="838" spans="3:13" ht="13">
      <c r="C838" s="63"/>
      <c r="E838" s="104"/>
      <c r="F838" s="104"/>
      <c r="G838" s="104"/>
      <c r="H838" s="104"/>
      <c r="I838" s="104"/>
      <c r="J838" s="104"/>
      <c r="K838" s="104"/>
      <c r="L838" s="64"/>
      <c r="M838" s="79"/>
    </row>
    <row r="839" spans="3:13" ht="13">
      <c r="C839" s="63"/>
      <c r="E839" s="104"/>
      <c r="F839" s="104"/>
      <c r="G839" s="104"/>
      <c r="H839" s="104"/>
      <c r="I839" s="104"/>
      <c r="J839" s="104"/>
      <c r="K839" s="104"/>
      <c r="L839" s="64"/>
      <c r="M839" s="79"/>
    </row>
    <row r="840" spans="3:13" ht="13">
      <c r="C840" s="63"/>
      <c r="E840" s="104"/>
      <c r="F840" s="104"/>
      <c r="G840" s="104"/>
      <c r="H840" s="104"/>
      <c r="I840" s="104"/>
      <c r="J840" s="104"/>
      <c r="K840" s="104"/>
      <c r="L840" s="64"/>
      <c r="M840" s="79"/>
    </row>
    <row r="841" spans="3:13" ht="13">
      <c r="C841" s="63"/>
      <c r="E841" s="104"/>
      <c r="F841" s="104"/>
      <c r="G841" s="104"/>
      <c r="H841" s="104"/>
      <c r="I841" s="104"/>
      <c r="J841" s="104"/>
      <c r="K841" s="104"/>
      <c r="L841" s="64"/>
      <c r="M841" s="79"/>
    </row>
    <row r="842" spans="3:13" ht="13">
      <c r="C842" s="63"/>
      <c r="E842" s="104"/>
      <c r="F842" s="104"/>
      <c r="G842" s="104"/>
      <c r="H842" s="104"/>
      <c r="I842" s="104"/>
      <c r="J842" s="104"/>
      <c r="K842" s="104"/>
      <c r="L842" s="64"/>
      <c r="M842" s="79"/>
    </row>
    <row r="843" spans="3:13" ht="13">
      <c r="C843" s="63"/>
      <c r="E843" s="104"/>
      <c r="F843" s="104"/>
      <c r="G843" s="104"/>
      <c r="H843" s="104"/>
      <c r="I843" s="104"/>
      <c r="J843" s="104"/>
      <c r="K843" s="104"/>
      <c r="L843" s="64"/>
      <c r="M843" s="79"/>
    </row>
    <row r="844" spans="3:13" ht="13">
      <c r="C844" s="63"/>
      <c r="E844" s="104"/>
      <c r="F844" s="104"/>
      <c r="G844" s="104"/>
      <c r="H844" s="104"/>
      <c r="I844" s="104"/>
      <c r="J844" s="104"/>
      <c r="K844" s="104"/>
      <c r="L844" s="64"/>
      <c r="M844" s="79"/>
    </row>
    <row r="845" spans="3:13" ht="13">
      <c r="C845" s="63"/>
      <c r="E845" s="104"/>
      <c r="F845" s="104"/>
      <c r="G845" s="104"/>
      <c r="H845" s="104"/>
      <c r="I845" s="104"/>
      <c r="J845" s="104"/>
      <c r="K845" s="104"/>
      <c r="L845" s="64"/>
      <c r="M845" s="79"/>
    </row>
    <row r="846" spans="3:13" ht="13">
      <c r="C846" s="63"/>
      <c r="E846" s="104"/>
      <c r="F846" s="104"/>
      <c r="G846" s="104"/>
      <c r="H846" s="104"/>
      <c r="I846" s="104"/>
      <c r="J846" s="104"/>
      <c r="K846" s="104"/>
      <c r="L846" s="64"/>
      <c r="M846" s="79"/>
    </row>
    <row r="847" spans="3:13" ht="13">
      <c r="C847" s="63"/>
      <c r="E847" s="104"/>
      <c r="F847" s="104"/>
      <c r="G847" s="104"/>
      <c r="H847" s="104"/>
      <c r="I847" s="104"/>
      <c r="J847" s="104"/>
      <c r="K847" s="104"/>
      <c r="L847" s="64"/>
      <c r="M847" s="79"/>
    </row>
    <row r="848" spans="3:13" ht="13">
      <c r="C848" s="63"/>
      <c r="E848" s="104"/>
      <c r="F848" s="104"/>
      <c r="G848" s="104"/>
      <c r="H848" s="104"/>
      <c r="I848" s="104"/>
      <c r="J848" s="104"/>
      <c r="K848" s="104"/>
      <c r="L848" s="64"/>
      <c r="M848" s="79"/>
    </row>
    <row r="849" spans="3:13" ht="13">
      <c r="C849" s="63"/>
      <c r="E849" s="104"/>
      <c r="F849" s="104"/>
      <c r="G849" s="104"/>
      <c r="H849" s="104"/>
      <c r="I849" s="104"/>
      <c r="J849" s="104"/>
      <c r="K849" s="104"/>
      <c r="L849" s="64"/>
      <c r="M849" s="79"/>
    </row>
    <row r="850" spans="3:13" ht="13">
      <c r="C850" s="63"/>
      <c r="E850" s="104"/>
      <c r="F850" s="104"/>
      <c r="G850" s="104"/>
      <c r="H850" s="104"/>
      <c r="I850" s="104"/>
      <c r="J850" s="104"/>
      <c r="K850" s="104"/>
      <c r="L850" s="64"/>
      <c r="M850" s="79"/>
    </row>
    <row r="851" spans="3:13" ht="13">
      <c r="C851" s="63"/>
      <c r="E851" s="104"/>
      <c r="F851" s="104"/>
      <c r="G851" s="104"/>
      <c r="H851" s="104"/>
      <c r="I851" s="104"/>
      <c r="J851" s="104"/>
      <c r="K851" s="104"/>
      <c r="L851" s="64"/>
      <c r="M851" s="79"/>
    </row>
    <row r="852" spans="3:13" ht="13">
      <c r="C852" s="63"/>
      <c r="E852" s="104"/>
      <c r="F852" s="104"/>
      <c r="G852" s="104"/>
      <c r="H852" s="104"/>
      <c r="I852" s="104"/>
      <c r="J852" s="104"/>
      <c r="K852" s="104"/>
      <c r="L852" s="64"/>
      <c r="M852" s="79"/>
    </row>
    <row r="853" spans="3:13" ht="13">
      <c r="C853" s="63"/>
      <c r="E853" s="104"/>
      <c r="F853" s="104"/>
      <c r="G853" s="104"/>
      <c r="H853" s="104"/>
      <c r="I853" s="104"/>
      <c r="J853" s="104"/>
      <c r="K853" s="104"/>
      <c r="L853" s="64"/>
      <c r="M853" s="79"/>
    </row>
    <row r="854" spans="3:13" ht="13">
      <c r="C854" s="63"/>
      <c r="E854" s="104"/>
      <c r="F854" s="104"/>
      <c r="G854" s="104"/>
      <c r="H854" s="104"/>
      <c r="I854" s="104"/>
      <c r="J854" s="104"/>
      <c r="K854" s="104"/>
      <c r="L854" s="64"/>
      <c r="M854" s="79"/>
    </row>
    <row r="855" spans="3:13" ht="13">
      <c r="C855" s="63"/>
      <c r="E855" s="104"/>
      <c r="F855" s="104"/>
      <c r="G855" s="104"/>
      <c r="H855" s="104"/>
      <c r="I855" s="104"/>
      <c r="J855" s="104"/>
      <c r="K855" s="104"/>
      <c r="L855" s="64"/>
      <c r="M855" s="79"/>
    </row>
    <row r="856" spans="3:13" ht="13">
      <c r="C856" s="63"/>
      <c r="E856" s="104"/>
      <c r="F856" s="104"/>
      <c r="G856" s="104"/>
      <c r="H856" s="104"/>
      <c r="I856" s="104"/>
      <c r="J856" s="104"/>
      <c r="K856" s="104"/>
      <c r="L856" s="64"/>
      <c r="M856" s="79"/>
    </row>
    <row r="857" spans="3:13" ht="13">
      <c r="C857" s="63"/>
      <c r="E857" s="104"/>
      <c r="F857" s="104"/>
      <c r="G857" s="104"/>
      <c r="H857" s="104"/>
      <c r="I857" s="104"/>
      <c r="J857" s="104"/>
      <c r="K857" s="104"/>
      <c r="L857" s="64"/>
      <c r="M857" s="79"/>
    </row>
    <row r="858" spans="3:13" ht="13">
      <c r="C858" s="63"/>
      <c r="E858" s="104"/>
      <c r="F858" s="104"/>
      <c r="G858" s="104"/>
      <c r="H858" s="104"/>
      <c r="I858" s="104"/>
      <c r="J858" s="104"/>
      <c r="K858" s="104"/>
      <c r="L858" s="64"/>
      <c r="M858" s="79"/>
    </row>
    <row r="859" spans="3:13" ht="13">
      <c r="C859" s="63"/>
      <c r="E859" s="104"/>
      <c r="F859" s="104"/>
      <c r="G859" s="104"/>
      <c r="H859" s="104"/>
      <c r="I859" s="104"/>
      <c r="J859" s="104"/>
      <c r="K859" s="104"/>
      <c r="L859" s="64"/>
      <c r="M859" s="79"/>
    </row>
    <row r="860" spans="3:13" ht="13">
      <c r="C860" s="63"/>
      <c r="E860" s="104"/>
      <c r="F860" s="104"/>
      <c r="G860" s="104"/>
      <c r="H860" s="104"/>
      <c r="I860" s="104"/>
      <c r="J860" s="104"/>
      <c r="K860" s="104"/>
      <c r="L860" s="64"/>
      <c r="M860" s="79"/>
    </row>
    <row r="861" spans="3:13" ht="13">
      <c r="C861" s="63"/>
      <c r="E861" s="104"/>
      <c r="F861" s="104"/>
      <c r="G861" s="104"/>
      <c r="H861" s="104"/>
      <c r="I861" s="104"/>
      <c r="J861" s="104"/>
      <c r="K861" s="104"/>
      <c r="L861" s="64"/>
      <c r="M861" s="79"/>
    </row>
    <row r="862" spans="3:13" ht="13">
      <c r="C862" s="63"/>
      <c r="E862" s="104"/>
      <c r="F862" s="104"/>
      <c r="G862" s="104"/>
      <c r="H862" s="104"/>
      <c r="I862" s="104"/>
      <c r="J862" s="104"/>
      <c r="K862" s="104"/>
      <c r="L862" s="64"/>
      <c r="M862" s="79"/>
    </row>
    <row r="863" spans="3:13" ht="13">
      <c r="C863" s="63"/>
      <c r="E863" s="104"/>
      <c r="F863" s="104"/>
      <c r="G863" s="104"/>
      <c r="H863" s="104"/>
      <c r="I863" s="104"/>
      <c r="J863" s="104"/>
      <c r="K863" s="104"/>
      <c r="L863" s="64"/>
      <c r="M863" s="79"/>
    </row>
    <row r="864" spans="3:13" ht="13">
      <c r="C864" s="63"/>
      <c r="E864" s="104"/>
      <c r="F864" s="104"/>
      <c r="G864" s="104"/>
      <c r="H864" s="104"/>
      <c r="I864" s="104"/>
      <c r="J864" s="104"/>
      <c r="K864" s="104"/>
      <c r="L864" s="64"/>
      <c r="M864" s="79"/>
    </row>
    <row r="865" spans="3:13" ht="13">
      <c r="C865" s="63"/>
      <c r="E865" s="104"/>
      <c r="F865" s="104"/>
      <c r="G865" s="104"/>
      <c r="H865" s="104"/>
      <c r="I865" s="104"/>
      <c r="J865" s="104"/>
      <c r="K865" s="104"/>
      <c r="L865" s="64"/>
      <c r="M865" s="79"/>
    </row>
    <row r="866" spans="3:13" ht="13">
      <c r="C866" s="63"/>
      <c r="E866" s="104"/>
      <c r="F866" s="104"/>
      <c r="G866" s="104"/>
      <c r="H866" s="104"/>
      <c r="I866" s="104"/>
      <c r="J866" s="104"/>
      <c r="K866" s="104"/>
      <c r="L866" s="64"/>
      <c r="M866" s="79"/>
    </row>
    <row r="867" spans="3:13" ht="13">
      <c r="C867" s="63"/>
      <c r="E867" s="104"/>
      <c r="F867" s="104"/>
      <c r="G867" s="104"/>
      <c r="H867" s="104"/>
      <c r="I867" s="104"/>
      <c r="J867" s="104"/>
      <c r="K867" s="104"/>
      <c r="L867" s="64"/>
      <c r="M867" s="79"/>
    </row>
    <row r="868" spans="3:13" ht="13">
      <c r="C868" s="63"/>
      <c r="E868" s="104"/>
      <c r="F868" s="104"/>
      <c r="G868" s="104"/>
      <c r="H868" s="104"/>
      <c r="I868" s="104"/>
      <c r="J868" s="104"/>
      <c r="K868" s="104"/>
      <c r="L868" s="64"/>
      <c r="M868" s="79"/>
    </row>
    <row r="869" spans="3:13" ht="13">
      <c r="C869" s="63"/>
      <c r="E869" s="104"/>
      <c r="F869" s="104"/>
      <c r="G869" s="104"/>
      <c r="H869" s="104"/>
      <c r="I869" s="104"/>
      <c r="J869" s="104"/>
      <c r="K869" s="104"/>
      <c r="L869" s="64"/>
      <c r="M869" s="79"/>
    </row>
    <row r="870" spans="3:13" ht="13">
      <c r="C870" s="63"/>
      <c r="E870" s="104"/>
      <c r="F870" s="104"/>
      <c r="G870" s="104"/>
      <c r="H870" s="104"/>
      <c r="I870" s="104"/>
      <c r="J870" s="104"/>
      <c r="K870" s="104"/>
      <c r="L870" s="64"/>
      <c r="M870" s="79"/>
    </row>
    <row r="871" spans="3:13" ht="13">
      <c r="C871" s="63"/>
      <c r="E871" s="104"/>
      <c r="F871" s="104"/>
      <c r="G871" s="104"/>
      <c r="H871" s="104"/>
      <c r="I871" s="104"/>
      <c r="J871" s="104"/>
      <c r="K871" s="104"/>
      <c r="L871" s="64"/>
      <c r="M871" s="79"/>
    </row>
    <row r="872" spans="3:13" ht="13">
      <c r="C872" s="63"/>
      <c r="E872" s="104"/>
      <c r="F872" s="104"/>
      <c r="G872" s="104"/>
      <c r="H872" s="104"/>
      <c r="I872" s="104"/>
      <c r="J872" s="104"/>
      <c r="K872" s="104"/>
      <c r="L872" s="64"/>
      <c r="M872" s="79"/>
    </row>
    <row r="873" spans="3:13" ht="13">
      <c r="C873" s="63"/>
      <c r="E873" s="104"/>
      <c r="F873" s="104"/>
      <c r="G873" s="104"/>
      <c r="H873" s="104"/>
      <c r="I873" s="104"/>
      <c r="J873" s="104"/>
      <c r="K873" s="104"/>
      <c r="L873" s="64"/>
      <c r="M873" s="79"/>
    </row>
    <row r="874" spans="3:13" ht="13">
      <c r="C874" s="63"/>
      <c r="E874" s="104"/>
      <c r="F874" s="104"/>
      <c r="G874" s="104"/>
      <c r="H874" s="104"/>
      <c r="I874" s="104"/>
      <c r="J874" s="104"/>
      <c r="K874" s="104"/>
      <c r="L874" s="64"/>
      <c r="M874" s="79"/>
    </row>
    <row r="875" spans="3:13" ht="13">
      <c r="C875" s="63"/>
      <c r="E875" s="104"/>
      <c r="F875" s="104"/>
      <c r="G875" s="104"/>
      <c r="H875" s="104"/>
      <c r="I875" s="104"/>
      <c r="J875" s="104"/>
      <c r="K875" s="104"/>
      <c r="L875" s="64"/>
      <c r="M875" s="79"/>
    </row>
    <row r="876" spans="3:13" ht="13">
      <c r="C876" s="63"/>
      <c r="E876" s="104"/>
      <c r="F876" s="104"/>
      <c r="G876" s="104"/>
      <c r="H876" s="104"/>
      <c r="I876" s="104"/>
      <c r="J876" s="104"/>
      <c r="K876" s="104"/>
      <c r="L876" s="64"/>
      <c r="M876" s="79"/>
    </row>
    <row r="877" spans="3:13" ht="13">
      <c r="C877" s="63"/>
      <c r="E877" s="104"/>
      <c r="F877" s="104"/>
      <c r="G877" s="104"/>
      <c r="H877" s="104"/>
      <c r="I877" s="104"/>
      <c r="J877" s="104"/>
      <c r="K877" s="104"/>
      <c r="L877" s="64"/>
      <c r="M877" s="79"/>
    </row>
    <row r="878" spans="3:13" ht="13">
      <c r="C878" s="63"/>
      <c r="E878" s="104"/>
      <c r="F878" s="104"/>
      <c r="G878" s="104"/>
      <c r="H878" s="104"/>
      <c r="I878" s="104"/>
      <c r="J878" s="104"/>
      <c r="K878" s="104"/>
      <c r="L878" s="64"/>
      <c r="M878" s="79"/>
    </row>
    <row r="879" spans="3:13" ht="13">
      <c r="C879" s="63"/>
      <c r="E879" s="104"/>
      <c r="F879" s="104"/>
      <c r="G879" s="104"/>
      <c r="H879" s="104"/>
      <c r="I879" s="104"/>
      <c r="J879" s="104"/>
      <c r="K879" s="104"/>
      <c r="L879" s="64"/>
      <c r="M879" s="79"/>
    </row>
    <row r="880" spans="3:13" ht="13">
      <c r="C880" s="63"/>
      <c r="E880" s="104"/>
      <c r="F880" s="104"/>
      <c r="G880" s="104"/>
      <c r="H880" s="104"/>
      <c r="I880" s="104"/>
      <c r="J880" s="104"/>
      <c r="K880" s="104"/>
      <c r="L880" s="64"/>
      <c r="M880" s="79"/>
    </row>
    <row r="881" spans="3:13" ht="13">
      <c r="C881" s="63"/>
      <c r="E881" s="104"/>
      <c r="F881" s="104"/>
      <c r="G881" s="104"/>
      <c r="H881" s="104"/>
      <c r="I881" s="104"/>
      <c r="J881" s="104"/>
      <c r="K881" s="104"/>
      <c r="L881" s="64"/>
      <c r="M881" s="79"/>
    </row>
    <row r="882" spans="3:13" ht="13">
      <c r="C882" s="63"/>
      <c r="E882" s="104"/>
      <c r="F882" s="104"/>
      <c r="G882" s="104"/>
      <c r="H882" s="104"/>
      <c r="I882" s="104"/>
      <c r="J882" s="104"/>
      <c r="K882" s="104"/>
      <c r="L882" s="64"/>
      <c r="M882" s="79"/>
    </row>
    <row r="883" spans="3:13" ht="13">
      <c r="C883" s="63"/>
      <c r="E883" s="104"/>
      <c r="F883" s="104"/>
      <c r="G883" s="104"/>
      <c r="H883" s="104"/>
      <c r="I883" s="104"/>
      <c r="J883" s="104"/>
      <c r="K883" s="104"/>
      <c r="L883" s="64"/>
      <c r="M883" s="79"/>
    </row>
    <row r="884" spans="3:13" ht="13">
      <c r="C884" s="63"/>
      <c r="E884" s="104"/>
      <c r="F884" s="104"/>
      <c r="G884" s="104"/>
      <c r="H884" s="104"/>
      <c r="I884" s="104"/>
      <c r="J884" s="104"/>
      <c r="K884" s="104"/>
      <c r="L884" s="64"/>
      <c r="M884" s="79"/>
    </row>
    <row r="885" spans="3:13" ht="13">
      <c r="C885" s="63"/>
      <c r="E885" s="104"/>
      <c r="F885" s="104"/>
      <c r="G885" s="104"/>
      <c r="H885" s="104"/>
      <c r="I885" s="104"/>
      <c r="J885" s="104"/>
      <c r="K885" s="104"/>
      <c r="L885" s="64"/>
      <c r="M885" s="79"/>
    </row>
    <row r="886" spans="3:13" ht="13">
      <c r="C886" s="63"/>
      <c r="E886" s="104"/>
      <c r="F886" s="104"/>
      <c r="G886" s="104"/>
      <c r="H886" s="104"/>
      <c r="I886" s="104"/>
      <c r="J886" s="104"/>
      <c r="K886" s="104"/>
      <c r="L886" s="64"/>
      <c r="M886" s="79"/>
    </row>
    <row r="887" spans="3:13" ht="13">
      <c r="C887" s="63"/>
      <c r="E887" s="104"/>
      <c r="F887" s="104"/>
      <c r="G887" s="104"/>
      <c r="H887" s="104"/>
      <c r="I887" s="104"/>
      <c r="J887" s="104"/>
      <c r="K887" s="104"/>
      <c r="L887" s="64"/>
      <c r="M887" s="79"/>
    </row>
    <row r="888" spans="3:13" ht="13">
      <c r="C888" s="63"/>
      <c r="E888" s="104"/>
      <c r="F888" s="104"/>
      <c r="G888" s="104"/>
      <c r="H888" s="104"/>
      <c r="I888" s="104"/>
      <c r="J888" s="104"/>
      <c r="K888" s="104"/>
      <c r="L888" s="64"/>
      <c r="M888" s="79"/>
    </row>
    <row r="889" spans="3:13" ht="13">
      <c r="C889" s="63"/>
      <c r="E889" s="104"/>
      <c r="F889" s="104"/>
      <c r="G889" s="104"/>
      <c r="H889" s="104"/>
      <c r="I889" s="104"/>
      <c r="J889" s="104"/>
      <c r="K889" s="104"/>
      <c r="L889" s="64"/>
      <c r="M889" s="79"/>
    </row>
    <row r="890" spans="3:13" ht="13">
      <c r="C890" s="63"/>
      <c r="E890" s="104"/>
      <c r="F890" s="104"/>
      <c r="G890" s="104"/>
      <c r="H890" s="104"/>
      <c r="I890" s="104"/>
      <c r="J890" s="104"/>
      <c r="K890" s="104"/>
      <c r="L890" s="64"/>
      <c r="M890" s="79"/>
    </row>
    <row r="891" spans="3:13" ht="13">
      <c r="C891" s="63"/>
      <c r="E891" s="104"/>
      <c r="F891" s="104"/>
      <c r="G891" s="104"/>
      <c r="H891" s="104"/>
      <c r="I891" s="104"/>
      <c r="J891" s="104"/>
      <c r="K891" s="104"/>
      <c r="L891" s="64"/>
      <c r="M891" s="79"/>
    </row>
    <row r="892" spans="3:13" ht="13">
      <c r="C892" s="63"/>
      <c r="E892" s="104"/>
      <c r="F892" s="104"/>
      <c r="G892" s="104"/>
      <c r="H892" s="104"/>
      <c r="I892" s="104"/>
      <c r="J892" s="104"/>
      <c r="K892" s="104"/>
      <c r="L892" s="64"/>
      <c r="M892" s="79"/>
    </row>
    <row r="893" spans="3:13" ht="13">
      <c r="C893" s="63"/>
      <c r="E893" s="104"/>
      <c r="F893" s="104"/>
      <c r="G893" s="104"/>
      <c r="H893" s="104"/>
      <c r="I893" s="104"/>
      <c r="J893" s="104"/>
      <c r="K893" s="104"/>
      <c r="L893" s="64"/>
      <c r="M893" s="79"/>
    </row>
    <row r="894" spans="3:13" ht="13">
      <c r="C894" s="63"/>
      <c r="E894" s="104"/>
      <c r="F894" s="104"/>
      <c r="G894" s="104"/>
      <c r="H894" s="104"/>
      <c r="I894" s="104"/>
      <c r="J894" s="104"/>
      <c r="K894" s="104"/>
      <c r="L894" s="64"/>
      <c r="M894" s="79"/>
    </row>
    <row r="895" spans="3:13" ht="13">
      <c r="C895" s="63"/>
      <c r="E895" s="104"/>
      <c r="F895" s="104"/>
      <c r="G895" s="104"/>
      <c r="H895" s="104"/>
      <c r="I895" s="104"/>
      <c r="J895" s="104"/>
      <c r="K895" s="104"/>
      <c r="L895" s="64"/>
      <c r="M895" s="79"/>
    </row>
    <row r="896" spans="3:13" ht="13">
      <c r="C896" s="63"/>
      <c r="E896" s="104"/>
      <c r="F896" s="104"/>
      <c r="G896" s="104"/>
      <c r="H896" s="104"/>
      <c r="I896" s="104"/>
      <c r="J896" s="104"/>
      <c r="K896" s="104"/>
      <c r="L896" s="64"/>
      <c r="M896" s="79"/>
    </row>
    <row r="897" spans="3:13" ht="13">
      <c r="C897" s="63"/>
      <c r="E897" s="104"/>
      <c r="F897" s="104"/>
      <c r="G897" s="104"/>
      <c r="H897" s="104"/>
      <c r="I897" s="104"/>
      <c r="J897" s="104"/>
      <c r="K897" s="104"/>
      <c r="L897" s="64"/>
      <c r="M897" s="79"/>
    </row>
    <row r="898" spans="3:13" ht="13">
      <c r="C898" s="63"/>
      <c r="E898" s="104"/>
      <c r="F898" s="104"/>
      <c r="G898" s="104"/>
      <c r="H898" s="104"/>
      <c r="I898" s="104"/>
      <c r="J898" s="104"/>
      <c r="K898" s="104"/>
      <c r="L898" s="64"/>
      <c r="M898" s="79"/>
    </row>
    <row r="899" spans="3:13" ht="13">
      <c r="C899" s="63"/>
      <c r="E899" s="104"/>
      <c r="F899" s="104"/>
      <c r="G899" s="104"/>
      <c r="H899" s="104"/>
      <c r="I899" s="104"/>
      <c r="J899" s="104"/>
      <c r="K899" s="104"/>
      <c r="L899" s="64"/>
      <c r="M899" s="79"/>
    </row>
    <row r="900" spans="3:13" ht="13">
      <c r="C900" s="63"/>
      <c r="E900" s="104"/>
      <c r="F900" s="104"/>
      <c r="G900" s="104"/>
      <c r="H900" s="104"/>
      <c r="I900" s="104"/>
      <c r="J900" s="104"/>
      <c r="K900" s="104"/>
      <c r="L900" s="64"/>
      <c r="M900" s="79"/>
    </row>
    <row r="901" spans="3:13" ht="13">
      <c r="C901" s="63"/>
      <c r="E901" s="104"/>
      <c r="F901" s="104"/>
      <c r="G901" s="104"/>
      <c r="H901" s="104"/>
      <c r="I901" s="104"/>
      <c r="J901" s="104"/>
      <c r="K901" s="104"/>
      <c r="L901" s="64"/>
      <c r="M901" s="79"/>
    </row>
    <row r="902" spans="3:13" ht="13">
      <c r="C902" s="63"/>
      <c r="E902" s="104"/>
      <c r="F902" s="104"/>
      <c r="G902" s="104"/>
      <c r="H902" s="104"/>
      <c r="I902" s="104"/>
      <c r="J902" s="104"/>
      <c r="K902" s="104"/>
      <c r="L902" s="64"/>
      <c r="M902" s="79"/>
    </row>
    <row r="903" spans="3:13" ht="13">
      <c r="C903" s="63"/>
      <c r="E903" s="104"/>
      <c r="F903" s="104"/>
      <c r="G903" s="104"/>
      <c r="H903" s="104"/>
      <c r="I903" s="104"/>
      <c r="J903" s="104"/>
      <c r="K903" s="104"/>
      <c r="L903" s="64"/>
      <c r="M903" s="79"/>
    </row>
    <row r="904" spans="3:13" ht="13">
      <c r="C904" s="63"/>
      <c r="E904" s="104"/>
      <c r="F904" s="104"/>
      <c r="G904" s="104"/>
      <c r="H904" s="104"/>
      <c r="I904" s="104"/>
      <c r="J904" s="104"/>
      <c r="K904" s="104"/>
      <c r="L904" s="64"/>
      <c r="M904" s="79"/>
    </row>
    <row r="905" spans="3:13" ht="13">
      <c r="C905" s="63"/>
      <c r="E905" s="104"/>
      <c r="F905" s="104"/>
      <c r="G905" s="104"/>
      <c r="H905" s="104"/>
      <c r="I905" s="104"/>
      <c r="J905" s="104"/>
      <c r="K905" s="104"/>
      <c r="L905" s="64"/>
      <c r="M905" s="79"/>
    </row>
    <row r="906" spans="3:13" ht="13">
      <c r="C906" s="63"/>
      <c r="E906" s="104"/>
      <c r="F906" s="104"/>
      <c r="G906" s="104"/>
      <c r="H906" s="104"/>
      <c r="I906" s="104"/>
      <c r="J906" s="104"/>
      <c r="K906" s="104"/>
      <c r="L906" s="64"/>
      <c r="M906" s="79"/>
    </row>
    <row r="907" spans="3:13" ht="13">
      <c r="C907" s="63"/>
      <c r="E907" s="104"/>
      <c r="F907" s="104"/>
      <c r="G907" s="104"/>
      <c r="H907" s="104"/>
      <c r="I907" s="104"/>
      <c r="J907" s="104"/>
      <c r="K907" s="104"/>
      <c r="L907" s="64"/>
      <c r="M907" s="79"/>
    </row>
    <row r="908" spans="3:13" ht="13">
      <c r="C908" s="63"/>
      <c r="E908" s="104"/>
      <c r="F908" s="104"/>
      <c r="G908" s="104"/>
      <c r="H908" s="104"/>
      <c r="I908" s="104"/>
      <c r="J908" s="104"/>
      <c r="K908" s="104"/>
      <c r="L908" s="64"/>
      <c r="M908" s="79"/>
    </row>
    <row r="909" spans="3:13" ht="13">
      <c r="C909" s="63"/>
      <c r="E909" s="104"/>
      <c r="F909" s="104"/>
      <c r="G909" s="104"/>
      <c r="H909" s="104"/>
      <c r="I909" s="104"/>
      <c r="J909" s="104"/>
      <c r="K909" s="104"/>
      <c r="L909" s="64"/>
      <c r="M909" s="79"/>
    </row>
    <row r="910" spans="3:13" ht="13">
      <c r="C910" s="63"/>
      <c r="E910" s="104"/>
      <c r="F910" s="104"/>
      <c r="G910" s="104"/>
      <c r="H910" s="104"/>
      <c r="I910" s="104"/>
      <c r="J910" s="104"/>
      <c r="K910" s="104"/>
      <c r="L910" s="64"/>
      <c r="M910" s="79"/>
    </row>
    <row r="911" spans="3:13" ht="13">
      <c r="C911" s="63"/>
      <c r="E911" s="104"/>
      <c r="F911" s="104"/>
      <c r="G911" s="104"/>
      <c r="H911" s="104"/>
      <c r="I911" s="104"/>
      <c r="J911" s="104"/>
      <c r="K911" s="104"/>
      <c r="L911" s="64"/>
      <c r="M911" s="79"/>
    </row>
    <row r="912" spans="3:13" ht="13">
      <c r="C912" s="63"/>
      <c r="E912" s="104"/>
      <c r="F912" s="104"/>
      <c r="G912" s="104"/>
      <c r="H912" s="104"/>
      <c r="I912" s="104"/>
      <c r="J912" s="104"/>
      <c r="K912" s="104"/>
      <c r="L912" s="64"/>
      <c r="M912" s="79"/>
    </row>
    <row r="913" spans="3:13" ht="13">
      <c r="C913" s="63"/>
      <c r="E913" s="104"/>
      <c r="F913" s="104"/>
      <c r="G913" s="104"/>
      <c r="H913" s="104"/>
      <c r="I913" s="104"/>
      <c r="J913" s="104"/>
      <c r="K913" s="104"/>
      <c r="L913" s="64"/>
      <c r="M913" s="79"/>
    </row>
    <row r="914" spans="3:13" ht="13">
      <c r="C914" s="63"/>
      <c r="E914" s="104"/>
      <c r="F914" s="104"/>
      <c r="G914" s="104"/>
      <c r="H914" s="104"/>
      <c r="I914" s="104"/>
      <c r="J914" s="104"/>
      <c r="K914" s="104"/>
      <c r="L914" s="64"/>
      <c r="M914" s="79"/>
    </row>
    <row r="915" spans="3:13" ht="13">
      <c r="C915" s="63"/>
      <c r="E915" s="104"/>
      <c r="F915" s="104"/>
      <c r="G915" s="104"/>
      <c r="H915" s="104"/>
      <c r="I915" s="104"/>
      <c r="J915" s="104"/>
      <c r="K915" s="104"/>
      <c r="L915" s="64"/>
      <c r="M915" s="79"/>
    </row>
    <row r="916" spans="3:13" ht="13">
      <c r="C916" s="63"/>
      <c r="E916" s="104"/>
      <c r="F916" s="104"/>
      <c r="G916" s="104"/>
      <c r="H916" s="104"/>
      <c r="I916" s="104"/>
      <c r="J916" s="104"/>
      <c r="K916" s="104"/>
      <c r="L916" s="64"/>
      <c r="M916" s="79"/>
    </row>
    <row r="917" spans="3:13" ht="13">
      <c r="C917" s="63"/>
      <c r="E917" s="104"/>
      <c r="F917" s="104"/>
      <c r="G917" s="104"/>
      <c r="H917" s="104"/>
      <c r="I917" s="104"/>
      <c r="J917" s="104"/>
      <c r="K917" s="104"/>
      <c r="L917" s="64"/>
      <c r="M917" s="79"/>
    </row>
    <row r="918" spans="3:13" ht="13">
      <c r="C918" s="63"/>
      <c r="E918" s="104"/>
      <c r="F918" s="104"/>
      <c r="G918" s="104"/>
      <c r="H918" s="104"/>
      <c r="I918" s="104"/>
      <c r="J918" s="104"/>
      <c r="K918" s="104"/>
      <c r="L918" s="64"/>
      <c r="M918" s="79"/>
    </row>
    <row r="919" spans="3:13" ht="13">
      <c r="C919" s="63"/>
      <c r="E919" s="104"/>
      <c r="F919" s="104"/>
      <c r="G919" s="104"/>
      <c r="H919" s="104"/>
      <c r="I919" s="104"/>
      <c r="J919" s="104"/>
      <c r="K919" s="104"/>
      <c r="L919" s="64"/>
      <c r="M919" s="79"/>
    </row>
    <row r="920" spans="3:13" ht="13">
      <c r="C920" s="63"/>
      <c r="E920" s="104"/>
      <c r="F920" s="104"/>
      <c r="G920" s="104"/>
      <c r="H920" s="104"/>
      <c r="I920" s="104"/>
      <c r="J920" s="104"/>
      <c r="K920" s="104"/>
      <c r="L920" s="64"/>
      <c r="M920" s="79"/>
    </row>
    <row r="921" spans="3:13" ht="13">
      <c r="C921" s="63"/>
      <c r="E921" s="104"/>
      <c r="F921" s="104"/>
      <c r="G921" s="104"/>
      <c r="H921" s="104"/>
      <c r="I921" s="104"/>
      <c r="J921" s="104"/>
      <c r="K921" s="104"/>
      <c r="L921" s="64"/>
      <c r="M921" s="79"/>
    </row>
    <row r="922" spans="3:13" ht="13">
      <c r="C922" s="63"/>
      <c r="E922" s="104"/>
      <c r="F922" s="104"/>
      <c r="G922" s="104"/>
      <c r="H922" s="104"/>
      <c r="I922" s="104"/>
      <c r="J922" s="104"/>
      <c r="K922" s="104"/>
      <c r="L922" s="64"/>
      <c r="M922" s="79"/>
    </row>
    <row r="923" spans="3:13" ht="13">
      <c r="C923" s="63"/>
      <c r="E923" s="104"/>
      <c r="F923" s="104"/>
      <c r="G923" s="104"/>
      <c r="H923" s="104"/>
      <c r="I923" s="104"/>
      <c r="J923" s="104"/>
      <c r="K923" s="104"/>
      <c r="L923" s="64"/>
      <c r="M923" s="79"/>
    </row>
    <row r="924" spans="3:13" ht="13">
      <c r="C924" s="63"/>
      <c r="E924" s="104"/>
      <c r="F924" s="104"/>
      <c r="G924" s="104"/>
      <c r="H924" s="104"/>
      <c r="I924" s="104"/>
      <c r="J924" s="104"/>
      <c r="K924" s="104"/>
      <c r="L924" s="64"/>
      <c r="M924" s="79"/>
    </row>
    <row r="925" spans="3:13" ht="13">
      <c r="C925" s="63"/>
      <c r="E925" s="104"/>
      <c r="F925" s="104"/>
      <c r="G925" s="104"/>
      <c r="H925" s="104"/>
      <c r="I925" s="104"/>
      <c r="J925" s="104"/>
      <c r="K925" s="104"/>
      <c r="L925" s="64"/>
      <c r="M925" s="79"/>
    </row>
    <row r="926" spans="3:13" ht="13">
      <c r="C926" s="63"/>
      <c r="E926" s="104"/>
      <c r="F926" s="104"/>
      <c r="G926" s="104"/>
      <c r="H926" s="104"/>
      <c r="I926" s="104"/>
      <c r="J926" s="104"/>
      <c r="K926" s="104"/>
      <c r="L926" s="64"/>
      <c r="M926" s="79"/>
    </row>
    <row r="927" spans="3:13" ht="13">
      <c r="C927" s="63"/>
      <c r="E927" s="104"/>
      <c r="F927" s="104"/>
      <c r="G927" s="104"/>
      <c r="H927" s="104"/>
      <c r="I927" s="104"/>
      <c r="J927" s="104"/>
      <c r="K927" s="104"/>
      <c r="L927" s="64"/>
      <c r="M927" s="79"/>
    </row>
    <row r="928" spans="3:13" ht="13">
      <c r="C928" s="63"/>
      <c r="E928" s="104"/>
      <c r="F928" s="104"/>
      <c r="G928" s="104"/>
      <c r="H928" s="104"/>
      <c r="I928" s="104"/>
      <c r="J928" s="104"/>
      <c r="K928" s="104"/>
      <c r="L928" s="64"/>
      <c r="M928" s="79"/>
    </row>
    <row r="929" spans="3:13" ht="13">
      <c r="C929" s="63"/>
      <c r="E929" s="104"/>
      <c r="F929" s="104"/>
      <c r="G929" s="104"/>
      <c r="H929" s="104"/>
      <c r="I929" s="104"/>
      <c r="J929" s="104"/>
      <c r="K929" s="104"/>
      <c r="L929" s="64"/>
      <c r="M929" s="79"/>
    </row>
    <row r="930" spans="3:13" ht="13">
      <c r="C930" s="63"/>
      <c r="E930" s="104"/>
      <c r="F930" s="104"/>
      <c r="G930" s="104"/>
      <c r="H930" s="104"/>
      <c r="I930" s="104"/>
      <c r="J930" s="104"/>
      <c r="K930" s="104"/>
      <c r="L930" s="64"/>
      <c r="M930" s="79"/>
    </row>
    <row r="931" spans="3:13" ht="13">
      <c r="C931" s="63"/>
      <c r="E931" s="104"/>
      <c r="F931" s="104"/>
      <c r="G931" s="104"/>
      <c r="H931" s="104"/>
      <c r="I931" s="104"/>
      <c r="J931" s="104"/>
      <c r="K931" s="104"/>
      <c r="L931" s="64"/>
      <c r="M931" s="79"/>
    </row>
    <row r="932" spans="3:13" ht="13">
      <c r="C932" s="63"/>
      <c r="E932" s="104"/>
      <c r="F932" s="104"/>
      <c r="G932" s="104"/>
      <c r="H932" s="104"/>
      <c r="I932" s="104"/>
      <c r="J932" s="104"/>
      <c r="K932" s="104"/>
      <c r="L932" s="64"/>
      <c r="M932" s="79"/>
    </row>
    <row r="933" spans="3:13" ht="13">
      <c r="C933" s="63"/>
      <c r="E933" s="104"/>
      <c r="F933" s="104"/>
      <c r="G933" s="104"/>
      <c r="H933" s="104"/>
      <c r="I933" s="104"/>
      <c r="J933" s="104"/>
      <c r="K933" s="104"/>
      <c r="L933" s="64"/>
      <c r="M933" s="79"/>
    </row>
    <row r="934" spans="3:13" ht="13">
      <c r="C934" s="63"/>
      <c r="E934" s="104"/>
      <c r="F934" s="104"/>
      <c r="G934" s="104"/>
      <c r="H934" s="104"/>
      <c r="I934" s="104"/>
      <c r="J934" s="104"/>
      <c r="K934" s="104"/>
      <c r="L934" s="64"/>
      <c r="M934" s="79"/>
    </row>
    <row r="935" spans="3:13" ht="13">
      <c r="C935" s="63"/>
      <c r="E935" s="104"/>
      <c r="F935" s="104"/>
      <c r="G935" s="104"/>
      <c r="H935" s="104"/>
      <c r="I935" s="104"/>
      <c r="J935" s="104"/>
      <c r="K935" s="104"/>
      <c r="L935" s="64"/>
      <c r="M935" s="79"/>
    </row>
    <row r="936" spans="3:13" ht="13">
      <c r="C936" s="63"/>
      <c r="E936" s="104"/>
      <c r="F936" s="104"/>
      <c r="G936" s="104"/>
      <c r="H936" s="104"/>
      <c r="I936" s="104"/>
      <c r="J936" s="104"/>
      <c r="K936" s="104"/>
      <c r="L936" s="64"/>
      <c r="M936" s="79"/>
    </row>
    <row r="937" spans="3:13" ht="13">
      <c r="C937" s="63"/>
      <c r="E937" s="104"/>
      <c r="F937" s="104"/>
      <c r="G937" s="104"/>
      <c r="H937" s="104"/>
      <c r="I937" s="104"/>
      <c r="J937" s="104"/>
      <c r="K937" s="104"/>
      <c r="L937" s="64"/>
      <c r="M937" s="79"/>
    </row>
    <row r="938" spans="3:13" ht="13">
      <c r="C938" s="63"/>
      <c r="E938" s="104"/>
      <c r="F938" s="104"/>
      <c r="G938" s="104"/>
      <c r="H938" s="104"/>
      <c r="I938" s="104"/>
      <c r="J938" s="104"/>
      <c r="K938" s="104"/>
      <c r="L938" s="64"/>
      <c r="M938" s="79"/>
    </row>
    <row r="939" spans="3:13" ht="13">
      <c r="C939" s="63"/>
      <c r="E939" s="104"/>
      <c r="F939" s="104"/>
      <c r="G939" s="104"/>
      <c r="H939" s="104"/>
      <c r="I939" s="104"/>
      <c r="J939" s="104"/>
      <c r="K939" s="104"/>
      <c r="L939" s="64"/>
      <c r="M939" s="79"/>
    </row>
    <row r="940" spans="3:13" ht="13">
      <c r="C940" s="63"/>
      <c r="E940" s="104"/>
      <c r="F940" s="104"/>
      <c r="G940" s="104"/>
      <c r="H940" s="104"/>
      <c r="I940" s="104"/>
      <c r="J940" s="104"/>
      <c r="K940" s="104"/>
      <c r="L940" s="64"/>
      <c r="M940" s="79"/>
    </row>
    <row r="941" spans="3:13" ht="13">
      <c r="C941" s="63"/>
      <c r="E941" s="104"/>
      <c r="F941" s="104"/>
      <c r="G941" s="104"/>
      <c r="H941" s="104"/>
      <c r="I941" s="104"/>
      <c r="J941" s="104"/>
      <c r="K941" s="104"/>
      <c r="L941" s="64"/>
      <c r="M941" s="79"/>
    </row>
    <row r="942" spans="3:13" ht="13">
      <c r="C942" s="63"/>
      <c r="E942" s="104"/>
      <c r="F942" s="104"/>
      <c r="G942" s="104"/>
      <c r="H942" s="104"/>
      <c r="I942" s="104"/>
      <c r="J942" s="104"/>
      <c r="K942" s="104"/>
      <c r="L942" s="64"/>
      <c r="M942" s="79"/>
    </row>
    <row r="943" spans="3:13" ht="13">
      <c r="C943" s="63"/>
      <c r="E943" s="104"/>
      <c r="F943" s="104"/>
      <c r="G943" s="104"/>
      <c r="H943" s="104"/>
      <c r="I943" s="104"/>
      <c r="J943" s="104"/>
      <c r="K943" s="104"/>
      <c r="L943" s="64"/>
      <c r="M943" s="79"/>
    </row>
    <row r="944" spans="3:13" ht="13">
      <c r="C944" s="63"/>
      <c r="E944" s="104"/>
      <c r="F944" s="104"/>
      <c r="G944" s="104"/>
      <c r="H944" s="104"/>
      <c r="I944" s="104"/>
      <c r="J944" s="104"/>
      <c r="K944" s="104"/>
      <c r="L944" s="64"/>
      <c r="M944" s="79"/>
    </row>
    <row r="945" spans="3:13" ht="13">
      <c r="C945" s="63"/>
      <c r="E945" s="104"/>
      <c r="F945" s="104"/>
      <c r="G945" s="104"/>
      <c r="H945" s="104"/>
      <c r="I945" s="104"/>
      <c r="J945" s="104"/>
      <c r="K945" s="104"/>
      <c r="L945" s="64"/>
      <c r="M945" s="79"/>
    </row>
    <row r="946" spans="3:13" ht="13">
      <c r="C946" s="63"/>
      <c r="E946" s="104"/>
      <c r="F946" s="104"/>
      <c r="G946" s="104"/>
      <c r="H946" s="104"/>
      <c r="I946" s="104"/>
      <c r="J946" s="104"/>
      <c r="K946" s="104"/>
      <c r="L946" s="64"/>
      <c r="M946" s="79"/>
    </row>
    <row r="947" spans="3:13" ht="13">
      <c r="C947" s="63"/>
      <c r="E947" s="104"/>
      <c r="F947" s="104"/>
      <c r="G947" s="104"/>
      <c r="H947" s="104"/>
      <c r="I947" s="104"/>
      <c r="J947" s="104"/>
      <c r="K947" s="104"/>
      <c r="L947" s="64"/>
      <c r="M947" s="79"/>
    </row>
    <row r="948" spans="3:13" ht="13">
      <c r="C948" s="63"/>
      <c r="E948" s="104"/>
      <c r="F948" s="104"/>
      <c r="G948" s="104"/>
      <c r="H948" s="104"/>
      <c r="I948" s="104"/>
      <c r="J948" s="104"/>
      <c r="K948" s="104"/>
      <c r="L948" s="64"/>
      <c r="M948" s="79"/>
    </row>
    <row r="949" spans="3:13" ht="13">
      <c r="C949" s="63"/>
      <c r="E949" s="104"/>
      <c r="F949" s="104"/>
      <c r="G949" s="104"/>
      <c r="H949" s="104"/>
      <c r="I949" s="104"/>
      <c r="J949" s="104"/>
      <c r="K949" s="104"/>
      <c r="L949" s="64"/>
      <c r="M949" s="79"/>
    </row>
    <row r="950" spans="3:13" ht="13">
      <c r="C950" s="63"/>
      <c r="E950" s="104"/>
      <c r="F950" s="104"/>
      <c r="G950" s="104"/>
      <c r="H950" s="104"/>
      <c r="I950" s="104"/>
      <c r="J950" s="104"/>
      <c r="K950" s="104"/>
      <c r="L950" s="64"/>
      <c r="M950" s="79"/>
    </row>
    <row r="951" spans="3:13" ht="13">
      <c r="C951" s="63"/>
      <c r="E951" s="104"/>
      <c r="F951" s="104"/>
      <c r="G951" s="104"/>
      <c r="H951" s="104"/>
      <c r="I951" s="104"/>
      <c r="J951" s="104"/>
      <c r="K951" s="104"/>
      <c r="L951" s="64"/>
      <c r="M951" s="79"/>
    </row>
    <row r="952" spans="3:13" ht="13">
      <c r="C952" s="63"/>
      <c r="E952" s="104"/>
      <c r="F952" s="104"/>
      <c r="G952" s="104"/>
      <c r="H952" s="104"/>
      <c r="I952" s="104"/>
      <c r="J952" s="104"/>
      <c r="K952" s="104"/>
      <c r="L952" s="64"/>
      <c r="M952" s="79"/>
    </row>
    <row r="953" spans="3:13" ht="13">
      <c r="C953" s="63"/>
      <c r="E953" s="104"/>
      <c r="F953" s="104"/>
      <c r="G953" s="104"/>
      <c r="H953" s="104"/>
      <c r="I953" s="104"/>
      <c r="J953" s="104"/>
      <c r="K953" s="104"/>
      <c r="L953" s="64"/>
      <c r="M953" s="79"/>
    </row>
    <row r="954" spans="3:13" ht="13">
      <c r="C954" s="63"/>
      <c r="E954" s="104"/>
      <c r="F954" s="104"/>
      <c r="G954" s="104"/>
      <c r="H954" s="104"/>
      <c r="I954" s="104"/>
      <c r="J954" s="104"/>
      <c r="K954" s="104"/>
      <c r="L954" s="64"/>
      <c r="M954" s="79"/>
    </row>
    <row r="955" spans="3:13" ht="13">
      <c r="C955" s="63"/>
      <c r="E955" s="104"/>
      <c r="F955" s="104"/>
      <c r="G955" s="104"/>
      <c r="H955" s="104"/>
      <c r="I955" s="104"/>
      <c r="J955" s="104"/>
      <c r="K955" s="104"/>
      <c r="L955" s="64"/>
      <c r="M955" s="79"/>
    </row>
    <row r="956" spans="3:13" ht="13">
      <c r="C956" s="63"/>
      <c r="E956" s="104"/>
      <c r="F956" s="104"/>
      <c r="G956" s="104"/>
      <c r="H956" s="104"/>
      <c r="I956" s="104"/>
      <c r="J956" s="104"/>
      <c r="K956" s="104"/>
      <c r="L956" s="64"/>
      <c r="M956" s="79"/>
    </row>
    <row r="957" spans="3:13" ht="13">
      <c r="C957" s="63"/>
      <c r="E957" s="104"/>
      <c r="F957" s="104"/>
      <c r="G957" s="104"/>
      <c r="H957" s="104"/>
      <c r="I957" s="104"/>
      <c r="J957" s="104"/>
      <c r="K957" s="104"/>
      <c r="L957" s="64"/>
      <c r="M957" s="79"/>
    </row>
    <row r="958" spans="3:13" ht="13">
      <c r="C958" s="63"/>
      <c r="E958" s="104"/>
      <c r="F958" s="104"/>
      <c r="G958" s="104"/>
      <c r="H958" s="104"/>
      <c r="I958" s="104"/>
      <c r="J958" s="104"/>
      <c r="K958" s="104"/>
      <c r="L958" s="64"/>
      <c r="M958" s="79"/>
    </row>
    <row r="959" spans="3:13" ht="13">
      <c r="C959" s="63"/>
      <c r="E959" s="104"/>
      <c r="F959" s="104"/>
      <c r="G959" s="104"/>
      <c r="H959" s="104"/>
      <c r="I959" s="104"/>
      <c r="J959" s="104"/>
      <c r="K959" s="104"/>
      <c r="L959" s="64"/>
      <c r="M959" s="79"/>
    </row>
    <row r="960" spans="3:13" ht="13">
      <c r="C960" s="63"/>
      <c r="E960" s="104"/>
      <c r="F960" s="104"/>
      <c r="G960" s="104"/>
      <c r="H960" s="104"/>
      <c r="I960" s="104"/>
      <c r="J960" s="104"/>
      <c r="K960" s="104"/>
      <c r="L960" s="64"/>
      <c r="M960" s="79"/>
    </row>
    <row r="961" spans="3:13" ht="13">
      <c r="C961" s="63"/>
      <c r="E961" s="104"/>
      <c r="F961" s="104"/>
      <c r="G961" s="104"/>
      <c r="H961" s="104"/>
      <c r="I961" s="104"/>
      <c r="J961" s="104"/>
      <c r="K961" s="104"/>
      <c r="L961" s="64"/>
      <c r="M961" s="79"/>
    </row>
    <row r="962" spans="3:13" ht="13">
      <c r="C962" s="63"/>
      <c r="E962" s="104"/>
      <c r="F962" s="104"/>
      <c r="G962" s="104"/>
      <c r="H962" s="104"/>
      <c r="I962" s="104"/>
      <c r="J962" s="104"/>
      <c r="K962" s="104"/>
      <c r="L962" s="64"/>
      <c r="M962" s="79"/>
    </row>
    <row r="963" spans="3:13" ht="13">
      <c r="C963" s="63"/>
      <c r="E963" s="104"/>
      <c r="F963" s="104"/>
      <c r="G963" s="104"/>
      <c r="H963" s="104"/>
      <c r="I963" s="104"/>
      <c r="J963" s="104"/>
      <c r="K963" s="104"/>
      <c r="L963" s="64"/>
      <c r="M963" s="79"/>
    </row>
    <row r="964" spans="3:13" ht="13">
      <c r="C964" s="63"/>
      <c r="E964" s="104"/>
      <c r="F964" s="104"/>
      <c r="G964" s="104"/>
      <c r="H964" s="104"/>
      <c r="I964" s="104"/>
      <c r="J964" s="104"/>
      <c r="K964" s="104"/>
      <c r="L964" s="64"/>
      <c r="M964" s="79"/>
    </row>
    <row r="965" spans="3:13" ht="13">
      <c r="C965" s="63"/>
      <c r="E965" s="104"/>
      <c r="F965" s="104"/>
      <c r="G965" s="104"/>
      <c r="H965" s="104"/>
      <c r="I965" s="104"/>
      <c r="J965" s="104"/>
      <c r="K965" s="104"/>
      <c r="L965" s="64"/>
      <c r="M965" s="79"/>
    </row>
    <row r="966" spans="3:13" ht="13">
      <c r="C966" s="63"/>
      <c r="E966" s="104"/>
      <c r="F966" s="104"/>
      <c r="G966" s="104"/>
      <c r="H966" s="104"/>
      <c r="I966" s="104"/>
      <c r="J966" s="104"/>
      <c r="K966" s="104"/>
      <c r="L966" s="64"/>
      <c r="M966" s="79"/>
    </row>
    <row r="967" spans="3:13" ht="13">
      <c r="C967" s="63"/>
      <c r="E967" s="104"/>
      <c r="F967" s="104"/>
      <c r="G967" s="104"/>
      <c r="H967" s="104"/>
      <c r="I967" s="104"/>
      <c r="J967" s="104"/>
      <c r="K967" s="104"/>
      <c r="L967" s="64"/>
      <c r="M967" s="79"/>
    </row>
    <row r="968" spans="3:13" ht="13">
      <c r="C968" s="63"/>
      <c r="E968" s="104"/>
      <c r="F968" s="104"/>
      <c r="G968" s="104"/>
      <c r="H968" s="104"/>
      <c r="I968" s="104"/>
      <c r="J968" s="104"/>
      <c r="K968" s="104"/>
      <c r="L968" s="64"/>
      <c r="M968" s="79"/>
    </row>
    <row r="969" spans="3:13" ht="13">
      <c r="C969" s="63"/>
      <c r="E969" s="104"/>
      <c r="F969" s="104"/>
      <c r="G969" s="104"/>
      <c r="H969" s="104"/>
      <c r="I969" s="104"/>
      <c r="J969" s="104"/>
      <c r="K969" s="104"/>
      <c r="L969" s="64"/>
      <c r="M969" s="79"/>
    </row>
    <row r="970" spans="3:13" ht="13">
      <c r="C970" s="63"/>
      <c r="E970" s="104"/>
      <c r="F970" s="104"/>
      <c r="G970" s="104"/>
      <c r="H970" s="104"/>
      <c r="I970" s="104"/>
      <c r="J970" s="104"/>
      <c r="K970" s="104"/>
      <c r="L970" s="64"/>
      <c r="M970" s="79"/>
    </row>
    <row r="971" spans="3:13" ht="13">
      <c r="C971" s="63"/>
      <c r="E971" s="104"/>
      <c r="F971" s="104"/>
      <c r="G971" s="104"/>
      <c r="H971" s="104"/>
      <c r="I971" s="104"/>
      <c r="J971" s="104"/>
      <c r="K971" s="104"/>
      <c r="L971" s="64"/>
      <c r="M971" s="79"/>
    </row>
    <row r="972" spans="3:13" ht="13">
      <c r="C972" s="63"/>
      <c r="E972" s="104"/>
      <c r="F972" s="104"/>
      <c r="G972" s="104"/>
      <c r="H972" s="104"/>
      <c r="I972" s="104"/>
      <c r="J972" s="104"/>
      <c r="K972" s="104"/>
      <c r="L972" s="64"/>
      <c r="M972" s="79"/>
    </row>
    <row r="973" spans="3:13" ht="13">
      <c r="C973" s="63"/>
      <c r="E973" s="104"/>
      <c r="F973" s="104"/>
      <c r="G973" s="104"/>
      <c r="H973" s="104"/>
      <c r="I973" s="104"/>
      <c r="J973" s="104"/>
      <c r="K973" s="104"/>
      <c r="L973" s="64"/>
      <c r="M973" s="79"/>
    </row>
    <row r="974" spans="3:13" ht="13">
      <c r="C974" s="63"/>
      <c r="E974" s="104"/>
      <c r="F974" s="104"/>
      <c r="G974" s="104"/>
      <c r="H974" s="104"/>
      <c r="I974" s="104"/>
      <c r="J974" s="104"/>
      <c r="K974" s="104"/>
      <c r="L974" s="64"/>
      <c r="M974" s="79"/>
    </row>
    <row r="975" spans="3:13" ht="13">
      <c r="C975" s="63"/>
      <c r="E975" s="104"/>
      <c r="F975" s="104"/>
      <c r="G975" s="104"/>
      <c r="H975" s="104"/>
      <c r="I975" s="104"/>
      <c r="J975" s="104"/>
      <c r="K975" s="104"/>
      <c r="L975" s="64"/>
      <c r="M975" s="79"/>
    </row>
    <row r="976" spans="3:13" ht="13">
      <c r="C976" s="63"/>
      <c r="E976" s="104"/>
      <c r="F976" s="104"/>
      <c r="G976" s="104"/>
      <c r="H976" s="104"/>
      <c r="I976" s="104"/>
      <c r="J976" s="104"/>
      <c r="K976" s="104"/>
      <c r="L976" s="64"/>
      <c r="M976" s="79"/>
    </row>
    <row r="977" spans="3:13" ht="13">
      <c r="C977" s="63"/>
      <c r="E977" s="104"/>
      <c r="F977" s="104"/>
      <c r="G977" s="104"/>
      <c r="H977" s="104"/>
      <c r="I977" s="104"/>
      <c r="J977" s="104"/>
      <c r="K977" s="104"/>
      <c r="L977" s="64"/>
      <c r="M977" s="79"/>
    </row>
    <row r="978" spans="3:13" ht="13">
      <c r="C978" s="63"/>
      <c r="E978" s="104"/>
      <c r="F978" s="104"/>
      <c r="G978" s="104"/>
      <c r="H978" s="104"/>
      <c r="I978" s="104"/>
      <c r="J978" s="104"/>
      <c r="K978" s="104"/>
      <c r="L978" s="64"/>
      <c r="M978" s="79"/>
    </row>
    <row r="979" spans="3:13" ht="13">
      <c r="C979" s="63"/>
      <c r="E979" s="104"/>
      <c r="F979" s="104"/>
      <c r="G979" s="104"/>
      <c r="H979" s="104"/>
      <c r="I979" s="104"/>
      <c r="J979" s="104"/>
      <c r="K979" s="104"/>
      <c r="L979" s="64"/>
      <c r="M979" s="79"/>
    </row>
    <row r="980" spans="3:13" ht="13">
      <c r="C980" s="63"/>
      <c r="E980" s="104"/>
      <c r="F980" s="104"/>
      <c r="G980" s="104"/>
      <c r="H980" s="104"/>
      <c r="I980" s="104"/>
      <c r="J980" s="104"/>
      <c r="K980" s="104"/>
      <c r="L980" s="64"/>
      <c r="M980" s="79"/>
    </row>
    <row r="981" spans="3:13" ht="13">
      <c r="C981" s="63"/>
      <c r="E981" s="104"/>
      <c r="F981" s="104"/>
      <c r="G981" s="104"/>
      <c r="H981" s="104"/>
      <c r="I981" s="104"/>
      <c r="J981" s="104"/>
      <c r="K981" s="104"/>
      <c r="L981" s="64"/>
      <c r="M981" s="79"/>
    </row>
    <row r="982" spans="3:13" ht="13">
      <c r="C982" s="63"/>
      <c r="E982" s="104"/>
      <c r="F982" s="104"/>
      <c r="G982" s="104"/>
      <c r="H982" s="104"/>
      <c r="I982" s="104"/>
      <c r="J982" s="104"/>
      <c r="K982" s="104"/>
      <c r="L982" s="64"/>
      <c r="M982" s="79"/>
    </row>
    <row r="983" spans="3:13" ht="13">
      <c r="C983" s="63"/>
      <c r="E983" s="104"/>
      <c r="F983" s="104"/>
      <c r="G983" s="104"/>
      <c r="H983" s="104"/>
      <c r="I983" s="104"/>
      <c r="J983" s="104"/>
      <c r="K983" s="104"/>
      <c r="L983" s="64"/>
      <c r="M983" s="79"/>
    </row>
    <row r="984" spans="3:13" ht="13">
      <c r="C984" s="63"/>
      <c r="E984" s="104"/>
      <c r="F984" s="104"/>
      <c r="G984" s="104"/>
      <c r="H984" s="104"/>
      <c r="I984" s="104"/>
      <c r="J984" s="104"/>
      <c r="K984" s="104"/>
      <c r="L984" s="64"/>
      <c r="M984" s="79"/>
    </row>
    <row r="985" spans="3:13" ht="13">
      <c r="C985" s="63"/>
      <c r="E985" s="104"/>
      <c r="F985" s="104"/>
      <c r="G985" s="104"/>
      <c r="H985" s="104"/>
      <c r="I985" s="104"/>
      <c r="J985" s="104"/>
      <c r="K985" s="104"/>
      <c r="L985" s="64"/>
      <c r="M985" s="79"/>
    </row>
    <row r="986" spans="3:13" ht="13">
      <c r="C986" s="63"/>
      <c r="E986" s="104"/>
      <c r="F986" s="104"/>
      <c r="G986" s="104"/>
      <c r="H986" s="104"/>
      <c r="I986" s="104"/>
      <c r="J986" s="104"/>
      <c r="K986" s="104"/>
      <c r="L986" s="64"/>
      <c r="M986" s="79"/>
    </row>
    <row r="987" spans="3:13" ht="13">
      <c r="C987" s="63"/>
      <c r="E987" s="104"/>
      <c r="F987" s="104"/>
      <c r="G987" s="104"/>
      <c r="H987" s="104"/>
      <c r="I987" s="104"/>
      <c r="J987" s="104"/>
      <c r="K987" s="104"/>
      <c r="L987" s="64"/>
      <c r="M987" s="79"/>
    </row>
    <row r="988" spans="3:13" ht="13">
      <c r="C988" s="63"/>
      <c r="E988" s="104"/>
      <c r="F988" s="104"/>
      <c r="G988" s="104"/>
      <c r="H988" s="104"/>
      <c r="I988" s="104"/>
      <c r="J988" s="104"/>
      <c r="K988" s="104"/>
      <c r="L988" s="64"/>
      <c r="M988" s="79"/>
    </row>
    <row r="989" spans="3:13" ht="13">
      <c r="C989" s="63"/>
      <c r="E989" s="104"/>
      <c r="F989" s="104"/>
      <c r="G989" s="104"/>
      <c r="H989" s="104"/>
      <c r="I989" s="104"/>
      <c r="J989" s="104"/>
      <c r="K989" s="104"/>
      <c r="L989" s="64"/>
      <c r="M989" s="79"/>
    </row>
    <row r="990" spans="3:13" ht="13">
      <c r="C990" s="63"/>
      <c r="E990" s="104"/>
      <c r="F990" s="104"/>
      <c r="G990" s="104"/>
      <c r="H990" s="104"/>
      <c r="I990" s="104"/>
      <c r="J990" s="104"/>
      <c r="K990" s="104"/>
      <c r="L990" s="64"/>
      <c r="M990" s="79"/>
    </row>
    <row r="991" spans="3:13" ht="13">
      <c r="C991" s="63"/>
      <c r="E991" s="104"/>
      <c r="F991" s="104"/>
      <c r="G991" s="104"/>
      <c r="H991" s="104"/>
      <c r="I991" s="104"/>
      <c r="J991" s="104"/>
      <c r="K991" s="104"/>
      <c r="L991" s="64"/>
      <c r="M991" s="79"/>
    </row>
    <row r="992" spans="3:13" ht="13">
      <c r="C992" s="63"/>
      <c r="E992" s="104"/>
      <c r="F992" s="104"/>
      <c r="G992" s="104"/>
      <c r="H992" s="104"/>
      <c r="I992" s="104"/>
      <c r="J992" s="104"/>
      <c r="K992" s="104"/>
      <c r="L992" s="64"/>
      <c r="M992" s="79"/>
    </row>
    <row r="993" spans="3:13" ht="13">
      <c r="C993" s="63"/>
      <c r="E993" s="104"/>
      <c r="F993" s="104"/>
      <c r="G993" s="104"/>
      <c r="H993" s="104"/>
      <c r="I993" s="104"/>
      <c r="J993" s="104"/>
      <c r="K993" s="104"/>
      <c r="L993" s="64"/>
      <c r="M993" s="79"/>
    </row>
    <row r="994" spans="3:13" ht="13">
      <c r="C994" s="63"/>
      <c r="E994" s="104"/>
      <c r="F994" s="104"/>
      <c r="G994" s="104"/>
      <c r="H994" s="104"/>
      <c r="I994" s="104"/>
      <c r="J994" s="104"/>
      <c r="K994" s="104"/>
      <c r="L994" s="64"/>
      <c r="M994" s="79"/>
    </row>
    <row r="995" spans="3:13" ht="13">
      <c r="C995" s="63"/>
      <c r="E995" s="104"/>
      <c r="F995" s="104"/>
      <c r="G995" s="104"/>
      <c r="H995" s="104"/>
      <c r="I995" s="104"/>
      <c r="J995" s="104"/>
      <c r="K995" s="104"/>
      <c r="L995" s="64"/>
      <c r="M995" s="79"/>
    </row>
    <row r="996" spans="3:13" ht="13">
      <c r="C996" s="63"/>
      <c r="E996" s="104"/>
      <c r="F996" s="104"/>
      <c r="G996" s="104"/>
      <c r="H996" s="104"/>
      <c r="I996" s="104"/>
      <c r="J996" s="104"/>
      <c r="K996" s="104"/>
      <c r="L996" s="64"/>
      <c r="M996" s="79"/>
    </row>
    <row r="997" spans="3:13" ht="13">
      <c r="C997" s="63"/>
      <c r="E997" s="104"/>
      <c r="F997" s="104"/>
      <c r="G997" s="104"/>
      <c r="H997" s="104"/>
      <c r="I997" s="104"/>
      <c r="J997" s="104"/>
      <c r="K997" s="104"/>
      <c r="L997" s="64"/>
      <c r="M997" s="79"/>
    </row>
    <row r="998" spans="3:13" ht="13">
      <c r="C998" s="63"/>
      <c r="E998" s="104"/>
      <c r="F998" s="104"/>
      <c r="G998" s="104"/>
      <c r="H998" s="104"/>
      <c r="I998" s="104"/>
      <c r="J998" s="104"/>
      <c r="K998" s="104"/>
      <c r="L998" s="64"/>
      <c r="M998" s="79"/>
    </row>
    <row r="999" spans="3:13" ht="13">
      <c r="C999" s="63"/>
      <c r="E999" s="104"/>
      <c r="F999" s="104"/>
      <c r="G999" s="104"/>
      <c r="H999" s="104"/>
      <c r="I999" s="104"/>
      <c r="J999" s="104"/>
      <c r="K999" s="104"/>
      <c r="L999" s="64"/>
      <c r="M999" s="79"/>
    </row>
    <row r="1000" spans="3:13" ht="13">
      <c r="C1000" s="63"/>
      <c r="E1000" s="104"/>
      <c r="F1000" s="104"/>
      <c r="G1000" s="104"/>
      <c r="H1000" s="104"/>
      <c r="I1000" s="104"/>
      <c r="J1000" s="104"/>
      <c r="K1000" s="104"/>
      <c r="L1000" s="64"/>
      <c r="M1000" s="79"/>
    </row>
  </sheetData>
  <customSheetViews>
    <customSheetView guid="{B8519574-77FB-49A0-940D-FDADA7009AF9}" filter="1" showAutoFilter="1">
      <pageMargins left="0.7" right="0.7" top="0.75" bottom="0.75" header="0.3" footer="0.3"/>
      <autoFilter ref="A1:L27" xr:uid="{00000000-0000-0000-0000-000000000000}"/>
    </customSheetView>
  </customSheetView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outlinePr summaryBelow="0" summaryRight="0"/>
  </sheetPr>
  <dimension ref="A1:Y1000"/>
  <sheetViews>
    <sheetView topLeftCell="A17" workbookViewId="0"/>
  </sheetViews>
  <sheetFormatPr baseColWidth="10" defaultColWidth="14.5" defaultRowHeight="15.75" customHeight="1"/>
  <cols>
    <col min="1" max="1" width="32.5" customWidth="1"/>
    <col min="2" max="7" width="7.5" customWidth="1"/>
    <col min="8" max="8" width="21.83203125" hidden="1" customWidth="1"/>
    <col min="11" max="11" width="36" customWidth="1"/>
    <col min="12" max="12" width="14.5" hidden="1"/>
    <col min="18" max="18" width="31" customWidth="1"/>
    <col min="19" max="19" width="6.33203125" hidden="1" customWidth="1"/>
    <col min="20" max="20" width="32.5" customWidth="1"/>
    <col min="21" max="21" width="4.6640625" hidden="1" customWidth="1"/>
    <col min="22" max="22" width="26" customWidth="1"/>
    <col min="23" max="23" width="4.6640625" hidden="1" customWidth="1"/>
    <col min="24" max="24" width="26.5" customWidth="1"/>
    <col min="25" max="25" width="7.5" hidden="1" customWidth="1"/>
  </cols>
  <sheetData>
    <row r="1" spans="1:25" ht="14">
      <c r="A1" s="105" t="s">
        <v>45</v>
      </c>
      <c r="B1" s="86" t="s">
        <v>431</v>
      </c>
      <c r="C1" s="86" t="s">
        <v>432</v>
      </c>
      <c r="D1" s="86" t="s">
        <v>433</v>
      </c>
      <c r="E1" s="86" t="s">
        <v>434</v>
      </c>
      <c r="F1" s="86" t="s">
        <v>435</v>
      </c>
      <c r="G1" s="86" t="s">
        <v>436</v>
      </c>
      <c r="H1" s="86" t="s">
        <v>437</v>
      </c>
      <c r="I1" s="86" t="s">
        <v>438</v>
      </c>
      <c r="J1" s="86" t="s">
        <v>439</v>
      </c>
      <c r="K1" s="56" t="s">
        <v>440</v>
      </c>
      <c r="L1" s="86" t="s">
        <v>441</v>
      </c>
      <c r="R1" s="86" t="s">
        <v>442</v>
      </c>
      <c r="S1" s="86"/>
      <c r="T1" s="86" t="s">
        <v>443</v>
      </c>
      <c r="U1" s="86"/>
      <c r="V1" s="86" t="s">
        <v>444</v>
      </c>
      <c r="W1" s="86"/>
      <c r="X1" s="86" t="s">
        <v>445</v>
      </c>
      <c r="Y1" s="86"/>
    </row>
    <row r="2" spans="1:25" ht="57">
      <c r="A2" s="105" t="s">
        <v>63</v>
      </c>
      <c r="B2" s="105">
        <v>1.8</v>
      </c>
      <c r="C2" s="105">
        <v>2.4</v>
      </c>
      <c r="D2" s="105">
        <v>2.6</v>
      </c>
      <c r="E2" s="86">
        <v>3.2</v>
      </c>
      <c r="F2" s="86">
        <v>3.6</v>
      </c>
      <c r="G2" s="86">
        <v>3.4</v>
      </c>
      <c r="H2" s="106" t="s">
        <v>446</v>
      </c>
      <c r="I2" s="107">
        <f t="shared" ref="I2:I27" si="0">AVERAGE(B2:G2)</f>
        <v>2.8333333333333335</v>
      </c>
      <c r="J2" s="105" t="str">
        <f t="shared" ref="J2:J27" si="1">IF(I2&gt;=3,"","NOT SAFE")</f>
        <v>NOT SAFE</v>
      </c>
      <c r="K2" s="56" t="s">
        <v>447</v>
      </c>
      <c r="L2" s="108" t="s">
        <v>448</v>
      </c>
      <c r="M2" s="86" t="s">
        <v>449</v>
      </c>
      <c r="N2" s="86" t="s">
        <v>450</v>
      </c>
      <c r="R2" s="109" t="s">
        <v>93</v>
      </c>
      <c r="S2" s="109">
        <v>3.4</v>
      </c>
      <c r="T2" s="109" t="s">
        <v>79</v>
      </c>
      <c r="U2" s="109">
        <v>3.4</v>
      </c>
      <c r="V2" s="109" t="s">
        <v>73</v>
      </c>
      <c r="W2" s="110">
        <v>3.12</v>
      </c>
      <c r="X2" s="109" t="s">
        <v>87</v>
      </c>
      <c r="Y2" s="110">
        <v>3.12</v>
      </c>
    </row>
    <row r="3" spans="1:25" ht="14">
      <c r="A3" s="105" t="s">
        <v>85</v>
      </c>
      <c r="B3" s="105">
        <v>2</v>
      </c>
      <c r="C3" s="105">
        <v>3</v>
      </c>
      <c r="D3" s="105">
        <v>3.8</v>
      </c>
      <c r="E3" s="86">
        <v>4</v>
      </c>
      <c r="F3" s="86">
        <v>4</v>
      </c>
      <c r="G3" s="86">
        <v>3.8</v>
      </c>
      <c r="H3" s="106" t="s">
        <v>446</v>
      </c>
      <c r="I3" s="107">
        <f t="shared" si="0"/>
        <v>3.4333333333333336</v>
      </c>
      <c r="J3" s="105" t="str">
        <f t="shared" si="1"/>
        <v/>
      </c>
      <c r="K3" s="64"/>
      <c r="L3" s="111" t="s">
        <v>451</v>
      </c>
      <c r="R3" s="112" t="s">
        <v>81</v>
      </c>
      <c r="S3" s="113">
        <v>2.48</v>
      </c>
      <c r="T3" s="112" t="s">
        <v>75</v>
      </c>
      <c r="U3" s="113">
        <v>2.52</v>
      </c>
      <c r="V3" s="112" t="s">
        <v>83</v>
      </c>
      <c r="W3" s="112">
        <v>2.6799999999999997</v>
      </c>
      <c r="X3" s="114" t="s">
        <v>97</v>
      </c>
      <c r="Y3" s="114">
        <v>2.8</v>
      </c>
    </row>
    <row r="4" spans="1:25" ht="14">
      <c r="A4" s="105" t="s">
        <v>91</v>
      </c>
      <c r="B4" s="105">
        <v>2.2000000000000002</v>
      </c>
      <c r="C4" s="105">
        <v>3.4</v>
      </c>
      <c r="D4" s="105">
        <v>3.2</v>
      </c>
      <c r="E4" s="86">
        <v>4.2</v>
      </c>
      <c r="F4" s="86">
        <v>4</v>
      </c>
      <c r="G4" s="86">
        <v>4.2</v>
      </c>
      <c r="H4" s="106" t="s">
        <v>446</v>
      </c>
      <c r="I4" s="107">
        <f t="shared" si="0"/>
        <v>3.5333333333333332</v>
      </c>
      <c r="J4" s="105" t="str">
        <f t="shared" si="1"/>
        <v/>
      </c>
      <c r="K4" s="64"/>
      <c r="L4" s="115" t="s">
        <v>452</v>
      </c>
      <c r="R4" s="116" t="s">
        <v>107</v>
      </c>
      <c r="S4" s="117">
        <v>3.72</v>
      </c>
      <c r="T4" s="118" t="s">
        <v>63</v>
      </c>
      <c r="U4" s="119">
        <v>2.72</v>
      </c>
      <c r="V4" s="118" t="s">
        <v>85</v>
      </c>
      <c r="W4" s="119">
        <v>3.36</v>
      </c>
      <c r="X4" s="118" t="s">
        <v>69</v>
      </c>
      <c r="Y4" s="119">
        <v>2.96</v>
      </c>
    </row>
    <row r="5" spans="1:25" ht="14">
      <c r="A5" s="105" t="s">
        <v>93</v>
      </c>
      <c r="B5" s="105">
        <v>2.6</v>
      </c>
      <c r="C5" s="105">
        <v>3.2</v>
      </c>
      <c r="D5" s="105">
        <v>3</v>
      </c>
      <c r="E5" s="86">
        <v>4.2</v>
      </c>
      <c r="F5" s="86">
        <v>4</v>
      </c>
      <c r="G5" s="86">
        <v>4.2</v>
      </c>
      <c r="H5" s="108" t="s">
        <v>448</v>
      </c>
      <c r="I5" s="107">
        <f t="shared" si="0"/>
        <v>3.5333333333333332</v>
      </c>
      <c r="J5" s="105" t="str">
        <f t="shared" si="1"/>
        <v/>
      </c>
      <c r="K5" s="64"/>
      <c r="L5" s="120" t="s">
        <v>453</v>
      </c>
      <c r="R5" s="118" t="s">
        <v>91</v>
      </c>
      <c r="S5" s="119">
        <v>3.4</v>
      </c>
      <c r="T5" s="118" t="s">
        <v>77</v>
      </c>
      <c r="U5" s="119">
        <v>2.88</v>
      </c>
      <c r="V5" s="121" t="s">
        <v>56</v>
      </c>
      <c r="W5" s="122">
        <v>2.84</v>
      </c>
      <c r="X5" s="118" t="s">
        <v>95</v>
      </c>
      <c r="Y5" s="119">
        <v>3.64</v>
      </c>
    </row>
    <row r="6" spans="1:25" ht="15">
      <c r="A6" s="105" t="s">
        <v>103</v>
      </c>
      <c r="B6" s="105">
        <v>2.2000000000000002</v>
      </c>
      <c r="C6" s="105">
        <v>2.6</v>
      </c>
      <c r="D6" s="105">
        <v>1.8</v>
      </c>
      <c r="E6" s="86">
        <v>3.6</v>
      </c>
      <c r="F6" s="86">
        <v>3.6</v>
      </c>
      <c r="G6" s="86">
        <v>3.8</v>
      </c>
      <c r="H6" s="106" t="s">
        <v>446</v>
      </c>
      <c r="I6" s="107">
        <f t="shared" si="0"/>
        <v>2.9333333333333336</v>
      </c>
      <c r="J6" s="105" t="str">
        <f t="shared" si="1"/>
        <v>NOT SAFE</v>
      </c>
      <c r="K6" s="56" t="s">
        <v>454</v>
      </c>
      <c r="L6" s="123" t="s">
        <v>455</v>
      </c>
      <c r="M6" s="86" t="s">
        <v>454</v>
      </c>
      <c r="N6" s="86" t="s">
        <v>456</v>
      </c>
      <c r="R6" s="118" t="s">
        <v>105</v>
      </c>
      <c r="S6" s="119">
        <v>3.12</v>
      </c>
      <c r="T6" s="116" t="s">
        <v>99</v>
      </c>
      <c r="U6" s="117">
        <v>3.12</v>
      </c>
      <c r="V6" s="118" t="s">
        <v>59</v>
      </c>
      <c r="W6" s="119">
        <v>3.52</v>
      </c>
      <c r="X6" s="118" t="s">
        <v>101</v>
      </c>
      <c r="Y6" s="119">
        <v>3.04</v>
      </c>
    </row>
    <row r="7" spans="1:25" ht="14">
      <c r="A7" s="105" t="s">
        <v>105</v>
      </c>
      <c r="B7" s="105">
        <v>2.4</v>
      </c>
      <c r="C7" s="105">
        <v>2.6</v>
      </c>
      <c r="D7" s="124">
        <v>2.8</v>
      </c>
      <c r="E7" s="86">
        <v>3.8</v>
      </c>
      <c r="F7" s="86">
        <v>4</v>
      </c>
      <c r="G7" s="86">
        <v>4</v>
      </c>
      <c r="H7" s="106" t="s">
        <v>446</v>
      </c>
      <c r="I7" s="107">
        <f t="shared" si="0"/>
        <v>3.2666666666666671</v>
      </c>
      <c r="J7" s="105" t="str">
        <f t="shared" si="1"/>
        <v/>
      </c>
      <c r="K7" s="64"/>
      <c r="L7" s="106" t="s">
        <v>446</v>
      </c>
      <c r="R7" s="118" t="s">
        <v>103</v>
      </c>
      <c r="S7" s="119">
        <v>2.76</v>
      </c>
      <c r="T7" s="125" t="s">
        <v>89</v>
      </c>
      <c r="U7" s="125">
        <v>2.88</v>
      </c>
      <c r="V7" s="118" t="s">
        <v>67</v>
      </c>
      <c r="W7" s="119">
        <v>3.08</v>
      </c>
      <c r="X7" s="118" t="s">
        <v>65</v>
      </c>
      <c r="Y7" s="119">
        <v>3.32</v>
      </c>
    </row>
    <row r="8" spans="1:25" ht="14">
      <c r="A8" s="105" t="s">
        <v>59</v>
      </c>
      <c r="B8" s="105">
        <v>3.4</v>
      </c>
      <c r="C8" s="105">
        <v>4</v>
      </c>
      <c r="D8" s="105">
        <v>3.2</v>
      </c>
      <c r="E8" s="86">
        <v>3.6</v>
      </c>
      <c r="F8" s="86">
        <v>3.4</v>
      </c>
      <c r="G8" s="86">
        <v>3.6</v>
      </c>
      <c r="H8" s="106" t="s">
        <v>446</v>
      </c>
      <c r="I8" s="107">
        <f t="shared" si="0"/>
        <v>3.5333333333333337</v>
      </c>
      <c r="J8" s="105" t="str">
        <f t="shared" si="1"/>
        <v/>
      </c>
      <c r="K8" s="64"/>
      <c r="R8" s="125" t="s">
        <v>61</v>
      </c>
      <c r="S8" s="126">
        <v>3.04</v>
      </c>
      <c r="T8" s="125" t="s">
        <v>71</v>
      </c>
      <c r="U8" s="126">
        <v>3.64</v>
      </c>
      <c r="W8" s="105">
        <f>AVERAGE(W2:W7)</f>
        <v>3.1</v>
      </c>
      <c r="Y8" s="105">
        <f>AVERAGE(Y2:Y7)</f>
        <v>3.1466666666666665</v>
      </c>
    </row>
    <row r="9" spans="1:25" ht="14">
      <c r="A9" s="105" t="s">
        <v>101</v>
      </c>
      <c r="B9" s="105">
        <v>3</v>
      </c>
      <c r="C9" s="105">
        <v>3.4</v>
      </c>
      <c r="D9" s="105">
        <v>1.6</v>
      </c>
      <c r="E9" s="86">
        <v>3.6</v>
      </c>
      <c r="F9" s="86">
        <v>3.6</v>
      </c>
      <c r="G9" s="86">
        <v>3.6</v>
      </c>
      <c r="H9" s="106" t="s">
        <v>446</v>
      </c>
      <c r="I9" s="107">
        <f t="shared" si="0"/>
        <v>3.1333333333333333</v>
      </c>
      <c r="J9" s="105" t="str">
        <f t="shared" si="1"/>
        <v/>
      </c>
      <c r="K9" s="64"/>
      <c r="S9" s="105">
        <f>AVERAGE(S2:S8)</f>
        <v>3.1314285714285717</v>
      </c>
      <c r="U9" s="105">
        <f>AVERAGE(U2:U8)</f>
        <v>3.0228571428571427</v>
      </c>
    </row>
    <row r="10" spans="1:25" ht="14">
      <c r="A10" s="105" t="s">
        <v>79</v>
      </c>
      <c r="B10" s="105">
        <v>3.4</v>
      </c>
      <c r="C10" s="105">
        <v>3.2</v>
      </c>
      <c r="D10" s="86">
        <v>2.8</v>
      </c>
      <c r="E10" s="86">
        <v>4</v>
      </c>
      <c r="F10" s="86">
        <v>3.6</v>
      </c>
      <c r="G10" s="86">
        <v>4.4000000000000004</v>
      </c>
      <c r="H10" s="108" t="s">
        <v>448</v>
      </c>
      <c r="I10" s="107">
        <f t="shared" si="0"/>
        <v>3.5666666666666664</v>
      </c>
      <c r="J10" s="105" t="str">
        <f t="shared" si="1"/>
        <v/>
      </c>
      <c r="K10" s="64"/>
    </row>
    <row r="11" spans="1:25" ht="57">
      <c r="A11" s="105" t="s">
        <v>56</v>
      </c>
      <c r="B11" s="105">
        <v>1.8</v>
      </c>
      <c r="C11" s="105">
        <v>2.2000000000000002</v>
      </c>
      <c r="D11" s="105">
        <v>3.2</v>
      </c>
      <c r="E11" s="86">
        <v>3.4</v>
      </c>
      <c r="F11" s="86">
        <v>3.6</v>
      </c>
      <c r="G11" s="86">
        <v>3.2</v>
      </c>
      <c r="H11" s="106" t="s">
        <v>446</v>
      </c>
      <c r="I11" s="107">
        <f t="shared" si="0"/>
        <v>2.9</v>
      </c>
      <c r="J11" s="105" t="str">
        <f t="shared" si="1"/>
        <v>NOT SAFE</v>
      </c>
      <c r="K11" s="56" t="s">
        <v>457</v>
      </c>
      <c r="M11" s="86" t="s">
        <v>454</v>
      </c>
      <c r="N11" s="86" t="s">
        <v>456</v>
      </c>
    </row>
    <row r="12" spans="1:25" ht="29">
      <c r="A12" s="105" t="s">
        <v>89</v>
      </c>
      <c r="B12" s="105">
        <v>2.2000000000000002</v>
      </c>
      <c r="C12" s="105">
        <v>2.8</v>
      </c>
      <c r="D12" s="86">
        <v>2</v>
      </c>
      <c r="E12" s="86">
        <v>3.8</v>
      </c>
      <c r="F12" s="86">
        <v>3.6</v>
      </c>
      <c r="G12" s="86">
        <v>3.8</v>
      </c>
      <c r="H12" s="106" t="s">
        <v>446</v>
      </c>
      <c r="I12" s="107">
        <f t="shared" si="0"/>
        <v>3.0333333333333332</v>
      </c>
      <c r="J12" s="105" t="str">
        <f t="shared" si="1"/>
        <v/>
      </c>
      <c r="K12" s="56" t="s">
        <v>458</v>
      </c>
      <c r="O12" s="86"/>
      <c r="P12" s="86"/>
      <c r="Q12" s="86" t="s">
        <v>459</v>
      </c>
      <c r="R12" s="86" t="s">
        <v>460</v>
      </c>
      <c r="T12" s="86" t="s">
        <v>461</v>
      </c>
      <c r="V12" s="86" t="s">
        <v>462</v>
      </c>
      <c r="X12" s="86" t="s">
        <v>463</v>
      </c>
    </row>
    <row r="13" spans="1:25" ht="14">
      <c r="A13" s="105" t="s">
        <v>61</v>
      </c>
      <c r="B13" s="105">
        <v>2.4</v>
      </c>
      <c r="C13" s="105">
        <v>3</v>
      </c>
      <c r="D13" s="105">
        <v>2.8</v>
      </c>
      <c r="E13" s="86">
        <v>3.4</v>
      </c>
      <c r="F13" s="86">
        <v>3.6</v>
      </c>
      <c r="G13" s="86">
        <v>3.4</v>
      </c>
      <c r="H13" s="106" t="s">
        <v>446</v>
      </c>
      <c r="I13" s="107">
        <f t="shared" si="0"/>
        <v>3.0999999999999996</v>
      </c>
      <c r="J13" s="105" t="str">
        <f t="shared" si="1"/>
        <v/>
      </c>
      <c r="K13" s="64"/>
      <c r="R13" s="86" t="s">
        <v>464</v>
      </c>
      <c r="T13" s="86" t="s">
        <v>465</v>
      </c>
      <c r="V13" s="86" t="s">
        <v>466</v>
      </c>
      <c r="X13" s="86" t="s">
        <v>467</v>
      </c>
    </row>
    <row r="14" spans="1:25" ht="14">
      <c r="A14" s="105" t="s">
        <v>71</v>
      </c>
      <c r="B14" s="105">
        <v>2.6</v>
      </c>
      <c r="C14" s="105">
        <v>3.6</v>
      </c>
      <c r="D14" s="105">
        <v>3.8</v>
      </c>
      <c r="E14" s="86">
        <v>4.2</v>
      </c>
      <c r="F14" s="86">
        <v>4</v>
      </c>
      <c r="G14" s="86">
        <v>4.8</v>
      </c>
      <c r="H14" s="106" t="s">
        <v>446</v>
      </c>
      <c r="I14" s="107">
        <f t="shared" si="0"/>
        <v>3.8333333333333335</v>
      </c>
      <c r="J14" s="105" t="str">
        <f t="shared" si="1"/>
        <v/>
      </c>
      <c r="K14" s="64"/>
      <c r="T14" s="86" t="s">
        <v>468</v>
      </c>
    </row>
    <row r="15" spans="1:25" ht="14">
      <c r="A15" s="105" t="s">
        <v>73</v>
      </c>
      <c r="B15" s="105">
        <v>2.6</v>
      </c>
      <c r="C15" s="105">
        <v>1.6</v>
      </c>
      <c r="D15" s="105">
        <v>3.4</v>
      </c>
      <c r="E15" s="86">
        <v>4</v>
      </c>
      <c r="F15" s="86">
        <v>4</v>
      </c>
      <c r="G15" s="86">
        <v>3.2</v>
      </c>
      <c r="H15" s="108" t="s">
        <v>448</v>
      </c>
      <c r="I15" s="107">
        <f t="shared" si="0"/>
        <v>3.1333333333333333</v>
      </c>
      <c r="J15" s="105" t="str">
        <f t="shared" si="1"/>
        <v/>
      </c>
      <c r="K15" s="64"/>
      <c r="U15" s="127"/>
    </row>
    <row r="16" spans="1:25" ht="141">
      <c r="A16" s="105" t="s">
        <v>81</v>
      </c>
      <c r="B16" s="105">
        <v>1.8</v>
      </c>
      <c r="C16" s="105">
        <v>1.6</v>
      </c>
      <c r="D16" s="105">
        <v>2.2000000000000002</v>
      </c>
      <c r="E16" s="86">
        <v>3</v>
      </c>
      <c r="F16" s="86">
        <v>3.8</v>
      </c>
      <c r="G16" s="86">
        <v>3.4</v>
      </c>
      <c r="H16" s="120" t="s">
        <v>453</v>
      </c>
      <c r="I16" s="107">
        <f t="shared" si="0"/>
        <v>2.6333333333333337</v>
      </c>
      <c r="J16" s="105" t="str">
        <f t="shared" si="1"/>
        <v>NOT SAFE</v>
      </c>
      <c r="K16" s="56" t="s">
        <v>469</v>
      </c>
      <c r="M16" s="86" t="s">
        <v>449</v>
      </c>
      <c r="N16" s="86" t="s">
        <v>450</v>
      </c>
      <c r="O16" s="86"/>
      <c r="P16" s="86"/>
      <c r="Q16" s="86" t="s">
        <v>470</v>
      </c>
      <c r="R16" s="86" t="s">
        <v>468</v>
      </c>
      <c r="T16" s="86" t="s">
        <v>467</v>
      </c>
      <c r="V16" s="86" t="s">
        <v>471</v>
      </c>
      <c r="X16" s="86" t="s">
        <v>466</v>
      </c>
    </row>
    <row r="17" spans="1:25" ht="14">
      <c r="A17" s="105" t="s">
        <v>65</v>
      </c>
      <c r="B17" s="105">
        <v>3.2</v>
      </c>
      <c r="C17" s="105">
        <v>2.6</v>
      </c>
      <c r="D17" s="86">
        <v>3.4</v>
      </c>
      <c r="E17" s="86">
        <v>3.6</v>
      </c>
      <c r="F17" s="86">
        <v>3.8</v>
      </c>
      <c r="G17" s="86">
        <v>3.6</v>
      </c>
      <c r="H17" s="106" t="s">
        <v>446</v>
      </c>
      <c r="I17" s="107">
        <f t="shared" si="0"/>
        <v>3.3666666666666671</v>
      </c>
      <c r="J17" s="105" t="str">
        <f t="shared" si="1"/>
        <v/>
      </c>
    </row>
    <row r="18" spans="1:25" ht="14">
      <c r="A18" s="105" t="s">
        <v>99</v>
      </c>
      <c r="B18" s="105">
        <v>2</v>
      </c>
      <c r="C18" s="105">
        <v>3.4</v>
      </c>
      <c r="D18" s="105">
        <v>3.4</v>
      </c>
      <c r="E18" s="86">
        <v>3.4</v>
      </c>
      <c r="F18" s="86">
        <v>3.4</v>
      </c>
      <c r="G18" s="86">
        <v>3.4</v>
      </c>
      <c r="H18" s="111" t="s">
        <v>451</v>
      </c>
      <c r="I18" s="107">
        <f t="shared" si="0"/>
        <v>3.1666666666666665</v>
      </c>
      <c r="J18" s="105" t="str">
        <f t="shared" si="1"/>
        <v/>
      </c>
      <c r="K18" s="64"/>
    </row>
    <row r="19" spans="1:25" ht="66.75" customHeight="1">
      <c r="A19" s="105" t="s">
        <v>97</v>
      </c>
      <c r="B19" s="105">
        <v>2.6</v>
      </c>
      <c r="C19" s="105">
        <v>1</v>
      </c>
      <c r="D19" s="86">
        <v>2.8</v>
      </c>
      <c r="E19" s="86">
        <v>3.8</v>
      </c>
      <c r="F19" s="86">
        <v>3.8</v>
      </c>
      <c r="G19" s="86">
        <v>3.8</v>
      </c>
      <c r="H19" s="106" t="s">
        <v>446</v>
      </c>
      <c r="I19" s="107">
        <f t="shared" si="0"/>
        <v>2.9666666666666668</v>
      </c>
      <c r="J19" s="105" t="str">
        <f t="shared" si="1"/>
        <v>NOT SAFE</v>
      </c>
      <c r="K19" s="76" t="s">
        <v>472</v>
      </c>
      <c r="M19" s="86" t="s">
        <v>454</v>
      </c>
      <c r="N19" s="86" t="s">
        <v>456</v>
      </c>
    </row>
    <row r="20" spans="1:25" ht="14">
      <c r="A20" s="105" t="s">
        <v>87</v>
      </c>
      <c r="B20" s="105">
        <v>2.6</v>
      </c>
      <c r="C20" s="105">
        <v>3.4</v>
      </c>
      <c r="D20" s="105">
        <v>2.6</v>
      </c>
      <c r="E20" s="86">
        <v>3.6</v>
      </c>
      <c r="F20" s="86">
        <v>3.4</v>
      </c>
      <c r="G20" s="86">
        <v>3.6</v>
      </c>
      <c r="H20" s="108" t="s">
        <v>448</v>
      </c>
      <c r="I20" s="107">
        <f t="shared" si="0"/>
        <v>3.1999999999999997</v>
      </c>
      <c r="J20" s="105" t="str">
        <f t="shared" si="1"/>
        <v/>
      </c>
      <c r="K20" s="64"/>
    </row>
    <row r="21" spans="1:25" ht="14">
      <c r="A21" s="105" t="s">
        <v>107</v>
      </c>
      <c r="B21" s="105">
        <v>3.6</v>
      </c>
      <c r="C21" s="105">
        <v>3.6</v>
      </c>
      <c r="D21" s="105">
        <v>3.4</v>
      </c>
      <c r="E21" s="86">
        <v>3.6</v>
      </c>
      <c r="F21" s="86">
        <v>4.4000000000000004</v>
      </c>
      <c r="G21" s="86">
        <v>4.4000000000000004</v>
      </c>
      <c r="H21" s="111" t="s">
        <v>451</v>
      </c>
      <c r="I21" s="107">
        <f t="shared" si="0"/>
        <v>3.8333333333333335</v>
      </c>
      <c r="J21" s="105" t="str">
        <f t="shared" si="1"/>
        <v/>
      </c>
      <c r="K21" s="64"/>
    </row>
    <row r="22" spans="1:25" ht="15">
      <c r="A22" s="105" t="s">
        <v>69</v>
      </c>
      <c r="B22" s="105">
        <v>2.2000000000000002</v>
      </c>
      <c r="C22" s="105">
        <v>2.2000000000000002</v>
      </c>
      <c r="D22" s="86">
        <f>'Week 3'!J22</f>
        <v>2.4</v>
      </c>
      <c r="E22" s="86">
        <v>4</v>
      </c>
      <c r="F22" s="86">
        <v>4</v>
      </c>
      <c r="G22" s="86">
        <v>3.8</v>
      </c>
      <c r="H22" s="106" t="s">
        <v>446</v>
      </c>
      <c r="I22" s="107">
        <f t="shared" si="0"/>
        <v>3.1</v>
      </c>
      <c r="J22" s="105" t="str">
        <f t="shared" si="1"/>
        <v/>
      </c>
      <c r="K22" s="56" t="s">
        <v>473</v>
      </c>
    </row>
    <row r="23" spans="1:25" ht="113">
      <c r="A23" s="105" t="s">
        <v>83</v>
      </c>
      <c r="B23" s="105">
        <v>1.4</v>
      </c>
      <c r="C23" s="105">
        <v>3.4</v>
      </c>
      <c r="D23" s="105">
        <v>1.4</v>
      </c>
      <c r="E23" s="86">
        <v>3.6</v>
      </c>
      <c r="F23" s="86">
        <v>3.6</v>
      </c>
      <c r="G23" s="86">
        <v>3</v>
      </c>
      <c r="H23" s="120" t="s">
        <v>453</v>
      </c>
      <c r="I23" s="107">
        <f t="shared" si="0"/>
        <v>2.7333333333333329</v>
      </c>
      <c r="J23" s="105" t="str">
        <f t="shared" si="1"/>
        <v>NOT SAFE</v>
      </c>
      <c r="K23" s="56" t="s">
        <v>474</v>
      </c>
      <c r="M23" s="86" t="s">
        <v>449</v>
      </c>
      <c r="N23" s="86" t="s">
        <v>450</v>
      </c>
    </row>
    <row r="24" spans="1:25" ht="57">
      <c r="A24" s="105" t="s">
        <v>75</v>
      </c>
      <c r="B24" s="105">
        <v>2</v>
      </c>
      <c r="C24" s="105">
        <v>3</v>
      </c>
      <c r="D24" s="105">
        <v>1.2</v>
      </c>
      <c r="E24" s="86">
        <v>3.2</v>
      </c>
      <c r="F24" s="86">
        <v>3</v>
      </c>
      <c r="G24" s="86">
        <v>3</v>
      </c>
      <c r="H24" s="120" t="s">
        <v>453</v>
      </c>
      <c r="I24" s="107">
        <f t="shared" si="0"/>
        <v>2.5666666666666669</v>
      </c>
      <c r="J24" s="105" t="str">
        <f t="shared" si="1"/>
        <v>NOT SAFE</v>
      </c>
      <c r="K24" s="56" t="s">
        <v>475</v>
      </c>
      <c r="M24" s="86" t="s">
        <v>449</v>
      </c>
      <c r="N24" s="86" t="s">
        <v>476</v>
      </c>
      <c r="R24" s="128" t="s">
        <v>442</v>
      </c>
      <c r="S24" s="129"/>
      <c r="T24" s="128" t="s">
        <v>443</v>
      </c>
      <c r="U24" s="129"/>
      <c r="V24" s="128" t="s">
        <v>444</v>
      </c>
      <c r="W24" s="129"/>
      <c r="X24" s="128" t="s">
        <v>445</v>
      </c>
      <c r="Y24" s="86"/>
    </row>
    <row r="25" spans="1:25" ht="29">
      <c r="A25" s="105" t="s">
        <v>77</v>
      </c>
      <c r="B25" s="105">
        <v>3.2</v>
      </c>
      <c r="C25" s="105">
        <v>2.2000000000000002</v>
      </c>
      <c r="D25" s="86">
        <v>2.2000000000000002</v>
      </c>
      <c r="E25" s="86">
        <v>3.4</v>
      </c>
      <c r="F25" s="86">
        <v>3.4</v>
      </c>
      <c r="G25" s="86">
        <v>3.4</v>
      </c>
      <c r="H25" s="106" t="s">
        <v>446</v>
      </c>
      <c r="I25" s="107">
        <f t="shared" si="0"/>
        <v>2.9666666666666668</v>
      </c>
      <c r="J25" s="105" t="str">
        <f t="shared" si="1"/>
        <v>NOT SAFE</v>
      </c>
      <c r="K25" s="56" t="s">
        <v>477</v>
      </c>
      <c r="M25" s="86" t="s">
        <v>454</v>
      </c>
      <c r="R25" s="130" t="s">
        <v>91</v>
      </c>
      <c r="S25" s="131"/>
      <c r="T25" s="130" t="s">
        <v>63</v>
      </c>
      <c r="U25" s="131"/>
      <c r="V25" s="130" t="s">
        <v>85</v>
      </c>
      <c r="W25" s="132"/>
      <c r="X25" s="130" t="s">
        <v>101</v>
      </c>
      <c r="Y25" s="86"/>
    </row>
    <row r="26" spans="1:25" ht="14">
      <c r="A26" s="105" t="s">
        <v>95</v>
      </c>
      <c r="B26" s="105">
        <v>3.6</v>
      </c>
      <c r="C26" s="105">
        <v>3.4</v>
      </c>
      <c r="D26" s="105">
        <v>3.6</v>
      </c>
      <c r="E26" s="86">
        <v>4</v>
      </c>
      <c r="F26" s="86">
        <v>3.6</v>
      </c>
      <c r="G26" s="86">
        <v>3.4</v>
      </c>
      <c r="H26" s="106" t="s">
        <v>446</v>
      </c>
      <c r="I26" s="107">
        <f t="shared" si="0"/>
        <v>3.5999999999999996</v>
      </c>
      <c r="J26" s="105" t="str">
        <f t="shared" si="1"/>
        <v/>
      </c>
      <c r="K26" s="64"/>
      <c r="R26" s="133" t="s">
        <v>93</v>
      </c>
      <c r="S26" s="132"/>
      <c r="T26" s="133" t="s">
        <v>79</v>
      </c>
      <c r="U26" s="132"/>
      <c r="V26" s="134" t="s">
        <v>59</v>
      </c>
      <c r="W26" s="131"/>
      <c r="X26" s="134" t="s">
        <v>65</v>
      </c>
      <c r="Y26" s="38"/>
    </row>
    <row r="27" spans="1:25" ht="14">
      <c r="A27" s="105" t="s">
        <v>67</v>
      </c>
      <c r="B27" s="105">
        <v>2</v>
      </c>
      <c r="C27" s="105">
        <v>2.6</v>
      </c>
      <c r="D27" s="105">
        <v>3</v>
      </c>
      <c r="E27" s="86">
        <v>4</v>
      </c>
      <c r="F27" s="86">
        <v>3.8</v>
      </c>
      <c r="G27" s="86">
        <v>3.6</v>
      </c>
      <c r="H27" s="106" t="s">
        <v>446</v>
      </c>
      <c r="I27" s="107">
        <f t="shared" si="0"/>
        <v>3.1666666666666665</v>
      </c>
      <c r="J27" s="105" t="str">
        <f t="shared" si="1"/>
        <v/>
      </c>
      <c r="K27" s="64"/>
      <c r="R27" s="134" t="s">
        <v>103</v>
      </c>
      <c r="S27" s="135"/>
      <c r="T27" s="133" t="s">
        <v>89</v>
      </c>
      <c r="U27" s="135"/>
      <c r="V27" s="133" t="s">
        <v>56</v>
      </c>
      <c r="W27" s="135"/>
      <c r="X27" s="134" t="s">
        <v>97</v>
      </c>
      <c r="Y27" s="136"/>
    </row>
    <row r="28" spans="1:25" ht="13">
      <c r="K28" s="64"/>
      <c r="R28" s="134" t="s">
        <v>105</v>
      </c>
      <c r="S28" s="135"/>
      <c r="T28" s="133" t="s">
        <v>71</v>
      </c>
      <c r="U28" s="135"/>
      <c r="V28" s="133" t="s">
        <v>73</v>
      </c>
      <c r="W28" s="132"/>
      <c r="X28" s="133" t="s">
        <v>87</v>
      </c>
      <c r="Y28" s="136"/>
    </row>
    <row r="29" spans="1:25" ht="13">
      <c r="K29" s="64"/>
      <c r="R29" s="133" t="s">
        <v>61</v>
      </c>
      <c r="S29" s="135"/>
      <c r="T29" s="134" t="s">
        <v>99</v>
      </c>
      <c r="U29" s="135"/>
      <c r="V29" s="133" t="s">
        <v>83</v>
      </c>
      <c r="W29" s="135"/>
      <c r="X29" s="134" t="s">
        <v>69</v>
      </c>
      <c r="Y29" s="136"/>
    </row>
    <row r="30" spans="1:25" ht="13">
      <c r="K30" s="64"/>
      <c r="R30" s="133" t="s">
        <v>81</v>
      </c>
      <c r="S30" s="135"/>
      <c r="T30" s="133" t="s">
        <v>75</v>
      </c>
      <c r="U30" s="131"/>
      <c r="V30" s="134" t="s">
        <v>67</v>
      </c>
      <c r="W30" s="135"/>
      <c r="X30" s="134" t="s">
        <v>95</v>
      </c>
      <c r="Y30" s="136"/>
    </row>
    <row r="31" spans="1:25" ht="13">
      <c r="K31" s="64"/>
      <c r="R31" s="134" t="s">
        <v>107</v>
      </c>
      <c r="S31" s="137"/>
      <c r="T31" s="134" t="s">
        <v>77</v>
      </c>
      <c r="U31" s="137"/>
      <c r="V31" s="133"/>
      <c r="W31" s="138"/>
      <c r="X31" s="133"/>
    </row>
    <row r="32" spans="1:25" ht="13">
      <c r="K32" s="64"/>
      <c r="R32" s="160" t="s">
        <v>478</v>
      </c>
      <c r="S32" s="161"/>
      <c r="T32" s="161"/>
      <c r="U32" s="161"/>
      <c r="V32" s="161"/>
      <c r="W32" s="161"/>
      <c r="X32" s="162"/>
    </row>
    <row r="33" spans="11:24" ht="13">
      <c r="K33" s="64"/>
      <c r="R33" s="139" t="s">
        <v>479</v>
      </c>
      <c r="S33" s="140"/>
      <c r="T33" s="139" t="s">
        <v>480</v>
      </c>
      <c r="U33" s="140"/>
      <c r="V33" s="139" t="s">
        <v>481</v>
      </c>
      <c r="W33" s="140"/>
      <c r="X33" s="139" t="s">
        <v>482</v>
      </c>
    </row>
    <row r="34" spans="11:24" ht="13">
      <c r="K34" s="64"/>
      <c r="R34" s="160" t="s">
        <v>470</v>
      </c>
      <c r="S34" s="161"/>
      <c r="T34" s="161"/>
      <c r="U34" s="161"/>
      <c r="V34" s="161"/>
      <c r="W34" s="161"/>
      <c r="X34" s="162"/>
    </row>
    <row r="35" spans="11:24" ht="13">
      <c r="K35" s="64"/>
      <c r="R35" s="141" t="s">
        <v>468</v>
      </c>
      <c r="S35" s="142"/>
      <c r="T35" s="141" t="s">
        <v>467</v>
      </c>
      <c r="U35" s="142"/>
      <c r="V35" s="141" t="s">
        <v>471</v>
      </c>
      <c r="W35" s="142"/>
      <c r="X35" s="141" t="s">
        <v>466</v>
      </c>
    </row>
    <row r="36" spans="11:24" ht="13">
      <c r="K36" s="64"/>
    </row>
    <row r="37" spans="11:24" ht="13">
      <c r="K37" s="64"/>
    </row>
    <row r="38" spans="11:24" ht="13">
      <c r="K38" s="64"/>
    </row>
    <row r="39" spans="11:24" ht="13">
      <c r="K39" s="64"/>
    </row>
    <row r="40" spans="11:24" ht="13">
      <c r="K40" s="64"/>
    </row>
    <row r="41" spans="11:24" ht="13">
      <c r="K41" s="64"/>
    </row>
    <row r="42" spans="11:24" ht="13">
      <c r="K42" s="64"/>
    </row>
    <row r="43" spans="11:24" ht="13">
      <c r="K43" s="64"/>
    </row>
    <row r="44" spans="11:24" ht="13">
      <c r="K44" s="64"/>
    </row>
    <row r="45" spans="11:24" ht="13">
      <c r="K45" s="64"/>
    </row>
    <row r="46" spans="11:24" ht="13">
      <c r="K46" s="64"/>
    </row>
    <row r="47" spans="11:24" ht="13">
      <c r="K47" s="64"/>
    </row>
    <row r="48" spans="11:24" ht="13">
      <c r="K48" s="64"/>
    </row>
    <row r="49" spans="11:11" ht="13">
      <c r="K49" s="64"/>
    </row>
    <row r="50" spans="11:11" ht="13">
      <c r="K50" s="64"/>
    </row>
    <row r="51" spans="11:11" ht="13">
      <c r="K51" s="64"/>
    </row>
    <row r="52" spans="11:11" ht="13">
      <c r="K52" s="64"/>
    </row>
    <row r="53" spans="11:11" ht="13">
      <c r="K53" s="64"/>
    </row>
    <row r="54" spans="11:11" ht="13">
      <c r="K54" s="64"/>
    </row>
    <row r="55" spans="11:11" ht="13">
      <c r="K55" s="64"/>
    </row>
    <row r="56" spans="11:11" ht="13">
      <c r="K56" s="64"/>
    </row>
    <row r="57" spans="11:11" ht="13">
      <c r="K57" s="64"/>
    </row>
    <row r="58" spans="11:11" ht="13">
      <c r="K58" s="64"/>
    </row>
    <row r="59" spans="11:11" ht="13">
      <c r="K59" s="64"/>
    </row>
    <row r="60" spans="11:11" ht="13">
      <c r="K60" s="64"/>
    </row>
    <row r="61" spans="11:11" ht="13">
      <c r="K61" s="64"/>
    </row>
    <row r="62" spans="11:11" ht="13">
      <c r="K62" s="64"/>
    </row>
    <row r="63" spans="11:11" ht="13">
      <c r="K63" s="64"/>
    </row>
    <row r="64" spans="11:11" ht="13">
      <c r="K64" s="64"/>
    </row>
    <row r="65" spans="11:11" ht="13">
      <c r="K65" s="64"/>
    </row>
    <row r="66" spans="11:11" ht="13">
      <c r="K66" s="64"/>
    </row>
    <row r="67" spans="11:11" ht="13">
      <c r="K67" s="64"/>
    </row>
    <row r="68" spans="11:11" ht="13">
      <c r="K68" s="64"/>
    </row>
    <row r="69" spans="11:11" ht="13">
      <c r="K69" s="64"/>
    </row>
    <row r="70" spans="11:11" ht="13">
      <c r="K70" s="64"/>
    </row>
    <row r="71" spans="11:11" ht="13">
      <c r="K71" s="64"/>
    </row>
    <row r="72" spans="11:11" ht="13">
      <c r="K72" s="64"/>
    </row>
    <row r="73" spans="11:11" ht="13">
      <c r="K73" s="64"/>
    </row>
    <row r="74" spans="11:11" ht="13">
      <c r="K74" s="64"/>
    </row>
    <row r="75" spans="11:11" ht="13">
      <c r="K75" s="64"/>
    </row>
    <row r="76" spans="11:11" ht="13">
      <c r="K76" s="64"/>
    </row>
    <row r="77" spans="11:11" ht="13">
      <c r="K77" s="64"/>
    </row>
    <row r="78" spans="11:11" ht="13">
      <c r="K78" s="64"/>
    </row>
    <row r="79" spans="11:11" ht="13">
      <c r="K79" s="64"/>
    </row>
    <row r="80" spans="11:11" ht="13">
      <c r="K80" s="64"/>
    </row>
    <row r="81" spans="11:11" ht="13">
      <c r="K81" s="64"/>
    </row>
    <row r="82" spans="11:11" ht="13">
      <c r="K82" s="64"/>
    </row>
    <row r="83" spans="11:11" ht="13">
      <c r="K83" s="64"/>
    </row>
    <row r="84" spans="11:11" ht="13">
      <c r="K84" s="64"/>
    </row>
    <row r="85" spans="11:11" ht="13">
      <c r="K85" s="64"/>
    </row>
    <row r="86" spans="11:11" ht="13">
      <c r="K86" s="64"/>
    </row>
    <row r="87" spans="11:11" ht="13">
      <c r="K87" s="64"/>
    </row>
    <row r="88" spans="11:11" ht="13">
      <c r="K88" s="64"/>
    </row>
    <row r="89" spans="11:11" ht="13">
      <c r="K89" s="64"/>
    </row>
    <row r="90" spans="11:11" ht="13">
      <c r="K90" s="64"/>
    </row>
    <row r="91" spans="11:11" ht="13">
      <c r="K91" s="64"/>
    </row>
    <row r="92" spans="11:11" ht="13">
      <c r="K92" s="64"/>
    </row>
    <row r="93" spans="11:11" ht="13">
      <c r="K93" s="64"/>
    </row>
    <row r="94" spans="11:11" ht="13">
      <c r="K94" s="64"/>
    </row>
    <row r="95" spans="11:11" ht="13">
      <c r="K95" s="64"/>
    </row>
    <row r="96" spans="11:11" ht="13">
      <c r="K96" s="64"/>
    </row>
    <row r="97" spans="11:11" ht="13">
      <c r="K97" s="64"/>
    </row>
    <row r="98" spans="11:11" ht="13">
      <c r="K98" s="64"/>
    </row>
    <row r="99" spans="11:11" ht="13">
      <c r="K99" s="64"/>
    </row>
    <row r="100" spans="11:11" ht="13">
      <c r="K100" s="64"/>
    </row>
    <row r="101" spans="11:11" ht="13">
      <c r="K101" s="64"/>
    </row>
    <row r="102" spans="11:11" ht="13">
      <c r="K102" s="64"/>
    </row>
    <row r="103" spans="11:11" ht="13">
      <c r="K103" s="64"/>
    </row>
    <row r="104" spans="11:11" ht="13">
      <c r="K104" s="64"/>
    </row>
    <row r="105" spans="11:11" ht="13">
      <c r="K105" s="64"/>
    </row>
    <row r="106" spans="11:11" ht="13">
      <c r="K106" s="64"/>
    </row>
    <row r="107" spans="11:11" ht="13">
      <c r="K107" s="64"/>
    </row>
    <row r="108" spans="11:11" ht="13">
      <c r="K108" s="64"/>
    </row>
    <row r="109" spans="11:11" ht="13">
      <c r="K109" s="64"/>
    </row>
    <row r="110" spans="11:11" ht="13">
      <c r="K110" s="64"/>
    </row>
    <row r="111" spans="11:11" ht="13">
      <c r="K111" s="64"/>
    </row>
    <row r="112" spans="11:11" ht="13">
      <c r="K112" s="64"/>
    </row>
    <row r="113" spans="11:11" ht="13">
      <c r="K113" s="64"/>
    </row>
    <row r="114" spans="11:11" ht="13">
      <c r="K114" s="64"/>
    </row>
    <row r="115" spans="11:11" ht="13">
      <c r="K115" s="64"/>
    </row>
    <row r="116" spans="11:11" ht="13">
      <c r="K116" s="64"/>
    </row>
    <row r="117" spans="11:11" ht="13">
      <c r="K117" s="64"/>
    </row>
    <row r="118" spans="11:11" ht="13">
      <c r="K118" s="64"/>
    </row>
    <row r="119" spans="11:11" ht="13">
      <c r="K119" s="64"/>
    </row>
    <row r="120" spans="11:11" ht="13">
      <c r="K120" s="64"/>
    </row>
    <row r="121" spans="11:11" ht="13">
      <c r="K121" s="64"/>
    </row>
    <row r="122" spans="11:11" ht="13">
      <c r="K122" s="64"/>
    </row>
    <row r="123" spans="11:11" ht="13">
      <c r="K123" s="64"/>
    </row>
    <row r="124" spans="11:11" ht="13">
      <c r="K124" s="64"/>
    </row>
    <row r="125" spans="11:11" ht="13">
      <c r="K125" s="64"/>
    </row>
    <row r="126" spans="11:11" ht="13">
      <c r="K126" s="64"/>
    </row>
    <row r="127" spans="11:11" ht="13">
      <c r="K127" s="64"/>
    </row>
    <row r="128" spans="11:11" ht="13">
      <c r="K128" s="64"/>
    </row>
    <row r="129" spans="11:11" ht="13">
      <c r="K129" s="64"/>
    </row>
    <row r="130" spans="11:11" ht="13">
      <c r="K130" s="64"/>
    </row>
    <row r="131" spans="11:11" ht="13">
      <c r="K131" s="64"/>
    </row>
    <row r="132" spans="11:11" ht="13">
      <c r="K132" s="64"/>
    </row>
    <row r="133" spans="11:11" ht="13">
      <c r="K133" s="64"/>
    </row>
    <row r="134" spans="11:11" ht="13">
      <c r="K134" s="64"/>
    </row>
    <row r="135" spans="11:11" ht="13">
      <c r="K135" s="64"/>
    </row>
    <row r="136" spans="11:11" ht="13">
      <c r="K136" s="64"/>
    </row>
    <row r="137" spans="11:11" ht="13">
      <c r="K137" s="64"/>
    </row>
    <row r="138" spans="11:11" ht="13">
      <c r="K138" s="64"/>
    </row>
    <row r="139" spans="11:11" ht="13">
      <c r="K139" s="64"/>
    </row>
    <row r="140" spans="11:11" ht="13">
      <c r="K140" s="64"/>
    </row>
    <row r="141" spans="11:11" ht="13">
      <c r="K141" s="64"/>
    </row>
    <row r="142" spans="11:11" ht="13">
      <c r="K142" s="64"/>
    </row>
    <row r="143" spans="11:11" ht="13">
      <c r="K143" s="64"/>
    </row>
    <row r="144" spans="11:11" ht="13">
      <c r="K144" s="64"/>
    </row>
    <row r="145" spans="11:11" ht="13">
      <c r="K145" s="64"/>
    </row>
    <row r="146" spans="11:11" ht="13">
      <c r="K146" s="64"/>
    </row>
    <row r="147" spans="11:11" ht="13">
      <c r="K147" s="64"/>
    </row>
    <row r="148" spans="11:11" ht="13">
      <c r="K148" s="64"/>
    </row>
    <row r="149" spans="11:11" ht="13">
      <c r="K149" s="64"/>
    </row>
    <row r="150" spans="11:11" ht="13">
      <c r="K150" s="64"/>
    </row>
    <row r="151" spans="11:11" ht="13">
      <c r="K151" s="64"/>
    </row>
    <row r="152" spans="11:11" ht="13">
      <c r="K152" s="64"/>
    </row>
    <row r="153" spans="11:11" ht="13">
      <c r="K153" s="64"/>
    </row>
    <row r="154" spans="11:11" ht="13">
      <c r="K154" s="64"/>
    </row>
    <row r="155" spans="11:11" ht="13">
      <c r="K155" s="64"/>
    </row>
    <row r="156" spans="11:11" ht="13">
      <c r="K156" s="64"/>
    </row>
    <row r="157" spans="11:11" ht="13">
      <c r="K157" s="64"/>
    </row>
    <row r="158" spans="11:11" ht="13">
      <c r="K158" s="64"/>
    </row>
    <row r="159" spans="11:11" ht="13">
      <c r="K159" s="64"/>
    </row>
    <row r="160" spans="11:11" ht="13">
      <c r="K160" s="64"/>
    </row>
    <row r="161" spans="11:11" ht="13">
      <c r="K161" s="64"/>
    </row>
    <row r="162" spans="11:11" ht="13">
      <c r="K162" s="64"/>
    </row>
    <row r="163" spans="11:11" ht="13">
      <c r="K163" s="64"/>
    </row>
    <row r="164" spans="11:11" ht="13">
      <c r="K164" s="64"/>
    </row>
    <row r="165" spans="11:11" ht="13">
      <c r="K165" s="64"/>
    </row>
    <row r="166" spans="11:11" ht="13">
      <c r="K166" s="64"/>
    </row>
    <row r="167" spans="11:11" ht="13">
      <c r="K167" s="64"/>
    </row>
    <row r="168" spans="11:11" ht="13">
      <c r="K168" s="64"/>
    </row>
    <row r="169" spans="11:11" ht="13">
      <c r="K169" s="64"/>
    </row>
    <row r="170" spans="11:11" ht="13">
      <c r="K170" s="64"/>
    </row>
    <row r="171" spans="11:11" ht="13">
      <c r="K171" s="64"/>
    </row>
    <row r="172" spans="11:11" ht="13">
      <c r="K172" s="64"/>
    </row>
    <row r="173" spans="11:11" ht="13">
      <c r="K173" s="64"/>
    </row>
    <row r="174" spans="11:11" ht="13">
      <c r="K174" s="64"/>
    </row>
    <row r="175" spans="11:11" ht="13">
      <c r="K175" s="64"/>
    </row>
    <row r="176" spans="11:11" ht="13">
      <c r="K176" s="64"/>
    </row>
    <row r="177" spans="11:11" ht="13">
      <c r="K177" s="64"/>
    </row>
    <row r="178" spans="11:11" ht="13">
      <c r="K178" s="64"/>
    </row>
    <row r="179" spans="11:11" ht="13">
      <c r="K179" s="64"/>
    </row>
    <row r="180" spans="11:11" ht="13">
      <c r="K180" s="64"/>
    </row>
    <row r="181" spans="11:11" ht="13">
      <c r="K181" s="64"/>
    </row>
    <row r="182" spans="11:11" ht="13">
      <c r="K182" s="64"/>
    </row>
    <row r="183" spans="11:11" ht="13">
      <c r="K183" s="64"/>
    </row>
    <row r="184" spans="11:11" ht="13">
      <c r="K184" s="64"/>
    </row>
    <row r="185" spans="11:11" ht="13">
      <c r="K185" s="64"/>
    </row>
    <row r="186" spans="11:11" ht="13">
      <c r="K186" s="64"/>
    </row>
    <row r="187" spans="11:11" ht="13">
      <c r="K187" s="64"/>
    </row>
    <row r="188" spans="11:11" ht="13">
      <c r="K188" s="64"/>
    </row>
    <row r="189" spans="11:11" ht="13">
      <c r="K189" s="64"/>
    </row>
    <row r="190" spans="11:11" ht="13">
      <c r="K190" s="64"/>
    </row>
    <row r="191" spans="11:11" ht="13">
      <c r="K191" s="64"/>
    </row>
    <row r="192" spans="11:11" ht="13">
      <c r="K192" s="64"/>
    </row>
    <row r="193" spans="11:11" ht="13">
      <c r="K193" s="64"/>
    </row>
    <row r="194" spans="11:11" ht="13">
      <c r="K194" s="64"/>
    </row>
    <row r="195" spans="11:11" ht="13">
      <c r="K195" s="64"/>
    </row>
    <row r="196" spans="11:11" ht="13">
      <c r="K196" s="64"/>
    </row>
    <row r="197" spans="11:11" ht="13">
      <c r="K197" s="64"/>
    </row>
    <row r="198" spans="11:11" ht="13">
      <c r="K198" s="64"/>
    </row>
    <row r="199" spans="11:11" ht="13">
      <c r="K199" s="64"/>
    </row>
    <row r="200" spans="11:11" ht="13">
      <c r="K200" s="64"/>
    </row>
    <row r="201" spans="11:11" ht="13">
      <c r="K201" s="64"/>
    </row>
    <row r="202" spans="11:11" ht="13">
      <c r="K202" s="64"/>
    </row>
    <row r="203" spans="11:11" ht="13">
      <c r="K203" s="64"/>
    </row>
    <row r="204" spans="11:11" ht="13">
      <c r="K204" s="64"/>
    </row>
    <row r="205" spans="11:11" ht="13">
      <c r="K205" s="64"/>
    </row>
    <row r="206" spans="11:11" ht="13">
      <c r="K206" s="64"/>
    </row>
    <row r="207" spans="11:11" ht="13">
      <c r="K207" s="64"/>
    </row>
    <row r="208" spans="11:11" ht="13">
      <c r="K208" s="64"/>
    </row>
    <row r="209" spans="11:11" ht="13">
      <c r="K209" s="64"/>
    </row>
    <row r="210" spans="11:11" ht="13">
      <c r="K210" s="64"/>
    </row>
    <row r="211" spans="11:11" ht="13">
      <c r="K211" s="64"/>
    </row>
    <row r="212" spans="11:11" ht="13">
      <c r="K212" s="64"/>
    </row>
    <row r="213" spans="11:11" ht="13">
      <c r="K213" s="64"/>
    </row>
    <row r="214" spans="11:11" ht="13">
      <c r="K214" s="64"/>
    </row>
    <row r="215" spans="11:11" ht="13">
      <c r="K215" s="64"/>
    </row>
    <row r="216" spans="11:11" ht="13">
      <c r="K216" s="64"/>
    </row>
    <row r="217" spans="11:11" ht="13">
      <c r="K217" s="64"/>
    </row>
    <row r="218" spans="11:11" ht="13">
      <c r="K218" s="64"/>
    </row>
    <row r="219" spans="11:11" ht="13">
      <c r="K219" s="64"/>
    </row>
    <row r="220" spans="11:11" ht="13">
      <c r="K220" s="64"/>
    </row>
    <row r="221" spans="11:11" ht="13">
      <c r="K221" s="64"/>
    </row>
    <row r="222" spans="11:11" ht="13">
      <c r="K222" s="64"/>
    </row>
    <row r="223" spans="11:11" ht="13">
      <c r="K223" s="64"/>
    </row>
    <row r="224" spans="11:11" ht="13">
      <c r="K224" s="64"/>
    </row>
    <row r="225" spans="11:11" ht="13">
      <c r="K225" s="64"/>
    </row>
    <row r="226" spans="11:11" ht="13">
      <c r="K226" s="64"/>
    </row>
    <row r="227" spans="11:11" ht="13">
      <c r="K227" s="64"/>
    </row>
    <row r="228" spans="11:11" ht="13">
      <c r="K228" s="64"/>
    </row>
    <row r="229" spans="11:11" ht="13">
      <c r="K229" s="64"/>
    </row>
    <row r="230" spans="11:11" ht="13">
      <c r="K230" s="64"/>
    </row>
    <row r="231" spans="11:11" ht="13">
      <c r="K231" s="64"/>
    </row>
    <row r="232" spans="11:11" ht="13">
      <c r="K232" s="64"/>
    </row>
    <row r="233" spans="11:11" ht="13">
      <c r="K233" s="64"/>
    </row>
    <row r="234" spans="11:11" ht="13">
      <c r="K234" s="64"/>
    </row>
    <row r="235" spans="11:11" ht="13">
      <c r="K235" s="64"/>
    </row>
    <row r="236" spans="11:11" ht="13">
      <c r="K236" s="64"/>
    </row>
    <row r="237" spans="11:11" ht="13">
      <c r="K237" s="64"/>
    </row>
    <row r="238" spans="11:11" ht="13">
      <c r="K238" s="64"/>
    </row>
    <row r="239" spans="11:11" ht="13">
      <c r="K239" s="64"/>
    </row>
    <row r="240" spans="11:11" ht="13">
      <c r="K240" s="64"/>
    </row>
    <row r="241" spans="11:11" ht="13">
      <c r="K241" s="64"/>
    </row>
    <row r="242" spans="11:11" ht="13">
      <c r="K242" s="64"/>
    </row>
    <row r="243" spans="11:11" ht="13">
      <c r="K243" s="64"/>
    </row>
    <row r="244" spans="11:11" ht="13">
      <c r="K244" s="64"/>
    </row>
    <row r="245" spans="11:11" ht="13">
      <c r="K245" s="64"/>
    </row>
    <row r="246" spans="11:11" ht="13">
      <c r="K246" s="64"/>
    </row>
    <row r="247" spans="11:11" ht="13">
      <c r="K247" s="64"/>
    </row>
    <row r="248" spans="11:11" ht="13">
      <c r="K248" s="64"/>
    </row>
    <row r="249" spans="11:11" ht="13">
      <c r="K249" s="64"/>
    </row>
    <row r="250" spans="11:11" ht="13">
      <c r="K250" s="64"/>
    </row>
    <row r="251" spans="11:11" ht="13">
      <c r="K251" s="64"/>
    </row>
    <row r="252" spans="11:11" ht="13">
      <c r="K252" s="64"/>
    </row>
    <row r="253" spans="11:11" ht="13">
      <c r="K253" s="64"/>
    </row>
    <row r="254" spans="11:11" ht="13">
      <c r="K254" s="64"/>
    </row>
    <row r="255" spans="11:11" ht="13">
      <c r="K255" s="64"/>
    </row>
    <row r="256" spans="11:11" ht="13">
      <c r="K256" s="64"/>
    </row>
    <row r="257" spans="11:11" ht="13">
      <c r="K257" s="64"/>
    </row>
    <row r="258" spans="11:11" ht="13">
      <c r="K258" s="64"/>
    </row>
    <row r="259" spans="11:11" ht="13">
      <c r="K259" s="64"/>
    </row>
    <row r="260" spans="11:11" ht="13">
      <c r="K260" s="64"/>
    </row>
    <row r="261" spans="11:11" ht="13">
      <c r="K261" s="64"/>
    </row>
    <row r="262" spans="11:11" ht="13">
      <c r="K262" s="64"/>
    </row>
    <row r="263" spans="11:11" ht="13">
      <c r="K263" s="64"/>
    </row>
    <row r="264" spans="11:11" ht="13">
      <c r="K264" s="64"/>
    </row>
    <row r="265" spans="11:11" ht="13">
      <c r="K265" s="64"/>
    </row>
    <row r="266" spans="11:11" ht="13">
      <c r="K266" s="64"/>
    </row>
    <row r="267" spans="11:11" ht="13">
      <c r="K267" s="64"/>
    </row>
    <row r="268" spans="11:11" ht="13">
      <c r="K268" s="64"/>
    </row>
    <row r="269" spans="11:11" ht="13">
      <c r="K269" s="64"/>
    </row>
    <row r="270" spans="11:11" ht="13">
      <c r="K270" s="64"/>
    </row>
    <row r="271" spans="11:11" ht="13">
      <c r="K271" s="64"/>
    </row>
    <row r="272" spans="11:11" ht="13">
      <c r="K272" s="64"/>
    </row>
    <row r="273" spans="11:11" ht="13">
      <c r="K273" s="64"/>
    </row>
    <row r="274" spans="11:11" ht="13">
      <c r="K274" s="64"/>
    </row>
    <row r="275" spans="11:11" ht="13">
      <c r="K275" s="64"/>
    </row>
    <row r="276" spans="11:11" ht="13">
      <c r="K276" s="64"/>
    </row>
    <row r="277" spans="11:11" ht="13">
      <c r="K277" s="64"/>
    </row>
    <row r="278" spans="11:11" ht="13">
      <c r="K278" s="64"/>
    </row>
    <row r="279" spans="11:11" ht="13">
      <c r="K279" s="64"/>
    </row>
    <row r="280" spans="11:11" ht="13">
      <c r="K280" s="64"/>
    </row>
    <row r="281" spans="11:11" ht="13">
      <c r="K281" s="64"/>
    </row>
    <row r="282" spans="11:11" ht="13">
      <c r="K282" s="64"/>
    </row>
    <row r="283" spans="11:11" ht="13">
      <c r="K283" s="64"/>
    </row>
    <row r="284" spans="11:11" ht="13">
      <c r="K284" s="64"/>
    </row>
    <row r="285" spans="11:11" ht="13">
      <c r="K285" s="64"/>
    </row>
    <row r="286" spans="11:11" ht="13">
      <c r="K286" s="64"/>
    </row>
    <row r="287" spans="11:11" ht="13">
      <c r="K287" s="64"/>
    </row>
    <row r="288" spans="11:11" ht="13">
      <c r="K288" s="64"/>
    </row>
    <row r="289" spans="11:11" ht="13">
      <c r="K289" s="64"/>
    </row>
    <row r="290" spans="11:11" ht="13">
      <c r="K290" s="64"/>
    </row>
    <row r="291" spans="11:11" ht="13">
      <c r="K291" s="64"/>
    </row>
    <row r="292" spans="11:11" ht="13">
      <c r="K292" s="64"/>
    </row>
    <row r="293" spans="11:11" ht="13">
      <c r="K293" s="64"/>
    </row>
    <row r="294" spans="11:11" ht="13">
      <c r="K294" s="64"/>
    </row>
    <row r="295" spans="11:11" ht="13">
      <c r="K295" s="64"/>
    </row>
    <row r="296" spans="11:11" ht="13">
      <c r="K296" s="64"/>
    </row>
    <row r="297" spans="11:11" ht="13">
      <c r="K297" s="64"/>
    </row>
    <row r="298" spans="11:11" ht="13">
      <c r="K298" s="64"/>
    </row>
    <row r="299" spans="11:11" ht="13">
      <c r="K299" s="64"/>
    </row>
    <row r="300" spans="11:11" ht="13">
      <c r="K300" s="64"/>
    </row>
    <row r="301" spans="11:11" ht="13">
      <c r="K301" s="64"/>
    </row>
    <row r="302" spans="11:11" ht="13">
      <c r="K302" s="64"/>
    </row>
    <row r="303" spans="11:11" ht="13">
      <c r="K303" s="64"/>
    </row>
    <row r="304" spans="11:11" ht="13">
      <c r="K304" s="64"/>
    </row>
    <row r="305" spans="11:11" ht="13">
      <c r="K305" s="64"/>
    </row>
    <row r="306" spans="11:11" ht="13">
      <c r="K306" s="64"/>
    </row>
    <row r="307" spans="11:11" ht="13">
      <c r="K307" s="64"/>
    </row>
    <row r="308" spans="11:11" ht="13">
      <c r="K308" s="64"/>
    </row>
    <row r="309" spans="11:11" ht="13">
      <c r="K309" s="64"/>
    </row>
    <row r="310" spans="11:11" ht="13">
      <c r="K310" s="64"/>
    </row>
    <row r="311" spans="11:11" ht="13">
      <c r="K311" s="64"/>
    </row>
    <row r="312" spans="11:11" ht="13">
      <c r="K312" s="64"/>
    </row>
    <row r="313" spans="11:11" ht="13">
      <c r="K313" s="64"/>
    </row>
    <row r="314" spans="11:11" ht="13">
      <c r="K314" s="64"/>
    </row>
    <row r="315" spans="11:11" ht="13">
      <c r="K315" s="64"/>
    </row>
    <row r="316" spans="11:11" ht="13">
      <c r="K316" s="64"/>
    </row>
    <row r="317" spans="11:11" ht="13">
      <c r="K317" s="64"/>
    </row>
    <row r="318" spans="11:11" ht="13">
      <c r="K318" s="64"/>
    </row>
    <row r="319" spans="11:11" ht="13">
      <c r="K319" s="64"/>
    </row>
    <row r="320" spans="11:11" ht="13">
      <c r="K320" s="64"/>
    </row>
    <row r="321" spans="11:11" ht="13">
      <c r="K321" s="64"/>
    </row>
    <row r="322" spans="11:11" ht="13">
      <c r="K322" s="64"/>
    </row>
    <row r="323" spans="11:11" ht="13">
      <c r="K323" s="64"/>
    </row>
    <row r="324" spans="11:11" ht="13">
      <c r="K324" s="64"/>
    </row>
    <row r="325" spans="11:11" ht="13">
      <c r="K325" s="64"/>
    </row>
    <row r="326" spans="11:11" ht="13">
      <c r="K326" s="64"/>
    </row>
    <row r="327" spans="11:11" ht="13">
      <c r="K327" s="64"/>
    </row>
    <row r="328" spans="11:11" ht="13">
      <c r="K328" s="64"/>
    </row>
    <row r="329" spans="11:11" ht="13">
      <c r="K329" s="64"/>
    </row>
    <row r="330" spans="11:11" ht="13">
      <c r="K330" s="64"/>
    </row>
    <row r="331" spans="11:11" ht="13">
      <c r="K331" s="64"/>
    </row>
    <row r="332" spans="11:11" ht="13">
      <c r="K332" s="64"/>
    </row>
    <row r="333" spans="11:11" ht="13">
      <c r="K333" s="64"/>
    </row>
    <row r="334" spans="11:11" ht="13">
      <c r="K334" s="64"/>
    </row>
    <row r="335" spans="11:11" ht="13">
      <c r="K335" s="64"/>
    </row>
    <row r="336" spans="11:11" ht="13">
      <c r="K336" s="64"/>
    </row>
    <row r="337" spans="11:11" ht="13">
      <c r="K337" s="64"/>
    </row>
    <row r="338" spans="11:11" ht="13">
      <c r="K338" s="64"/>
    </row>
    <row r="339" spans="11:11" ht="13">
      <c r="K339" s="64"/>
    </row>
    <row r="340" spans="11:11" ht="13">
      <c r="K340" s="64"/>
    </row>
    <row r="341" spans="11:11" ht="13">
      <c r="K341" s="64"/>
    </row>
    <row r="342" spans="11:11" ht="13">
      <c r="K342" s="64"/>
    </row>
    <row r="343" spans="11:11" ht="13">
      <c r="K343" s="64"/>
    </row>
    <row r="344" spans="11:11" ht="13">
      <c r="K344" s="64"/>
    </row>
    <row r="345" spans="11:11" ht="13">
      <c r="K345" s="64"/>
    </row>
    <row r="346" spans="11:11" ht="13">
      <c r="K346" s="64"/>
    </row>
    <row r="347" spans="11:11" ht="13">
      <c r="K347" s="64"/>
    </row>
    <row r="348" spans="11:11" ht="13">
      <c r="K348" s="64"/>
    </row>
    <row r="349" spans="11:11" ht="13">
      <c r="K349" s="64"/>
    </row>
    <row r="350" spans="11:11" ht="13">
      <c r="K350" s="64"/>
    </row>
    <row r="351" spans="11:11" ht="13">
      <c r="K351" s="64"/>
    </row>
    <row r="352" spans="11:11" ht="13">
      <c r="K352" s="64"/>
    </row>
    <row r="353" spans="11:11" ht="13">
      <c r="K353" s="64"/>
    </row>
    <row r="354" spans="11:11" ht="13">
      <c r="K354" s="64"/>
    </row>
    <row r="355" spans="11:11" ht="13">
      <c r="K355" s="64"/>
    </row>
    <row r="356" spans="11:11" ht="13">
      <c r="K356" s="64"/>
    </row>
    <row r="357" spans="11:11" ht="13">
      <c r="K357" s="64"/>
    </row>
    <row r="358" spans="11:11" ht="13">
      <c r="K358" s="64"/>
    </row>
    <row r="359" spans="11:11" ht="13">
      <c r="K359" s="64"/>
    </row>
    <row r="360" spans="11:11" ht="13">
      <c r="K360" s="64"/>
    </row>
    <row r="361" spans="11:11" ht="13">
      <c r="K361" s="64"/>
    </row>
    <row r="362" spans="11:11" ht="13">
      <c r="K362" s="64"/>
    </row>
    <row r="363" spans="11:11" ht="13">
      <c r="K363" s="64"/>
    </row>
    <row r="364" spans="11:11" ht="13">
      <c r="K364" s="64"/>
    </row>
    <row r="365" spans="11:11" ht="13">
      <c r="K365" s="64"/>
    </row>
    <row r="366" spans="11:11" ht="13">
      <c r="K366" s="64"/>
    </row>
    <row r="367" spans="11:11" ht="13">
      <c r="K367" s="64"/>
    </row>
    <row r="368" spans="11:11" ht="13">
      <c r="K368" s="64"/>
    </row>
    <row r="369" spans="11:11" ht="13">
      <c r="K369" s="64"/>
    </row>
    <row r="370" spans="11:11" ht="13">
      <c r="K370" s="64"/>
    </row>
    <row r="371" spans="11:11" ht="13">
      <c r="K371" s="64"/>
    </row>
    <row r="372" spans="11:11" ht="13">
      <c r="K372" s="64"/>
    </row>
    <row r="373" spans="11:11" ht="13">
      <c r="K373" s="64"/>
    </row>
    <row r="374" spans="11:11" ht="13">
      <c r="K374" s="64"/>
    </row>
    <row r="375" spans="11:11" ht="13">
      <c r="K375" s="64"/>
    </row>
    <row r="376" spans="11:11" ht="13">
      <c r="K376" s="64"/>
    </row>
    <row r="377" spans="11:11" ht="13">
      <c r="K377" s="64"/>
    </row>
    <row r="378" spans="11:11" ht="13">
      <c r="K378" s="64"/>
    </row>
    <row r="379" spans="11:11" ht="13">
      <c r="K379" s="64"/>
    </row>
    <row r="380" spans="11:11" ht="13">
      <c r="K380" s="64"/>
    </row>
    <row r="381" spans="11:11" ht="13">
      <c r="K381" s="64"/>
    </row>
    <row r="382" spans="11:11" ht="13">
      <c r="K382" s="64"/>
    </row>
    <row r="383" spans="11:11" ht="13">
      <c r="K383" s="64"/>
    </row>
    <row r="384" spans="11:11" ht="13">
      <c r="K384" s="64"/>
    </row>
    <row r="385" spans="11:11" ht="13">
      <c r="K385" s="64"/>
    </row>
    <row r="386" spans="11:11" ht="13">
      <c r="K386" s="64"/>
    </row>
    <row r="387" spans="11:11" ht="13">
      <c r="K387" s="64"/>
    </row>
    <row r="388" spans="11:11" ht="13">
      <c r="K388" s="64"/>
    </row>
    <row r="389" spans="11:11" ht="13">
      <c r="K389" s="64"/>
    </row>
    <row r="390" spans="11:11" ht="13">
      <c r="K390" s="64"/>
    </row>
    <row r="391" spans="11:11" ht="13">
      <c r="K391" s="64"/>
    </row>
    <row r="392" spans="11:11" ht="13">
      <c r="K392" s="64"/>
    </row>
    <row r="393" spans="11:11" ht="13">
      <c r="K393" s="64"/>
    </row>
    <row r="394" spans="11:11" ht="13">
      <c r="K394" s="64"/>
    </row>
    <row r="395" spans="11:11" ht="13">
      <c r="K395" s="64"/>
    </row>
    <row r="396" spans="11:11" ht="13">
      <c r="K396" s="64"/>
    </row>
    <row r="397" spans="11:11" ht="13">
      <c r="K397" s="64"/>
    </row>
    <row r="398" spans="11:11" ht="13">
      <c r="K398" s="64"/>
    </row>
    <row r="399" spans="11:11" ht="13">
      <c r="K399" s="64"/>
    </row>
    <row r="400" spans="11:11" ht="13">
      <c r="K400" s="64"/>
    </row>
    <row r="401" spans="11:11" ht="13">
      <c r="K401" s="64"/>
    </row>
    <row r="402" spans="11:11" ht="13">
      <c r="K402" s="64"/>
    </row>
    <row r="403" spans="11:11" ht="13">
      <c r="K403" s="64"/>
    </row>
    <row r="404" spans="11:11" ht="13">
      <c r="K404" s="64"/>
    </row>
    <row r="405" spans="11:11" ht="13">
      <c r="K405" s="64"/>
    </row>
    <row r="406" spans="11:11" ht="13">
      <c r="K406" s="64"/>
    </row>
    <row r="407" spans="11:11" ht="13">
      <c r="K407" s="64"/>
    </row>
    <row r="408" spans="11:11" ht="13">
      <c r="K408" s="64"/>
    </row>
    <row r="409" spans="11:11" ht="13">
      <c r="K409" s="64"/>
    </row>
    <row r="410" spans="11:11" ht="13">
      <c r="K410" s="64"/>
    </row>
    <row r="411" spans="11:11" ht="13">
      <c r="K411" s="64"/>
    </row>
    <row r="412" spans="11:11" ht="13">
      <c r="K412" s="64"/>
    </row>
    <row r="413" spans="11:11" ht="13">
      <c r="K413" s="64"/>
    </row>
    <row r="414" spans="11:11" ht="13">
      <c r="K414" s="64"/>
    </row>
    <row r="415" spans="11:11" ht="13">
      <c r="K415" s="64"/>
    </row>
    <row r="416" spans="11:11" ht="13">
      <c r="K416" s="64"/>
    </row>
    <row r="417" spans="11:11" ht="13">
      <c r="K417" s="64"/>
    </row>
    <row r="418" spans="11:11" ht="13">
      <c r="K418" s="64"/>
    </row>
    <row r="419" spans="11:11" ht="13">
      <c r="K419" s="64"/>
    </row>
    <row r="420" spans="11:11" ht="13">
      <c r="K420" s="64"/>
    </row>
    <row r="421" spans="11:11" ht="13">
      <c r="K421" s="64"/>
    </row>
    <row r="422" spans="11:11" ht="13">
      <c r="K422" s="64"/>
    </row>
    <row r="423" spans="11:11" ht="13">
      <c r="K423" s="64"/>
    </row>
    <row r="424" spans="11:11" ht="13">
      <c r="K424" s="64"/>
    </row>
    <row r="425" spans="11:11" ht="13">
      <c r="K425" s="64"/>
    </row>
    <row r="426" spans="11:11" ht="13">
      <c r="K426" s="64"/>
    </row>
    <row r="427" spans="11:11" ht="13">
      <c r="K427" s="64"/>
    </row>
    <row r="428" spans="11:11" ht="13">
      <c r="K428" s="64"/>
    </row>
    <row r="429" spans="11:11" ht="13">
      <c r="K429" s="64"/>
    </row>
    <row r="430" spans="11:11" ht="13">
      <c r="K430" s="64"/>
    </row>
    <row r="431" spans="11:11" ht="13">
      <c r="K431" s="64"/>
    </row>
    <row r="432" spans="11:11" ht="13">
      <c r="K432" s="64"/>
    </row>
    <row r="433" spans="11:11" ht="13">
      <c r="K433" s="64"/>
    </row>
    <row r="434" spans="11:11" ht="13">
      <c r="K434" s="64"/>
    </row>
    <row r="435" spans="11:11" ht="13">
      <c r="K435" s="64"/>
    </row>
    <row r="436" spans="11:11" ht="13">
      <c r="K436" s="64"/>
    </row>
    <row r="437" spans="11:11" ht="13">
      <c r="K437" s="64"/>
    </row>
    <row r="438" spans="11:11" ht="13">
      <c r="K438" s="64"/>
    </row>
    <row r="439" spans="11:11" ht="13">
      <c r="K439" s="64"/>
    </row>
    <row r="440" spans="11:11" ht="13">
      <c r="K440" s="64"/>
    </row>
    <row r="441" spans="11:11" ht="13">
      <c r="K441" s="64"/>
    </row>
    <row r="442" spans="11:11" ht="13">
      <c r="K442" s="64"/>
    </row>
    <row r="443" spans="11:11" ht="13">
      <c r="K443" s="64"/>
    </row>
    <row r="444" spans="11:11" ht="13">
      <c r="K444" s="64"/>
    </row>
    <row r="445" spans="11:11" ht="13">
      <c r="K445" s="64"/>
    </row>
    <row r="446" spans="11:11" ht="13">
      <c r="K446" s="64"/>
    </row>
    <row r="447" spans="11:11" ht="13">
      <c r="K447" s="64"/>
    </row>
    <row r="448" spans="11:11" ht="13">
      <c r="K448" s="64"/>
    </row>
    <row r="449" spans="11:11" ht="13">
      <c r="K449" s="64"/>
    </row>
    <row r="450" spans="11:11" ht="13">
      <c r="K450" s="64"/>
    </row>
    <row r="451" spans="11:11" ht="13">
      <c r="K451" s="64"/>
    </row>
    <row r="452" spans="11:11" ht="13">
      <c r="K452" s="64"/>
    </row>
    <row r="453" spans="11:11" ht="13">
      <c r="K453" s="64"/>
    </row>
    <row r="454" spans="11:11" ht="13">
      <c r="K454" s="64"/>
    </row>
    <row r="455" spans="11:11" ht="13">
      <c r="K455" s="64"/>
    </row>
    <row r="456" spans="11:11" ht="13">
      <c r="K456" s="64"/>
    </row>
    <row r="457" spans="11:11" ht="13">
      <c r="K457" s="64"/>
    </row>
    <row r="458" spans="11:11" ht="13">
      <c r="K458" s="64"/>
    </row>
    <row r="459" spans="11:11" ht="13">
      <c r="K459" s="64"/>
    </row>
    <row r="460" spans="11:11" ht="13">
      <c r="K460" s="64"/>
    </row>
    <row r="461" spans="11:11" ht="13">
      <c r="K461" s="64"/>
    </row>
    <row r="462" spans="11:11" ht="13">
      <c r="K462" s="64"/>
    </row>
    <row r="463" spans="11:11" ht="13">
      <c r="K463" s="64"/>
    </row>
    <row r="464" spans="11:11" ht="13">
      <c r="K464" s="64"/>
    </row>
    <row r="465" spans="11:11" ht="13">
      <c r="K465" s="64"/>
    </row>
    <row r="466" spans="11:11" ht="13">
      <c r="K466" s="64"/>
    </row>
    <row r="467" spans="11:11" ht="13">
      <c r="K467" s="64"/>
    </row>
    <row r="468" spans="11:11" ht="13">
      <c r="K468" s="64"/>
    </row>
    <row r="469" spans="11:11" ht="13">
      <c r="K469" s="64"/>
    </row>
    <row r="470" spans="11:11" ht="13">
      <c r="K470" s="64"/>
    </row>
    <row r="471" spans="11:11" ht="13">
      <c r="K471" s="64"/>
    </row>
    <row r="472" spans="11:11" ht="13">
      <c r="K472" s="64"/>
    </row>
    <row r="473" spans="11:11" ht="13">
      <c r="K473" s="64"/>
    </row>
    <row r="474" spans="11:11" ht="13">
      <c r="K474" s="64"/>
    </row>
    <row r="475" spans="11:11" ht="13">
      <c r="K475" s="64"/>
    </row>
    <row r="476" spans="11:11" ht="13">
      <c r="K476" s="64"/>
    </row>
    <row r="477" spans="11:11" ht="13">
      <c r="K477" s="64"/>
    </row>
    <row r="478" spans="11:11" ht="13">
      <c r="K478" s="64"/>
    </row>
    <row r="479" spans="11:11" ht="13">
      <c r="K479" s="64"/>
    </row>
    <row r="480" spans="11:11" ht="13">
      <c r="K480" s="64"/>
    </row>
    <row r="481" spans="11:11" ht="13">
      <c r="K481" s="64"/>
    </row>
    <row r="482" spans="11:11" ht="13">
      <c r="K482" s="64"/>
    </row>
    <row r="483" spans="11:11" ht="13">
      <c r="K483" s="64"/>
    </row>
    <row r="484" spans="11:11" ht="13">
      <c r="K484" s="64"/>
    </row>
    <row r="485" spans="11:11" ht="13">
      <c r="K485" s="64"/>
    </row>
    <row r="486" spans="11:11" ht="13">
      <c r="K486" s="64"/>
    </row>
    <row r="487" spans="11:11" ht="13">
      <c r="K487" s="64"/>
    </row>
    <row r="488" spans="11:11" ht="13">
      <c r="K488" s="64"/>
    </row>
    <row r="489" spans="11:11" ht="13">
      <c r="K489" s="64"/>
    </row>
    <row r="490" spans="11:11" ht="13">
      <c r="K490" s="64"/>
    </row>
    <row r="491" spans="11:11" ht="13">
      <c r="K491" s="64"/>
    </row>
    <row r="492" spans="11:11" ht="13">
      <c r="K492" s="64"/>
    </row>
    <row r="493" spans="11:11" ht="13">
      <c r="K493" s="64"/>
    </row>
    <row r="494" spans="11:11" ht="13">
      <c r="K494" s="64"/>
    </row>
    <row r="495" spans="11:11" ht="13">
      <c r="K495" s="64"/>
    </row>
    <row r="496" spans="11:11" ht="13">
      <c r="K496" s="64"/>
    </row>
    <row r="497" spans="11:11" ht="13">
      <c r="K497" s="64"/>
    </row>
    <row r="498" spans="11:11" ht="13">
      <c r="K498" s="64"/>
    </row>
    <row r="499" spans="11:11" ht="13">
      <c r="K499" s="64"/>
    </row>
    <row r="500" spans="11:11" ht="13">
      <c r="K500" s="64"/>
    </row>
    <row r="501" spans="11:11" ht="13">
      <c r="K501" s="64"/>
    </row>
    <row r="502" spans="11:11" ht="13">
      <c r="K502" s="64"/>
    </row>
    <row r="503" spans="11:11" ht="13">
      <c r="K503" s="64"/>
    </row>
    <row r="504" spans="11:11" ht="13">
      <c r="K504" s="64"/>
    </row>
    <row r="505" spans="11:11" ht="13">
      <c r="K505" s="64"/>
    </row>
    <row r="506" spans="11:11" ht="13">
      <c r="K506" s="64"/>
    </row>
    <row r="507" spans="11:11" ht="13">
      <c r="K507" s="64"/>
    </row>
    <row r="508" spans="11:11" ht="13">
      <c r="K508" s="64"/>
    </row>
    <row r="509" spans="11:11" ht="13">
      <c r="K509" s="64"/>
    </row>
    <row r="510" spans="11:11" ht="13">
      <c r="K510" s="64"/>
    </row>
    <row r="511" spans="11:11" ht="13">
      <c r="K511" s="64"/>
    </row>
    <row r="512" spans="11:11" ht="13">
      <c r="K512" s="64"/>
    </row>
    <row r="513" spans="11:11" ht="13">
      <c r="K513" s="64"/>
    </row>
    <row r="514" spans="11:11" ht="13">
      <c r="K514" s="64"/>
    </row>
    <row r="515" spans="11:11" ht="13">
      <c r="K515" s="64"/>
    </row>
    <row r="516" spans="11:11" ht="13">
      <c r="K516" s="64"/>
    </row>
    <row r="517" spans="11:11" ht="13">
      <c r="K517" s="64"/>
    </row>
    <row r="518" spans="11:11" ht="13">
      <c r="K518" s="64"/>
    </row>
    <row r="519" spans="11:11" ht="13">
      <c r="K519" s="64"/>
    </row>
    <row r="520" spans="11:11" ht="13">
      <c r="K520" s="64"/>
    </row>
    <row r="521" spans="11:11" ht="13">
      <c r="K521" s="64"/>
    </row>
    <row r="522" spans="11:11" ht="13">
      <c r="K522" s="64"/>
    </row>
    <row r="523" spans="11:11" ht="13">
      <c r="K523" s="64"/>
    </row>
    <row r="524" spans="11:11" ht="13">
      <c r="K524" s="64"/>
    </row>
    <row r="525" spans="11:11" ht="13">
      <c r="K525" s="64"/>
    </row>
    <row r="526" spans="11:11" ht="13">
      <c r="K526" s="64"/>
    </row>
    <row r="527" spans="11:11" ht="13">
      <c r="K527" s="64"/>
    </row>
    <row r="528" spans="11:11" ht="13">
      <c r="K528" s="64"/>
    </row>
    <row r="529" spans="11:11" ht="13">
      <c r="K529" s="64"/>
    </row>
    <row r="530" spans="11:11" ht="13">
      <c r="K530" s="64"/>
    </row>
    <row r="531" spans="11:11" ht="13">
      <c r="K531" s="64"/>
    </row>
    <row r="532" spans="11:11" ht="13">
      <c r="K532" s="64"/>
    </row>
    <row r="533" spans="11:11" ht="13">
      <c r="K533" s="64"/>
    </row>
    <row r="534" spans="11:11" ht="13">
      <c r="K534" s="64"/>
    </row>
    <row r="535" spans="11:11" ht="13">
      <c r="K535" s="64"/>
    </row>
    <row r="536" spans="11:11" ht="13">
      <c r="K536" s="64"/>
    </row>
    <row r="537" spans="11:11" ht="13">
      <c r="K537" s="64"/>
    </row>
    <row r="538" spans="11:11" ht="13">
      <c r="K538" s="64"/>
    </row>
    <row r="539" spans="11:11" ht="13">
      <c r="K539" s="64"/>
    </row>
    <row r="540" spans="11:11" ht="13">
      <c r="K540" s="64"/>
    </row>
    <row r="541" spans="11:11" ht="13">
      <c r="K541" s="64"/>
    </row>
    <row r="542" spans="11:11" ht="13">
      <c r="K542" s="64"/>
    </row>
    <row r="543" spans="11:11" ht="13">
      <c r="K543" s="64"/>
    </row>
    <row r="544" spans="11:11" ht="13">
      <c r="K544" s="64"/>
    </row>
    <row r="545" spans="11:11" ht="13">
      <c r="K545" s="64"/>
    </row>
    <row r="546" spans="11:11" ht="13">
      <c r="K546" s="64"/>
    </row>
    <row r="547" spans="11:11" ht="13">
      <c r="K547" s="64"/>
    </row>
    <row r="548" spans="11:11" ht="13">
      <c r="K548" s="64"/>
    </row>
    <row r="549" spans="11:11" ht="13">
      <c r="K549" s="64"/>
    </row>
    <row r="550" spans="11:11" ht="13">
      <c r="K550" s="64"/>
    </row>
    <row r="551" spans="11:11" ht="13">
      <c r="K551" s="64"/>
    </row>
    <row r="552" spans="11:11" ht="13">
      <c r="K552" s="64"/>
    </row>
    <row r="553" spans="11:11" ht="13">
      <c r="K553" s="64"/>
    </row>
    <row r="554" spans="11:11" ht="13">
      <c r="K554" s="64"/>
    </row>
    <row r="555" spans="11:11" ht="13">
      <c r="K555" s="64"/>
    </row>
    <row r="556" spans="11:11" ht="13">
      <c r="K556" s="64"/>
    </row>
    <row r="557" spans="11:11" ht="13">
      <c r="K557" s="64"/>
    </row>
    <row r="558" spans="11:11" ht="13">
      <c r="K558" s="64"/>
    </row>
    <row r="559" spans="11:11" ht="13">
      <c r="K559" s="64"/>
    </row>
    <row r="560" spans="11:11" ht="13">
      <c r="K560" s="64"/>
    </row>
    <row r="561" spans="11:11" ht="13">
      <c r="K561" s="64"/>
    </row>
    <row r="562" spans="11:11" ht="13">
      <c r="K562" s="64"/>
    </row>
    <row r="563" spans="11:11" ht="13">
      <c r="K563" s="64"/>
    </row>
    <row r="564" spans="11:11" ht="13">
      <c r="K564" s="64"/>
    </row>
    <row r="565" spans="11:11" ht="13">
      <c r="K565" s="64"/>
    </row>
    <row r="566" spans="11:11" ht="13">
      <c r="K566" s="64"/>
    </row>
    <row r="567" spans="11:11" ht="13">
      <c r="K567" s="64"/>
    </row>
    <row r="568" spans="11:11" ht="13">
      <c r="K568" s="64"/>
    </row>
    <row r="569" spans="11:11" ht="13">
      <c r="K569" s="64"/>
    </row>
    <row r="570" spans="11:11" ht="13">
      <c r="K570" s="64"/>
    </row>
    <row r="571" spans="11:11" ht="13">
      <c r="K571" s="64"/>
    </row>
    <row r="572" spans="11:11" ht="13">
      <c r="K572" s="64"/>
    </row>
    <row r="573" spans="11:11" ht="13">
      <c r="K573" s="64"/>
    </row>
    <row r="574" spans="11:11" ht="13">
      <c r="K574" s="64"/>
    </row>
    <row r="575" spans="11:11" ht="13">
      <c r="K575" s="64"/>
    </row>
    <row r="576" spans="11:11" ht="13">
      <c r="K576" s="64"/>
    </row>
    <row r="577" spans="11:11" ht="13">
      <c r="K577" s="64"/>
    </row>
    <row r="578" spans="11:11" ht="13">
      <c r="K578" s="64"/>
    </row>
    <row r="579" spans="11:11" ht="13">
      <c r="K579" s="64"/>
    </row>
    <row r="580" spans="11:11" ht="13">
      <c r="K580" s="64"/>
    </row>
    <row r="581" spans="11:11" ht="13">
      <c r="K581" s="64"/>
    </row>
    <row r="582" spans="11:11" ht="13">
      <c r="K582" s="64"/>
    </row>
    <row r="583" spans="11:11" ht="13">
      <c r="K583" s="64"/>
    </row>
    <row r="584" spans="11:11" ht="13">
      <c r="K584" s="64"/>
    </row>
    <row r="585" spans="11:11" ht="13">
      <c r="K585" s="64"/>
    </row>
    <row r="586" spans="11:11" ht="13">
      <c r="K586" s="64"/>
    </row>
    <row r="587" spans="11:11" ht="13">
      <c r="K587" s="64"/>
    </row>
    <row r="588" spans="11:11" ht="13">
      <c r="K588" s="64"/>
    </row>
    <row r="589" spans="11:11" ht="13">
      <c r="K589" s="64"/>
    </row>
    <row r="590" spans="11:11" ht="13">
      <c r="K590" s="64"/>
    </row>
    <row r="591" spans="11:11" ht="13">
      <c r="K591" s="64"/>
    </row>
    <row r="592" spans="11:11" ht="13">
      <c r="K592" s="64"/>
    </row>
    <row r="593" spans="11:11" ht="13">
      <c r="K593" s="64"/>
    </row>
    <row r="594" spans="11:11" ht="13">
      <c r="K594" s="64"/>
    </row>
    <row r="595" spans="11:11" ht="13">
      <c r="K595" s="64"/>
    </row>
    <row r="596" spans="11:11" ht="13">
      <c r="K596" s="64"/>
    </row>
    <row r="597" spans="11:11" ht="13">
      <c r="K597" s="64"/>
    </row>
    <row r="598" spans="11:11" ht="13">
      <c r="K598" s="64"/>
    </row>
    <row r="599" spans="11:11" ht="13">
      <c r="K599" s="64"/>
    </row>
    <row r="600" spans="11:11" ht="13">
      <c r="K600" s="64"/>
    </row>
    <row r="601" spans="11:11" ht="13">
      <c r="K601" s="64"/>
    </row>
    <row r="602" spans="11:11" ht="13">
      <c r="K602" s="64"/>
    </row>
    <row r="603" spans="11:11" ht="13">
      <c r="K603" s="64"/>
    </row>
    <row r="604" spans="11:11" ht="13">
      <c r="K604" s="64"/>
    </row>
    <row r="605" spans="11:11" ht="13">
      <c r="K605" s="64"/>
    </row>
    <row r="606" spans="11:11" ht="13">
      <c r="K606" s="64"/>
    </row>
    <row r="607" spans="11:11" ht="13">
      <c r="K607" s="64"/>
    </row>
    <row r="608" spans="11:11" ht="13">
      <c r="K608" s="64"/>
    </row>
    <row r="609" spans="11:11" ht="13">
      <c r="K609" s="64"/>
    </row>
    <row r="610" spans="11:11" ht="13">
      <c r="K610" s="64"/>
    </row>
    <row r="611" spans="11:11" ht="13">
      <c r="K611" s="64"/>
    </row>
    <row r="612" spans="11:11" ht="13">
      <c r="K612" s="64"/>
    </row>
    <row r="613" spans="11:11" ht="13">
      <c r="K613" s="64"/>
    </row>
    <row r="614" spans="11:11" ht="13">
      <c r="K614" s="64"/>
    </row>
    <row r="615" spans="11:11" ht="13">
      <c r="K615" s="64"/>
    </row>
    <row r="616" spans="11:11" ht="13">
      <c r="K616" s="64"/>
    </row>
    <row r="617" spans="11:11" ht="13">
      <c r="K617" s="64"/>
    </row>
    <row r="618" spans="11:11" ht="13">
      <c r="K618" s="64"/>
    </row>
    <row r="619" spans="11:11" ht="13">
      <c r="K619" s="64"/>
    </row>
    <row r="620" spans="11:11" ht="13">
      <c r="K620" s="64"/>
    </row>
    <row r="621" spans="11:11" ht="13">
      <c r="K621" s="64"/>
    </row>
    <row r="622" spans="11:11" ht="13">
      <c r="K622" s="64"/>
    </row>
    <row r="623" spans="11:11" ht="13">
      <c r="K623" s="64"/>
    </row>
    <row r="624" spans="11:11" ht="13">
      <c r="K624" s="64"/>
    </row>
    <row r="625" spans="11:11" ht="13">
      <c r="K625" s="64"/>
    </row>
    <row r="626" spans="11:11" ht="13">
      <c r="K626" s="64"/>
    </row>
    <row r="627" spans="11:11" ht="13">
      <c r="K627" s="64"/>
    </row>
    <row r="628" spans="11:11" ht="13">
      <c r="K628" s="64"/>
    </row>
    <row r="629" spans="11:11" ht="13">
      <c r="K629" s="64"/>
    </row>
    <row r="630" spans="11:11" ht="13">
      <c r="K630" s="64"/>
    </row>
    <row r="631" spans="11:11" ht="13">
      <c r="K631" s="64"/>
    </row>
    <row r="632" spans="11:11" ht="13">
      <c r="K632" s="64"/>
    </row>
    <row r="633" spans="11:11" ht="13">
      <c r="K633" s="64"/>
    </row>
    <row r="634" spans="11:11" ht="13">
      <c r="K634" s="64"/>
    </row>
    <row r="635" spans="11:11" ht="13">
      <c r="K635" s="64"/>
    </row>
    <row r="636" spans="11:11" ht="13">
      <c r="K636" s="64"/>
    </row>
    <row r="637" spans="11:11" ht="13">
      <c r="K637" s="64"/>
    </row>
    <row r="638" spans="11:11" ht="13">
      <c r="K638" s="64"/>
    </row>
    <row r="639" spans="11:11" ht="13">
      <c r="K639" s="64"/>
    </row>
    <row r="640" spans="11:11" ht="13">
      <c r="K640" s="64"/>
    </row>
    <row r="641" spans="11:11" ht="13">
      <c r="K641" s="64"/>
    </row>
    <row r="642" spans="11:11" ht="13">
      <c r="K642" s="64"/>
    </row>
    <row r="643" spans="11:11" ht="13">
      <c r="K643" s="64"/>
    </row>
    <row r="644" spans="11:11" ht="13">
      <c r="K644" s="64"/>
    </row>
    <row r="645" spans="11:11" ht="13">
      <c r="K645" s="64"/>
    </row>
    <row r="646" spans="11:11" ht="13">
      <c r="K646" s="64"/>
    </row>
    <row r="647" spans="11:11" ht="13">
      <c r="K647" s="64"/>
    </row>
    <row r="648" spans="11:11" ht="13">
      <c r="K648" s="64"/>
    </row>
    <row r="649" spans="11:11" ht="13">
      <c r="K649" s="64"/>
    </row>
    <row r="650" spans="11:11" ht="13">
      <c r="K650" s="64"/>
    </row>
    <row r="651" spans="11:11" ht="13">
      <c r="K651" s="64"/>
    </row>
    <row r="652" spans="11:11" ht="13">
      <c r="K652" s="64"/>
    </row>
    <row r="653" spans="11:11" ht="13">
      <c r="K653" s="64"/>
    </row>
    <row r="654" spans="11:11" ht="13">
      <c r="K654" s="64"/>
    </row>
    <row r="655" spans="11:11" ht="13">
      <c r="K655" s="64"/>
    </row>
    <row r="656" spans="11:11" ht="13">
      <c r="K656" s="64"/>
    </row>
    <row r="657" spans="11:11" ht="13">
      <c r="K657" s="64"/>
    </row>
    <row r="658" spans="11:11" ht="13">
      <c r="K658" s="64"/>
    </row>
    <row r="659" spans="11:11" ht="13">
      <c r="K659" s="64"/>
    </row>
    <row r="660" spans="11:11" ht="13">
      <c r="K660" s="64"/>
    </row>
    <row r="661" spans="11:11" ht="13">
      <c r="K661" s="64"/>
    </row>
    <row r="662" spans="11:11" ht="13">
      <c r="K662" s="64"/>
    </row>
    <row r="663" spans="11:11" ht="13">
      <c r="K663" s="64"/>
    </row>
    <row r="664" spans="11:11" ht="13">
      <c r="K664" s="64"/>
    </row>
    <row r="665" spans="11:11" ht="13">
      <c r="K665" s="64"/>
    </row>
    <row r="666" spans="11:11" ht="13">
      <c r="K666" s="64"/>
    </row>
    <row r="667" spans="11:11" ht="13">
      <c r="K667" s="64"/>
    </row>
    <row r="668" spans="11:11" ht="13">
      <c r="K668" s="64"/>
    </row>
    <row r="669" spans="11:11" ht="13">
      <c r="K669" s="64"/>
    </row>
    <row r="670" spans="11:11" ht="13">
      <c r="K670" s="64"/>
    </row>
    <row r="671" spans="11:11" ht="13">
      <c r="K671" s="64"/>
    </row>
    <row r="672" spans="11:11" ht="13">
      <c r="K672" s="64"/>
    </row>
    <row r="673" spans="11:11" ht="13">
      <c r="K673" s="64"/>
    </row>
    <row r="674" spans="11:11" ht="13">
      <c r="K674" s="64"/>
    </row>
    <row r="675" spans="11:11" ht="13">
      <c r="K675" s="64"/>
    </row>
    <row r="676" spans="11:11" ht="13">
      <c r="K676" s="64"/>
    </row>
    <row r="677" spans="11:11" ht="13">
      <c r="K677" s="64"/>
    </row>
    <row r="678" spans="11:11" ht="13">
      <c r="K678" s="64"/>
    </row>
    <row r="679" spans="11:11" ht="13">
      <c r="K679" s="64"/>
    </row>
    <row r="680" spans="11:11" ht="13">
      <c r="K680" s="64"/>
    </row>
    <row r="681" spans="11:11" ht="13">
      <c r="K681" s="64"/>
    </row>
    <row r="682" spans="11:11" ht="13">
      <c r="K682" s="64"/>
    </row>
    <row r="683" spans="11:11" ht="13">
      <c r="K683" s="64"/>
    </row>
    <row r="684" spans="11:11" ht="13">
      <c r="K684" s="64"/>
    </row>
    <row r="685" spans="11:11" ht="13">
      <c r="K685" s="64"/>
    </row>
    <row r="686" spans="11:11" ht="13">
      <c r="K686" s="64"/>
    </row>
    <row r="687" spans="11:11" ht="13">
      <c r="K687" s="64"/>
    </row>
    <row r="688" spans="11:11" ht="13">
      <c r="K688" s="64"/>
    </row>
    <row r="689" spans="11:11" ht="13">
      <c r="K689" s="64"/>
    </row>
    <row r="690" spans="11:11" ht="13">
      <c r="K690" s="64"/>
    </row>
    <row r="691" spans="11:11" ht="13">
      <c r="K691" s="64"/>
    </row>
    <row r="692" spans="11:11" ht="13">
      <c r="K692" s="64"/>
    </row>
    <row r="693" spans="11:11" ht="13">
      <c r="K693" s="64"/>
    </row>
    <row r="694" spans="11:11" ht="13">
      <c r="K694" s="64"/>
    </row>
    <row r="695" spans="11:11" ht="13">
      <c r="K695" s="64"/>
    </row>
    <row r="696" spans="11:11" ht="13">
      <c r="K696" s="64"/>
    </row>
    <row r="697" spans="11:11" ht="13">
      <c r="K697" s="64"/>
    </row>
    <row r="698" spans="11:11" ht="13">
      <c r="K698" s="64"/>
    </row>
    <row r="699" spans="11:11" ht="13">
      <c r="K699" s="64"/>
    </row>
    <row r="700" spans="11:11" ht="13">
      <c r="K700" s="64"/>
    </row>
    <row r="701" spans="11:11" ht="13">
      <c r="K701" s="64"/>
    </row>
    <row r="702" spans="11:11" ht="13">
      <c r="K702" s="64"/>
    </row>
    <row r="703" spans="11:11" ht="13">
      <c r="K703" s="64"/>
    </row>
    <row r="704" spans="11:11" ht="13">
      <c r="K704" s="64"/>
    </row>
    <row r="705" spans="11:11" ht="13">
      <c r="K705" s="64"/>
    </row>
    <row r="706" spans="11:11" ht="13">
      <c r="K706" s="64"/>
    </row>
    <row r="707" spans="11:11" ht="13">
      <c r="K707" s="64"/>
    </row>
    <row r="708" spans="11:11" ht="13">
      <c r="K708" s="64"/>
    </row>
    <row r="709" spans="11:11" ht="13">
      <c r="K709" s="64"/>
    </row>
    <row r="710" spans="11:11" ht="13">
      <c r="K710" s="64"/>
    </row>
    <row r="711" spans="11:11" ht="13">
      <c r="K711" s="64"/>
    </row>
    <row r="712" spans="11:11" ht="13">
      <c r="K712" s="64"/>
    </row>
    <row r="713" spans="11:11" ht="13">
      <c r="K713" s="64"/>
    </row>
    <row r="714" spans="11:11" ht="13">
      <c r="K714" s="64"/>
    </row>
    <row r="715" spans="11:11" ht="13">
      <c r="K715" s="64"/>
    </row>
    <row r="716" spans="11:11" ht="13">
      <c r="K716" s="64"/>
    </row>
    <row r="717" spans="11:11" ht="13">
      <c r="K717" s="64"/>
    </row>
    <row r="718" spans="11:11" ht="13">
      <c r="K718" s="64"/>
    </row>
    <row r="719" spans="11:11" ht="13">
      <c r="K719" s="64"/>
    </row>
    <row r="720" spans="11:11" ht="13">
      <c r="K720" s="64"/>
    </row>
    <row r="721" spans="11:11" ht="13">
      <c r="K721" s="64"/>
    </row>
    <row r="722" spans="11:11" ht="13">
      <c r="K722" s="64"/>
    </row>
    <row r="723" spans="11:11" ht="13">
      <c r="K723" s="64"/>
    </row>
    <row r="724" spans="11:11" ht="13">
      <c r="K724" s="64"/>
    </row>
    <row r="725" spans="11:11" ht="13">
      <c r="K725" s="64"/>
    </row>
    <row r="726" spans="11:11" ht="13">
      <c r="K726" s="64"/>
    </row>
    <row r="727" spans="11:11" ht="13">
      <c r="K727" s="64"/>
    </row>
    <row r="728" spans="11:11" ht="13">
      <c r="K728" s="64"/>
    </row>
    <row r="729" spans="11:11" ht="13">
      <c r="K729" s="64"/>
    </row>
    <row r="730" spans="11:11" ht="13">
      <c r="K730" s="64"/>
    </row>
    <row r="731" spans="11:11" ht="13">
      <c r="K731" s="64"/>
    </row>
    <row r="732" spans="11:11" ht="13">
      <c r="K732" s="64"/>
    </row>
    <row r="733" spans="11:11" ht="13">
      <c r="K733" s="64"/>
    </row>
    <row r="734" spans="11:11" ht="13">
      <c r="K734" s="64"/>
    </row>
    <row r="735" spans="11:11" ht="13">
      <c r="K735" s="64"/>
    </row>
    <row r="736" spans="11:11" ht="13">
      <c r="K736" s="64"/>
    </row>
    <row r="737" spans="11:11" ht="13">
      <c r="K737" s="64"/>
    </row>
    <row r="738" spans="11:11" ht="13">
      <c r="K738" s="64"/>
    </row>
    <row r="739" spans="11:11" ht="13">
      <c r="K739" s="64"/>
    </row>
    <row r="740" spans="11:11" ht="13">
      <c r="K740" s="64"/>
    </row>
    <row r="741" spans="11:11" ht="13">
      <c r="K741" s="64"/>
    </row>
    <row r="742" spans="11:11" ht="13">
      <c r="K742" s="64"/>
    </row>
    <row r="743" spans="11:11" ht="13">
      <c r="K743" s="64"/>
    </row>
    <row r="744" spans="11:11" ht="13">
      <c r="K744" s="64"/>
    </row>
    <row r="745" spans="11:11" ht="13">
      <c r="K745" s="64"/>
    </row>
    <row r="746" spans="11:11" ht="13">
      <c r="K746" s="64"/>
    </row>
    <row r="747" spans="11:11" ht="13">
      <c r="K747" s="64"/>
    </row>
    <row r="748" spans="11:11" ht="13">
      <c r="K748" s="64"/>
    </row>
    <row r="749" spans="11:11" ht="13">
      <c r="K749" s="64"/>
    </row>
    <row r="750" spans="11:11" ht="13">
      <c r="K750" s="64"/>
    </row>
    <row r="751" spans="11:11" ht="13">
      <c r="K751" s="64"/>
    </row>
    <row r="752" spans="11:11" ht="13">
      <c r="K752" s="64"/>
    </row>
    <row r="753" spans="11:11" ht="13">
      <c r="K753" s="64"/>
    </row>
    <row r="754" spans="11:11" ht="13">
      <c r="K754" s="64"/>
    </row>
    <row r="755" spans="11:11" ht="13">
      <c r="K755" s="64"/>
    </row>
    <row r="756" spans="11:11" ht="13">
      <c r="K756" s="64"/>
    </row>
    <row r="757" spans="11:11" ht="13">
      <c r="K757" s="64"/>
    </row>
    <row r="758" spans="11:11" ht="13">
      <c r="K758" s="64"/>
    </row>
    <row r="759" spans="11:11" ht="13">
      <c r="K759" s="64"/>
    </row>
    <row r="760" spans="11:11" ht="13">
      <c r="K760" s="64"/>
    </row>
    <row r="761" spans="11:11" ht="13">
      <c r="K761" s="64"/>
    </row>
    <row r="762" spans="11:11" ht="13">
      <c r="K762" s="64"/>
    </row>
    <row r="763" spans="11:11" ht="13">
      <c r="K763" s="64"/>
    </row>
    <row r="764" spans="11:11" ht="13">
      <c r="K764" s="64"/>
    </row>
    <row r="765" spans="11:11" ht="13">
      <c r="K765" s="64"/>
    </row>
    <row r="766" spans="11:11" ht="13">
      <c r="K766" s="64"/>
    </row>
    <row r="767" spans="11:11" ht="13">
      <c r="K767" s="64"/>
    </row>
    <row r="768" spans="11:11" ht="13">
      <c r="K768" s="64"/>
    </row>
    <row r="769" spans="11:11" ht="13">
      <c r="K769" s="64"/>
    </row>
    <row r="770" spans="11:11" ht="13">
      <c r="K770" s="64"/>
    </row>
    <row r="771" spans="11:11" ht="13">
      <c r="K771" s="64"/>
    </row>
    <row r="772" spans="11:11" ht="13">
      <c r="K772" s="64"/>
    </row>
    <row r="773" spans="11:11" ht="13">
      <c r="K773" s="64"/>
    </row>
    <row r="774" spans="11:11" ht="13">
      <c r="K774" s="64"/>
    </row>
    <row r="775" spans="11:11" ht="13">
      <c r="K775" s="64"/>
    </row>
    <row r="776" spans="11:11" ht="13">
      <c r="K776" s="64"/>
    </row>
    <row r="777" spans="11:11" ht="13">
      <c r="K777" s="64"/>
    </row>
    <row r="778" spans="11:11" ht="13">
      <c r="K778" s="64"/>
    </row>
    <row r="779" spans="11:11" ht="13">
      <c r="K779" s="64"/>
    </row>
    <row r="780" spans="11:11" ht="13">
      <c r="K780" s="64"/>
    </row>
    <row r="781" spans="11:11" ht="13">
      <c r="K781" s="64"/>
    </row>
    <row r="782" spans="11:11" ht="13">
      <c r="K782" s="64"/>
    </row>
    <row r="783" spans="11:11" ht="13">
      <c r="K783" s="64"/>
    </row>
    <row r="784" spans="11:11" ht="13">
      <c r="K784" s="64"/>
    </row>
    <row r="785" spans="11:11" ht="13">
      <c r="K785" s="64"/>
    </row>
    <row r="786" spans="11:11" ht="13">
      <c r="K786" s="64"/>
    </row>
    <row r="787" spans="11:11" ht="13">
      <c r="K787" s="64"/>
    </row>
    <row r="788" spans="11:11" ht="13">
      <c r="K788" s="64"/>
    </row>
    <row r="789" spans="11:11" ht="13">
      <c r="K789" s="64"/>
    </row>
    <row r="790" spans="11:11" ht="13">
      <c r="K790" s="64"/>
    </row>
    <row r="791" spans="11:11" ht="13">
      <c r="K791" s="64"/>
    </row>
    <row r="792" spans="11:11" ht="13">
      <c r="K792" s="64"/>
    </row>
    <row r="793" spans="11:11" ht="13">
      <c r="K793" s="64"/>
    </row>
    <row r="794" spans="11:11" ht="13">
      <c r="K794" s="64"/>
    </row>
    <row r="795" spans="11:11" ht="13">
      <c r="K795" s="64"/>
    </row>
    <row r="796" spans="11:11" ht="13">
      <c r="K796" s="64"/>
    </row>
    <row r="797" spans="11:11" ht="13">
      <c r="K797" s="64"/>
    </row>
    <row r="798" spans="11:11" ht="13">
      <c r="K798" s="64"/>
    </row>
    <row r="799" spans="11:11" ht="13">
      <c r="K799" s="64"/>
    </row>
    <row r="800" spans="11:11" ht="13">
      <c r="K800" s="64"/>
    </row>
    <row r="801" spans="11:11" ht="13">
      <c r="K801" s="64"/>
    </row>
    <row r="802" spans="11:11" ht="13">
      <c r="K802" s="64"/>
    </row>
    <row r="803" spans="11:11" ht="13">
      <c r="K803" s="64"/>
    </row>
    <row r="804" spans="11:11" ht="13">
      <c r="K804" s="64"/>
    </row>
    <row r="805" spans="11:11" ht="13">
      <c r="K805" s="64"/>
    </row>
    <row r="806" spans="11:11" ht="13">
      <c r="K806" s="64"/>
    </row>
    <row r="807" spans="11:11" ht="13">
      <c r="K807" s="64"/>
    </row>
    <row r="808" spans="11:11" ht="13">
      <c r="K808" s="64"/>
    </row>
    <row r="809" spans="11:11" ht="13">
      <c r="K809" s="64"/>
    </row>
    <row r="810" spans="11:11" ht="13">
      <c r="K810" s="64"/>
    </row>
    <row r="811" spans="11:11" ht="13">
      <c r="K811" s="64"/>
    </row>
    <row r="812" spans="11:11" ht="13">
      <c r="K812" s="64"/>
    </row>
    <row r="813" spans="11:11" ht="13">
      <c r="K813" s="64"/>
    </row>
    <row r="814" spans="11:11" ht="13">
      <c r="K814" s="64"/>
    </row>
    <row r="815" spans="11:11" ht="13">
      <c r="K815" s="64"/>
    </row>
    <row r="816" spans="11:11" ht="13">
      <c r="K816" s="64"/>
    </row>
    <row r="817" spans="11:11" ht="13">
      <c r="K817" s="64"/>
    </row>
    <row r="818" spans="11:11" ht="13">
      <c r="K818" s="64"/>
    </row>
    <row r="819" spans="11:11" ht="13">
      <c r="K819" s="64"/>
    </row>
    <row r="820" spans="11:11" ht="13">
      <c r="K820" s="64"/>
    </row>
    <row r="821" spans="11:11" ht="13">
      <c r="K821" s="64"/>
    </row>
    <row r="822" spans="11:11" ht="13">
      <c r="K822" s="64"/>
    </row>
    <row r="823" spans="11:11" ht="13">
      <c r="K823" s="64"/>
    </row>
    <row r="824" spans="11:11" ht="13">
      <c r="K824" s="64"/>
    </row>
    <row r="825" spans="11:11" ht="13">
      <c r="K825" s="64"/>
    </row>
    <row r="826" spans="11:11" ht="13">
      <c r="K826" s="64"/>
    </row>
    <row r="827" spans="11:11" ht="13">
      <c r="K827" s="64"/>
    </row>
    <row r="828" spans="11:11" ht="13">
      <c r="K828" s="64"/>
    </row>
    <row r="829" spans="11:11" ht="13">
      <c r="K829" s="64"/>
    </row>
    <row r="830" spans="11:11" ht="13">
      <c r="K830" s="64"/>
    </row>
    <row r="831" spans="11:11" ht="13">
      <c r="K831" s="64"/>
    </row>
    <row r="832" spans="11:11" ht="13">
      <c r="K832" s="64"/>
    </row>
    <row r="833" spans="11:11" ht="13">
      <c r="K833" s="64"/>
    </row>
    <row r="834" spans="11:11" ht="13">
      <c r="K834" s="64"/>
    </row>
    <row r="835" spans="11:11" ht="13">
      <c r="K835" s="64"/>
    </row>
    <row r="836" spans="11:11" ht="13">
      <c r="K836" s="64"/>
    </row>
    <row r="837" spans="11:11" ht="13">
      <c r="K837" s="64"/>
    </row>
    <row r="838" spans="11:11" ht="13">
      <c r="K838" s="64"/>
    </row>
    <row r="839" spans="11:11" ht="13">
      <c r="K839" s="64"/>
    </row>
    <row r="840" spans="11:11" ht="13">
      <c r="K840" s="64"/>
    </row>
    <row r="841" spans="11:11" ht="13">
      <c r="K841" s="64"/>
    </row>
    <row r="842" spans="11:11" ht="13">
      <c r="K842" s="64"/>
    </row>
    <row r="843" spans="11:11" ht="13">
      <c r="K843" s="64"/>
    </row>
    <row r="844" spans="11:11" ht="13">
      <c r="K844" s="64"/>
    </row>
    <row r="845" spans="11:11" ht="13">
      <c r="K845" s="64"/>
    </row>
    <row r="846" spans="11:11" ht="13">
      <c r="K846" s="64"/>
    </row>
    <row r="847" spans="11:11" ht="13">
      <c r="K847" s="64"/>
    </row>
    <row r="848" spans="11:11" ht="13">
      <c r="K848" s="64"/>
    </row>
    <row r="849" spans="11:11" ht="13">
      <c r="K849" s="64"/>
    </row>
    <row r="850" spans="11:11" ht="13">
      <c r="K850" s="64"/>
    </row>
    <row r="851" spans="11:11" ht="13">
      <c r="K851" s="64"/>
    </row>
    <row r="852" spans="11:11" ht="13">
      <c r="K852" s="64"/>
    </row>
    <row r="853" spans="11:11" ht="13">
      <c r="K853" s="64"/>
    </row>
    <row r="854" spans="11:11" ht="13">
      <c r="K854" s="64"/>
    </row>
    <row r="855" spans="11:11" ht="13">
      <c r="K855" s="64"/>
    </row>
    <row r="856" spans="11:11" ht="13">
      <c r="K856" s="64"/>
    </row>
    <row r="857" spans="11:11" ht="13">
      <c r="K857" s="64"/>
    </row>
    <row r="858" spans="11:11" ht="13">
      <c r="K858" s="64"/>
    </row>
    <row r="859" spans="11:11" ht="13">
      <c r="K859" s="64"/>
    </row>
    <row r="860" spans="11:11" ht="13">
      <c r="K860" s="64"/>
    </row>
    <row r="861" spans="11:11" ht="13">
      <c r="K861" s="64"/>
    </row>
    <row r="862" spans="11:11" ht="13">
      <c r="K862" s="64"/>
    </row>
    <row r="863" spans="11:11" ht="13">
      <c r="K863" s="64"/>
    </row>
    <row r="864" spans="11:11" ht="13">
      <c r="K864" s="64"/>
    </row>
    <row r="865" spans="11:11" ht="13">
      <c r="K865" s="64"/>
    </row>
    <row r="866" spans="11:11" ht="13">
      <c r="K866" s="64"/>
    </row>
    <row r="867" spans="11:11" ht="13">
      <c r="K867" s="64"/>
    </row>
    <row r="868" spans="11:11" ht="13">
      <c r="K868" s="64"/>
    </row>
    <row r="869" spans="11:11" ht="13">
      <c r="K869" s="64"/>
    </row>
    <row r="870" spans="11:11" ht="13">
      <c r="K870" s="64"/>
    </row>
    <row r="871" spans="11:11" ht="13">
      <c r="K871" s="64"/>
    </row>
    <row r="872" spans="11:11" ht="13">
      <c r="K872" s="64"/>
    </row>
    <row r="873" spans="11:11" ht="13">
      <c r="K873" s="64"/>
    </row>
    <row r="874" spans="11:11" ht="13">
      <c r="K874" s="64"/>
    </row>
    <row r="875" spans="11:11" ht="13">
      <c r="K875" s="64"/>
    </row>
    <row r="876" spans="11:11" ht="13">
      <c r="K876" s="64"/>
    </row>
    <row r="877" spans="11:11" ht="13">
      <c r="K877" s="64"/>
    </row>
    <row r="878" spans="11:11" ht="13">
      <c r="K878" s="64"/>
    </row>
    <row r="879" spans="11:11" ht="13">
      <c r="K879" s="64"/>
    </row>
    <row r="880" spans="11:11" ht="13">
      <c r="K880" s="64"/>
    </row>
    <row r="881" spans="11:11" ht="13">
      <c r="K881" s="64"/>
    </row>
    <row r="882" spans="11:11" ht="13">
      <c r="K882" s="64"/>
    </row>
    <row r="883" spans="11:11" ht="13">
      <c r="K883" s="64"/>
    </row>
    <row r="884" spans="11:11" ht="13">
      <c r="K884" s="64"/>
    </row>
    <row r="885" spans="11:11" ht="13">
      <c r="K885" s="64"/>
    </row>
    <row r="886" spans="11:11" ht="13">
      <c r="K886" s="64"/>
    </row>
    <row r="887" spans="11:11" ht="13">
      <c r="K887" s="64"/>
    </row>
    <row r="888" spans="11:11" ht="13">
      <c r="K888" s="64"/>
    </row>
    <row r="889" spans="11:11" ht="13">
      <c r="K889" s="64"/>
    </row>
    <row r="890" spans="11:11" ht="13">
      <c r="K890" s="64"/>
    </row>
    <row r="891" spans="11:11" ht="13">
      <c r="K891" s="64"/>
    </row>
    <row r="892" spans="11:11" ht="13">
      <c r="K892" s="64"/>
    </row>
    <row r="893" spans="11:11" ht="13">
      <c r="K893" s="64"/>
    </row>
    <row r="894" spans="11:11" ht="13">
      <c r="K894" s="64"/>
    </row>
    <row r="895" spans="11:11" ht="13">
      <c r="K895" s="64"/>
    </row>
    <row r="896" spans="11:11" ht="13">
      <c r="K896" s="64"/>
    </row>
    <row r="897" spans="11:11" ht="13">
      <c r="K897" s="64"/>
    </row>
    <row r="898" spans="11:11" ht="13">
      <c r="K898" s="64"/>
    </row>
    <row r="899" spans="11:11" ht="13">
      <c r="K899" s="64"/>
    </row>
    <row r="900" spans="11:11" ht="13">
      <c r="K900" s="64"/>
    </row>
    <row r="901" spans="11:11" ht="13">
      <c r="K901" s="64"/>
    </row>
    <row r="902" spans="11:11" ht="13">
      <c r="K902" s="64"/>
    </row>
    <row r="903" spans="11:11" ht="13">
      <c r="K903" s="64"/>
    </row>
    <row r="904" spans="11:11" ht="13">
      <c r="K904" s="64"/>
    </row>
    <row r="905" spans="11:11" ht="13">
      <c r="K905" s="64"/>
    </row>
    <row r="906" spans="11:11" ht="13">
      <c r="K906" s="64"/>
    </row>
    <row r="907" spans="11:11" ht="13">
      <c r="K907" s="64"/>
    </row>
    <row r="908" spans="11:11" ht="13">
      <c r="K908" s="64"/>
    </row>
    <row r="909" spans="11:11" ht="13">
      <c r="K909" s="64"/>
    </row>
    <row r="910" spans="11:11" ht="13">
      <c r="K910" s="64"/>
    </row>
    <row r="911" spans="11:11" ht="13">
      <c r="K911" s="64"/>
    </row>
    <row r="912" spans="11:11" ht="13">
      <c r="K912" s="64"/>
    </row>
    <row r="913" spans="11:11" ht="13">
      <c r="K913" s="64"/>
    </row>
    <row r="914" spans="11:11" ht="13">
      <c r="K914" s="64"/>
    </row>
    <row r="915" spans="11:11" ht="13">
      <c r="K915" s="64"/>
    </row>
    <row r="916" spans="11:11" ht="13">
      <c r="K916" s="64"/>
    </row>
    <row r="917" spans="11:11" ht="13">
      <c r="K917" s="64"/>
    </row>
    <row r="918" spans="11:11" ht="13">
      <c r="K918" s="64"/>
    </row>
    <row r="919" spans="11:11" ht="13">
      <c r="K919" s="64"/>
    </row>
    <row r="920" spans="11:11" ht="13">
      <c r="K920" s="64"/>
    </row>
    <row r="921" spans="11:11" ht="13">
      <c r="K921" s="64"/>
    </row>
    <row r="922" spans="11:11" ht="13">
      <c r="K922" s="64"/>
    </row>
    <row r="923" spans="11:11" ht="13">
      <c r="K923" s="64"/>
    </row>
    <row r="924" spans="11:11" ht="13">
      <c r="K924" s="64"/>
    </row>
    <row r="925" spans="11:11" ht="13">
      <c r="K925" s="64"/>
    </row>
    <row r="926" spans="11:11" ht="13">
      <c r="K926" s="64"/>
    </row>
    <row r="927" spans="11:11" ht="13">
      <c r="K927" s="64"/>
    </row>
    <row r="928" spans="11:11" ht="13">
      <c r="K928" s="64"/>
    </row>
    <row r="929" spans="11:11" ht="13">
      <c r="K929" s="64"/>
    </row>
    <row r="930" spans="11:11" ht="13">
      <c r="K930" s="64"/>
    </row>
    <row r="931" spans="11:11" ht="13">
      <c r="K931" s="64"/>
    </row>
    <row r="932" spans="11:11" ht="13">
      <c r="K932" s="64"/>
    </row>
    <row r="933" spans="11:11" ht="13">
      <c r="K933" s="64"/>
    </row>
    <row r="934" spans="11:11" ht="13">
      <c r="K934" s="64"/>
    </row>
    <row r="935" spans="11:11" ht="13">
      <c r="K935" s="64"/>
    </row>
    <row r="936" spans="11:11" ht="13">
      <c r="K936" s="64"/>
    </row>
    <row r="937" spans="11:11" ht="13">
      <c r="K937" s="64"/>
    </row>
    <row r="938" spans="11:11" ht="13">
      <c r="K938" s="64"/>
    </row>
    <row r="939" spans="11:11" ht="13">
      <c r="K939" s="64"/>
    </row>
    <row r="940" spans="11:11" ht="13">
      <c r="K940" s="64"/>
    </row>
    <row r="941" spans="11:11" ht="13">
      <c r="K941" s="64"/>
    </row>
    <row r="942" spans="11:11" ht="13">
      <c r="K942" s="64"/>
    </row>
    <row r="943" spans="11:11" ht="13">
      <c r="K943" s="64"/>
    </row>
    <row r="944" spans="11:11" ht="13">
      <c r="K944" s="64"/>
    </row>
    <row r="945" spans="11:11" ht="13">
      <c r="K945" s="64"/>
    </row>
    <row r="946" spans="11:11" ht="13">
      <c r="K946" s="64"/>
    </row>
    <row r="947" spans="11:11" ht="13">
      <c r="K947" s="64"/>
    </row>
    <row r="948" spans="11:11" ht="13">
      <c r="K948" s="64"/>
    </row>
    <row r="949" spans="11:11" ht="13">
      <c r="K949" s="64"/>
    </row>
    <row r="950" spans="11:11" ht="13">
      <c r="K950" s="64"/>
    </row>
    <row r="951" spans="11:11" ht="13">
      <c r="K951" s="64"/>
    </row>
    <row r="952" spans="11:11" ht="13">
      <c r="K952" s="64"/>
    </row>
    <row r="953" spans="11:11" ht="13">
      <c r="K953" s="64"/>
    </row>
    <row r="954" spans="11:11" ht="13">
      <c r="K954" s="64"/>
    </row>
    <row r="955" spans="11:11" ht="13">
      <c r="K955" s="64"/>
    </row>
    <row r="956" spans="11:11" ht="13">
      <c r="K956" s="64"/>
    </row>
    <row r="957" spans="11:11" ht="13">
      <c r="K957" s="64"/>
    </row>
    <row r="958" spans="11:11" ht="13">
      <c r="K958" s="64"/>
    </row>
    <row r="959" spans="11:11" ht="13">
      <c r="K959" s="64"/>
    </row>
    <row r="960" spans="11:11" ht="13">
      <c r="K960" s="64"/>
    </row>
    <row r="961" spans="11:11" ht="13">
      <c r="K961" s="64"/>
    </row>
    <row r="962" spans="11:11" ht="13">
      <c r="K962" s="64"/>
    </row>
    <row r="963" spans="11:11" ht="13">
      <c r="K963" s="64"/>
    </row>
    <row r="964" spans="11:11" ht="13">
      <c r="K964" s="64"/>
    </row>
    <row r="965" spans="11:11" ht="13">
      <c r="K965" s="64"/>
    </row>
    <row r="966" spans="11:11" ht="13">
      <c r="K966" s="64"/>
    </row>
    <row r="967" spans="11:11" ht="13">
      <c r="K967" s="64"/>
    </row>
    <row r="968" spans="11:11" ht="13">
      <c r="K968" s="64"/>
    </row>
    <row r="969" spans="11:11" ht="13">
      <c r="K969" s="64"/>
    </row>
    <row r="970" spans="11:11" ht="13">
      <c r="K970" s="64"/>
    </row>
    <row r="971" spans="11:11" ht="13">
      <c r="K971" s="64"/>
    </row>
    <row r="972" spans="11:11" ht="13">
      <c r="K972" s="64"/>
    </row>
    <row r="973" spans="11:11" ht="13">
      <c r="K973" s="64"/>
    </row>
    <row r="974" spans="11:11" ht="13">
      <c r="K974" s="64"/>
    </row>
    <row r="975" spans="11:11" ht="13">
      <c r="K975" s="64"/>
    </row>
    <row r="976" spans="11:11" ht="13">
      <c r="K976" s="64"/>
    </row>
    <row r="977" spans="11:11" ht="13">
      <c r="K977" s="64"/>
    </row>
    <row r="978" spans="11:11" ht="13">
      <c r="K978" s="64"/>
    </row>
    <row r="979" spans="11:11" ht="13">
      <c r="K979" s="64"/>
    </row>
    <row r="980" spans="11:11" ht="13">
      <c r="K980" s="64"/>
    </row>
    <row r="981" spans="11:11" ht="13">
      <c r="K981" s="64"/>
    </row>
    <row r="982" spans="11:11" ht="13">
      <c r="K982" s="64"/>
    </row>
    <row r="983" spans="11:11" ht="13">
      <c r="K983" s="64"/>
    </row>
    <row r="984" spans="11:11" ht="13">
      <c r="K984" s="64"/>
    </row>
    <row r="985" spans="11:11" ht="13">
      <c r="K985" s="64"/>
    </row>
    <row r="986" spans="11:11" ht="13">
      <c r="K986" s="64"/>
    </row>
    <row r="987" spans="11:11" ht="13">
      <c r="K987" s="64"/>
    </row>
    <row r="988" spans="11:11" ht="13">
      <c r="K988" s="64"/>
    </row>
    <row r="989" spans="11:11" ht="13">
      <c r="K989" s="64"/>
    </row>
    <row r="990" spans="11:11" ht="13">
      <c r="K990" s="64"/>
    </row>
    <row r="991" spans="11:11" ht="13">
      <c r="K991" s="64"/>
    </row>
    <row r="992" spans="11:11" ht="13">
      <c r="K992" s="64"/>
    </row>
    <row r="993" spans="11:11" ht="13">
      <c r="K993" s="64"/>
    </row>
    <row r="994" spans="11:11" ht="13">
      <c r="K994" s="64"/>
    </row>
    <row r="995" spans="11:11" ht="13">
      <c r="K995" s="64"/>
    </row>
    <row r="996" spans="11:11" ht="13">
      <c r="K996" s="64"/>
    </row>
    <row r="997" spans="11:11" ht="13">
      <c r="K997" s="64"/>
    </row>
    <row r="998" spans="11:11" ht="13">
      <c r="K998" s="64"/>
    </row>
    <row r="999" spans="11:11" ht="13">
      <c r="K999" s="64"/>
    </row>
    <row r="1000" spans="11:11" ht="13">
      <c r="K1000" s="64"/>
    </row>
  </sheetData>
  <autoFilter ref="I1:K27" xr:uid="{00000000-0009-0000-0000-000009000000}"/>
  <mergeCells count="2">
    <mergeCell ref="R32:X32"/>
    <mergeCell ref="R34:X34"/>
  </mergeCells>
  <conditionalFormatting sqref="I2:I27">
    <cfRule type="cellIs" dxfId="0" priority="1" operator="greaterThanOrEqual">
      <formula>3</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outlinePr summaryBelow="0" summaryRight="0"/>
  </sheetPr>
  <dimension ref="A1:E13"/>
  <sheetViews>
    <sheetView workbookViewId="0"/>
  </sheetViews>
  <sheetFormatPr baseColWidth="10" defaultColWidth="14.5" defaultRowHeight="15.75" customHeight="1"/>
  <cols>
    <col min="1" max="1" width="68.5" customWidth="1"/>
  </cols>
  <sheetData>
    <row r="1" spans="1:5" ht="15.75" customHeight="1">
      <c r="A1" s="143" t="s">
        <v>483</v>
      </c>
      <c r="B1" s="143" t="s">
        <v>484</v>
      </c>
      <c r="C1" s="143" t="s">
        <v>485</v>
      </c>
      <c r="D1" s="143" t="s">
        <v>486</v>
      </c>
      <c r="E1" s="143" t="s">
        <v>487</v>
      </c>
    </row>
    <row r="2" spans="1:5" ht="15.75" customHeight="1">
      <c r="A2" s="86" t="s">
        <v>488</v>
      </c>
      <c r="B2" s="86" t="s">
        <v>489</v>
      </c>
      <c r="C2" s="86" t="s">
        <v>490</v>
      </c>
    </row>
    <row r="3" spans="1:5" ht="15.75" customHeight="1">
      <c r="A3" s="86" t="s">
        <v>491</v>
      </c>
      <c r="B3" s="86" t="s">
        <v>489</v>
      </c>
      <c r="C3" s="86" t="s">
        <v>490</v>
      </c>
    </row>
    <row r="4" spans="1:5" ht="15.75" customHeight="1">
      <c r="A4" s="86" t="s">
        <v>492</v>
      </c>
      <c r="B4" s="86" t="s">
        <v>489</v>
      </c>
      <c r="C4" s="86" t="s">
        <v>493</v>
      </c>
      <c r="D4" s="86" t="s">
        <v>494</v>
      </c>
      <c r="E4" s="86" t="s">
        <v>495</v>
      </c>
    </row>
    <row r="5" spans="1:5" ht="15.75" customHeight="1">
      <c r="A5" s="86" t="s">
        <v>496</v>
      </c>
      <c r="B5" s="86" t="s">
        <v>489</v>
      </c>
      <c r="C5" s="86" t="s">
        <v>490</v>
      </c>
      <c r="D5" s="86" t="s">
        <v>497</v>
      </c>
    </row>
    <row r="6" spans="1:5" ht="15.75" customHeight="1">
      <c r="A6" s="86" t="s">
        <v>498</v>
      </c>
      <c r="B6" s="86" t="s">
        <v>489</v>
      </c>
      <c r="D6" s="86" t="s">
        <v>499</v>
      </c>
    </row>
    <row r="7" spans="1:5" ht="15.75" customHeight="1">
      <c r="A7" s="86" t="s">
        <v>500</v>
      </c>
      <c r="B7" s="86" t="s">
        <v>489</v>
      </c>
      <c r="C7" s="163">
        <v>43986</v>
      </c>
    </row>
    <row r="8" spans="1:5" ht="15.75" customHeight="1">
      <c r="A8" s="86" t="s">
        <v>501</v>
      </c>
      <c r="B8" s="86" t="s">
        <v>489</v>
      </c>
      <c r="C8" s="164"/>
    </row>
    <row r="9" spans="1:5" ht="15.75" customHeight="1">
      <c r="A9" s="86" t="s">
        <v>502</v>
      </c>
      <c r="B9" s="86" t="s">
        <v>489</v>
      </c>
      <c r="C9" s="164"/>
    </row>
    <row r="10" spans="1:5" ht="15.75" customHeight="1">
      <c r="A10" s="86" t="s">
        <v>503</v>
      </c>
      <c r="B10" s="86" t="s">
        <v>489</v>
      </c>
      <c r="C10" s="164"/>
    </row>
    <row r="11" spans="1:5" ht="15.75" customHeight="1">
      <c r="A11" s="86" t="s">
        <v>504</v>
      </c>
      <c r="B11" s="86" t="s">
        <v>489</v>
      </c>
      <c r="C11" s="86" t="s">
        <v>505</v>
      </c>
    </row>
    <row r="12" spans="1:5" ht="15.75" customHeight="1">
      <c r="A12" s="86" t="s">
        <v>506</v>
      </c>
      <c r="B12" s="86" t="s">
        <v>489</v>
      </c>
      <c r="C12" s="86" t="s">
        <v>507</v>
      </c>
    </row>
    <row r="13" spans="1:5" ht="15.75" customHeight="1">
      <c r="A13" s="86" t="s">
        <v>508</v>
      </c>
      <c r="B13" s="86" t="s">
        <v>489</v>
      </c>
    </row>
  </sheetData>
  <mergeCells count="1">
    <mergeCell ref="C7:C10"/>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outlinePr summaryBelow="0" summaryRight="0"/>
  </sheetPr>
  <dimension ref="A1:R11"/>
  <sheetViews>
    <sheetView workbookViewId="0"/>
  </sheetViews>
  <sheetFormatPr baseColWidth="10" defaultColWidth="14.5" defaultRowHeight="15.75" customHeight="1"/>
  <cols>
    <col min="1" max="1" width="28.1640625" customWidth="1"/>
    <col min="2" max="2" width="7.5" customWidth="1"/>
    <col min="3" max="3" width="32.5" customWidth="1"/>
    <col min="4" max="4" width="6.5" customWidth="1"/>
    <col min="5" max="5" width="22.1640625" customWidth="1"/>
    <col min="6" max="6" width="5.83203125" customWidth="1"/>
    <col min="7" max="7" width="26.33203125" customWidth="1"/>
    <col min="8" max="8" width="5.5" customWidth="1"/>
    <col min="9" max="9" width="25.1640625" customWidth="1"/>
    <col min="10" max="10" width="5.6640625" customWidth="1"/>
    <col min="14" max="14" width="26.5" customWidth="1"/>
    <col min="15" max="15" width="32.5" customWidth="1"/>
    <col min="16" max="16" width="28.1640625" customWidth="1"/>
    <col min="17" max="17" width="26.33203125" customWidth="1"/>
    <col min="18" max="18" width="24" customWidth="1"/>
  </cols>
  <sheetData>
    <row r="1" spans="1:18" ht="15.75" customHeight="1">
      <c r="A1" s="30" t="s">
        <v>442</v>
      </c>
      <c r="B1" s="30"/>
      <c r="C1" s="30" t="s">
        <v>443</v>
      </c>
      <c r="D1" s="30"/>
      <c r="E1" s="30" t="s">
        <v>444</v>
      </c>
      <c r="F1" s="30"/>
      <c r="G1" s="165" t="s">
        <v>445</v>
      </c>
      <c r="H1" s="164"/>
      <c r="I1" s="30" t="s">
        <v>509</v>
      </c>
    </row>
    <row r="2" spans="1:18" ht="15.75" customHeight="1">
      <c r="A2" s="144" t="s">
        <v>63</v>
      </c>
      <c r="B2" s="145">
        <v>1.8</v>
      </c>
      <c r="C2" s="110" t="s">
        <v>107</v>
      </c>
      <c r="D2" s="86">
        <v>3.6</v>
      </c>
      <c r="E2" s="110" t="s">
        <v>59</v>
      </c>
      <c r="F2" s="86">
        <v>3.4</v>
      </c>
      <c r="G2" s="110" t="s">
        <v>79</v>
      </c>
      <c r="H2" s="86">
        <v>3.4</v>
      </c>
      <c r="I2" s="110" t="s">
        <v>95</v>
      </c>
      <c r="J2" s="86">
        <v>3.6</v>
      </c>
      <c r="N2" s="146" t="s">
        <v>442</v>
      </c>
      <c r="O2" s="146" t="s">
        <v>443</v>
      </c>
      <c r="P2" s="146" t="s">
        <v>444</v>
      </c>
      <c r="Q2" s="146" t="s">
        <v>445</v>
      </c>
      <c r="R2" s="146" t="s">
        <v>509</v>
      </c>
    </row>
    <row r="3" spans="1:18" ht="14">
      <c r="A3" s="86" t="s">
        <v>85</v>
      </c>
      <c r="B3" s="86">
        <v>2</v>
      </c>
      <c r="C3" s="144" t="s">
        <v>56</v>
      </c>
      <c r="D3" s="86">
        <v>1.8</v>
      </c>
      <c r="E3" s="86" t="s">
        <v>103</v>
      </c>
      <c r="F3" s="86">
        <v>2.2000000000000002</v>
      </c>
      <c r="G3" s="144" t="s">
        <v>83</v>
      </c>
      <c r="H3" s="86">
        <v>1.4</v>
      </c>
      <c r="I3" s="144" t="s">
        <v>81</v>
      </c>
      <c r="J3" s="86">
        <v>1.8</v>
      </c>
      <c r="L3" s="147" t="s">
        <v>510</v>
      </c>
      <c r="N3" s="148" t="s">
        <v>63</v>
      </c>
      <c r="O3" s="149" t="s">
        <v>56</v>
      </c>
      <c r="P3" s="149" t="s">
        <v>103</v>
      </c>
      <c r="Q3" s="149" t="s">
        <v>93</v>
      </c>
      <c r="R3" s="149" t="s">
        <v>61</v>
      </c>
    </row>
    <row r="4" spans="1:18" ht="14">
      <c r="A4" s="86" t="s">
        <v>91</v>
      </c>
      <c r="B4" s="86">
        <v>2.2000000000000002</v>
      </c>
      <c r="C4" s="86" t="s">
        <v>73</v>
      </c>
      <c r="D4" s="86">
        <v>2.6</v>
      </c>
      <c r="E4" s="86" t="s">
        <v>75</v>
      </c>
      <c r="F4" s="86">
        <v>2</v>
      </c>
      <c r="G4" s="86" t="s">
        <v>93</v>
      </c>
      <c r="H4" s="86">
        <v>2.6</v>
      </c>
      <c r="I4" s="86" t="s">
        <v>67</v>
      </c>
      <c r="J4" s="86">
        <v>2</v>
      </c>
      <c r="L4" s="150" t="s">
        <v>511</v>
      </c>
      <c r="N4" s="139" t="s">
        <v>85</v>
      </c>
      <c r="O4" s="151" t="s">
        <v>71</v>
      </c>
      <c r="P4" s="151" t="s">
        <v>59</v>
      </c>
      <c r="Q4" s="151" t="s">
        <v>79</v>
      </c>
      <c r="R4" s="151" t="s">
        <v>81</v>
      </c>
    </row>
    <row r="5" spans="1:18" ht="14">
      <c r="A5" s="86" t="s">
        <v>105</v>
      </c>
      <c r="B5" s="86">
        <v>2.4</v>
      </c>
      <c r="C5" s="86" t="s">
        <v>69</v>
      </c>
      <c r="D5" s="86">
        <v>2.2000000000000002</v>
      </c>
      <c r="E5" s="86" t="s">
        <v>101</v>
      </c>
      <c r="F5" s="86">
        <v>3</v>
      </c>
      <c r="G5" s="152" t="s">
        <v>97</v>
      </c>
      <c r="H5" s="86">
        <v>2.6</v>
      </c>
      <c r="I5" s="86" t="s">
        <v>61</v>
      </c>
      <c r="J5" s="86">
        <v>2.4</v>
      </c>
      <c r="L5" s="153" t="s">
        <v>512</v>
      </c>
      <c r="N5" s="139" t="s">
        <v>91</v>
      </c>
      <c r="O5" s="151" t="s">
        <v>73</v>
      </c>
      <c r="P5" s="151" t="s">
        <v>101</v>
      </c>
      <c r="Q5" s="151" t="s">
        <v>89</v>
      </c>
      <c r="R5" s="151" t="s">
        <v>87</v>
      </c>
    </row>
    <row r="6" spans="1:18" ht="15.75" customHeight="1">
      <c r="A6" s="86" t="s">
        <v>65</v>
      </c>
      <c r="B6" s="86">
        <v>3.2</v>
      </c>
      <c r="C6" s="86" t="s">
        <v>71</v>
      </c>
      <c r="D6" s="86">
        <v>2.6</v>
      </c>
      <c r="E6" s="86" t="s">
        <v>513</v>
      </c>
      <c r="F6" s="86">
        <v>2</v>
      </c>
      <c r="G6" s="86" t="s">
        <v>89</v>
      </c>
      <c r="H6" s="86">
        <v>2.2000000000000002</v>
      </c>
      <c r="I6" s="86" t="s">
        <v>87</v>
      </c>
      <c r="J6" s="86">
        <v>2.6</v>
      </c>
      <c r="N6" s="139" t="s">
        <v>105</v>
      </c>
      <c r="O6" s="151" t="s">
        <v>107</v>
      </c>
      <c r="P6" s="151" t="s">
        <v>513</v>
      </c>
      <c r="Q6" s="154" t="s">
        <v>97</v>
      </c>
      <c r="R6" s="151" t="s">
        <v>95</v>
      </c>
    </row>
    <row r="7" spans="1:18" ht="15.75" customHeight="1">
      <c r="A7" s="110" t="s">
        <v>77</v>
      </c>
      <c r="B7" s="145">
        <v>3.2</v>
      </c>
      <c r="I7" s="53"/>
      <c r="N7" s="139" t="s">
        <v>65</v>
      </c>
      <c r="O7" s="151" t="s">
        <v>69</v>
      </c>
      <c r="P7" s="151" t="s">
        <v>75</v>
      </c>
      <c r="Q7" s="151" t="s">
        <v>83</v>
      </c>
      <c r="R7" s="151" t="s">
        <v>67</v>
      </c>
    </row>
    <row r="8" spans="1:18" ht="15.75" customHeight="1">
      <c r="N8" s="155" t="s">
        <v>77</v>
      </c>
      <c r="O8" s="156"/>
      <c r="P8" s="156"/>
      <c r="Q8" s="156"/>
      <c r="R8" s="157"/>
    </row>
    <row r="9" spans="1:18" ht="15.75" customHeight="1">
      <c r="A9" s="86" t="s">
        <v>514</v>
      </c>
      <c r="B9" s="105">
        <f>AVERAGE(B2:B8)</f>
        <v>2.4666666666666668</v>
      </c>
      <c r="C9" s="86" t="s">
        <v>462</v>
      </c>
      <c r="D9" s="105">
        <f>AVERAGE(D2:D8)</f>
        <v>2.5599999999999996</v>
      </c>
      <c r="E9" s="86" t="s">
        <v>463</v>
      </c>
      <c r="F9" s="105">
        <f>AVERAGE(F2:F6)</f>
        <v>2.52</v>
      </c>
      <c r="G9" s="86" t="s">
        <v>460</v>
      </c>
      <c r="H9" s="105">
        <f>AVERAGE(H2:H8)</f>
        <v>2.44</v>
      </c>
      <c r="I9" s="86" t="s">
        <v>466</v>
      </c>
      <c r="J9" s="105">
        <f>AVERAGE(J2:J8)</f>
        <v>2.48</v>
      </c>
      <c r="N9" s="166" t="s">
        <v>515</v>
      </c>
      <c r="O9" s="167"/>
      <c r="P9" s="167"/>
      <c r="Q9" s="167"/>
      <c r="R9" s="168"/>
    </row>
    <row r="10" spans="1:18" ht="15.75" customHeight="1">
      <c r="A10" s="86" t="s">
        <v>467</v>
      </c>
      <c r="C10" s="86" t="s">
        <v>468</v>
      </c>
      <c r="E10" s="86" t="s">
        <v>516</v>
      </c>
      <c r="G10" s="86" t="s">
        <v>461</v>
      </c>
      <c r="I10" s="86" t="s">
        <v>464</v>
      </c>
      <c r="N10" s="141" t="s">
        <v>111</v>
      </c>
      <c r="O10" s="158" t="s">
        <v>517</v>
      </c>
      <c r="P10" s="158" t="s">
        <v>518</v>
      </c>
      <c r="Q10" s="158" t="s">
        <v>519</v>
      </c>
      <c r="R10" s="158" t="s">
        <v>520</v>
      </c>
    </row>
    <row r="11" spans="1:18" ht="15.75" customHeight="1">
      <c r="A11" s="86" t="s">
        <v>521</v>
      </c>
    </row>
  </sheetData>
  <mergeCells count="2">
    <mergeCell ref="G1:H1"/>
    <mergeCell ref="N9:R9"/>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ummaryRight="0"/>
  </sheetPr>
  <dimension ref="A1:E9"/>
  <sheetViews>
    <sheetView workbookViewId="0"/>
  </sheetViews>
  <sheetFormatPr baseColWidth="10" defaultColWidth="14.5" defaultRowHeight="15.75" customHeight="1"/>
  <cols>
    <col min="1" max="1" width="23.6640625" customWidth="1"/>
    <col min="2" max="2" width="26.5" customWidth="1"/>
    <col min="3" max="3" width="29.1640625" customWidth="1"/>
    <col min="4" max="4" width="23.33203125" customWidth="1"/>
    <col min="5" max="5" width="22" customWidth="1"/>
  </cols>
  <sheetData>
    <row r="1" spans="1:5">
      <c r="A1" s="159" t="s">
        <v>442</v>
      </c>
      <c r="B1" s="159" t="s">
        <v>443</v>
      </c>
      <c r="C1" s="159" t="s">
        <v>444</v>
      </c>
      <c r="D1" s="159" t="s">
        <v>445</v>
      </c>
      <c r="E1" s="159" t="s">
        <v>509</v>
      </c>
    </row>
    <row r="2" spans="1:5">
      <c r="A2" s="16" t="s">
        <v>105</v>
      </c>
      <c r="B2" s="16" t="s">
        <v>65</v>
      </c>
      <c r="C2" s="16" t="s">
        <v>77</v>
      </c>
      <c r="D2" s="16" t="s">
        <v>79</v>
      </c>
      <c r="E2" s="16" t="s">
        <v>95</v>
      </c>
    </row>
    <row r="3" spans="1:5">
      <c r="A3" s="16" t="s">
        <v>91</v>
      </c>
      <c r="B3" s="16" t="s">
        <v>107</v>
      </c>
      <c r="C3" s="16" t="s">
        <v>103</v>
      </c>
      <c r="D3" s="16" t="s">
        <v>97</v>
      </c>
      <c r="E3" s="16" t="s">
        <v>67</v>
      </c>
    </row>
    <row r="4" spans="1:5">
      <c r="A4" s="16" t="s">
        <v>63</v>
      </c>
      <c r="B4" s="16" t="s">
        <v>69</v>
      </c>
      <c r="C4" s="16" t="s">
        <v>81</v>
      </c>
      <c r="D4" s="16" t="s">
        <v>99</v>
      </c>
      <c r="E4" s="16" t="s">
        <v>61</v>
      </c>
    </row>
    <row r="5" spans="1:5">
      <c r="A5" s="16" t="s">
        <v>85</v>
      </c>
      <c r="B5" s="16" t="s">
        <v>101</v>
      </c>
      <c r="C5" s="16" t="s">
        <v>56</v>
      </c>
      <c r="D5" s="16" t="s">
        <v>89</v>
      </c>
      <c r="E5" s="16" t="s">
        <v>59</v>
      </c>
    </row>
    <row r="6" spans="1:5">
      <c r="A6" s="16" t="s">
        <v>75</v>
      </c>
      <c r="B6" s="16" t="s">
        <v>73</v>
      </c>
      <c r="C6" s="16" t="s">
        <v>71</v>
      </c>
      <c r="D6" s="16" t="s">
        <v>93</v>
      </c>
      <c r="E6" s="16" t="s">
        <v>87</v>
      </c>
    </row>
    <row r="7" spans="1:5">
      <c r="A7" s="16" t="s">
        <v>83</v>
      </c>
      <c r="B7" s="26"/>
      <c r="C7" s="26"/>
      <c r="D7" s="26"/>
      <c r="E7" s="26"/>
    </row>
    <row r="9" spans="1:5">
      <c r="A9" s="16" t="s">
        <v>522</v>
      </c>
      <c r="B9" s="16" t="s">
        <v>523</v>
      </c>
      <c r="C9" s="16" t="s">
        <v>524</v>
      </c>
      <c r="D9" s="16" t="s">
        <v>525</v>
      </c>
      <c r="E9" s="16" t="s">
        <v>526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Parameter Legend</vt:lpstr>
      <vt:lpstr>Sheet8</vt:lpstr>
      <vt:lpstr>Week 0</vt:lpstr>
      <vt:lpstr>Week 1</vt:lpstr>
      <vt:lpstr>Week 2</vt:lpstr>
      <vt:lpstr>Week 3</vt:lpstr>
      <vt:lpstr>Week 4</vt:lpstr>
      <vt:lpstr>Week 5</vt:lpstr>
      <vt:lpstr>Week 6</vt:lpstr>
      <vt:lpstr>All Week</vt:lpstr>
      <vt:lpstr>Final Project Tasks</vt:lpstr>
      <vt:lpstr>Trainer - trainee split</vt:lpstr>
      <vt:lpstr>TicTacToe checking pair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dcterms:created xsi:type="dcterms:W3CDTF">2020-06-11T18:19:38Z</dcterms:created>
  <dcterms:modified xsi:type="dcterms:W3CDTF">2020-06-12T10:01:40Z</dcterms:modified>
</cp:coreProperties>
</file>